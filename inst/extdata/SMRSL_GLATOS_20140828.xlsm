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60" windowWidth="19320" windowHeight="10005"/>
  </bookViews>
  <sheets>
    <sheet name="Project" sheetId="12" r:id="rId1"/>
    <sheet name="Locations" sheetId="9" r:id="rId2"/>
    <sheet name="Proposed" sheetId="5" r:id="rId3"/>
    <sheet name="Deployment" sheetId="6" r:id="rId4"/>
    <sheet name="Recovery" sheetId="7" r:id="rId5"/>
    <sheet name="Tagging" sheetId="8" r:id="rId6"/>
  </sheets>
  <definedNames>
    <definedName name="_xlnm._FilterDatabase" localSheetId="3" hidden="1">Deployment!$A$2:$AN$205</definedName>
    <definedName name="_xlnm._FilterDatabase" localSheetId="5" hidden="1">Tagging!$A$2:$BU$1094</definedName>
    <definedName name="Z_0B94B745_F070_4122_A4FD_5713832B364A_.wvu.Cols" localSheetId="2" hidden="1">Proposed!$A:$A,Proposed!$C:$C,Proposed!$E:$E</definedName>
    <definedName name="Z_4A0EEECC_BF7F_4C3E_AC2A_DEB5263DBBAE_.wvu.Cols" localSheetId="4" hidden="1">Recovery!$B:$B,Recovery!$D:$H,Recovery!$J:$K,Recovery!$N:$O</definedName>
    <definedName name="Z_4A0EEECC_BF7F_4C3E_AC2A_DEB5263DBBAE_.wvu.Cols" localSheetId="5" hidden="1">Tagging!$A:$E,Tagging!$H:$M,Tagging!$P:$AB,Tagging!$AD:$AF,Tagging!$AI:$AY,Tagging!$BA:$BB,Tagging!$BE:$BE</definedName>
    <definedName name="Z_732025B7_2BD2_4974_B1FD_67C3CE0944B1_.wvu.Cols" localSheetId="3" hidden="1">Deployment!$B:$B,Deployment!$E:$I,Deployment!$N:$R,Deployment!$V:$AD</definedName>
    <definedName name="Z_775315B8_81A0_46D0_A21B_5042A6D17E8A_.wvu.Cols" localSheetId="4" hidden="1">Recovery!$B:$B,Recovery!$D:$H,Recovery!$J:$K,Recovery!$N:$O</definedName>
    <definedName name="Z_BFE66E2E_FE12_4330_B1B7_C7EB0B371589_.wvu.Cols" localSheetId="4" hidden="1">Recovery!$B:$B,Recovery!$E:$H,Recovery!$J:$K,Recovery!$N:$O</definedName>
  </definedNames>
  <calcPr calcId="145621"/>
  <customWorkbookViews>
    <customWorkbookView name="Proposed-All" guid="{E035D73C-6DE8-4728-BCA6-2ACE00DC88C2}" maximized="1" windowWidth="1916" windowHeight="1102" activeSheetId="5"/>
    <customWorkbookView name="Proposed-Required" guid="{0B94B745-F070-4122-A4FD-5713832B364A}" maximized="1" windowWidth="1916" windowHeight="1102" activeSheetId="5"/>
    <customWorkbookView name="Deployment-All" guid="{EFF2F100-1E68-4EDA-87D3-99AEFF2EEB3E}" maximized="1" windowWidth="1916" windowHeight="1102" activeSheetId="6"/>
    <customWorkbookView name="Tagging-All" guid="{775315B8-81A0-46D0-A21B-5042A6D17E8A}" maximized="1" windowWidth="1916" windowHeight="1102" activeSheetId="8"/>
    <customWorkbookView name="All" guid="{30D09489-9F7F-4F99-80CC-972D52CE044F}" maximized="1" windowWidth="1916" windowHeight="1102" activeSheetId="8"/>
    <customWorkbookView name="Deployment-Required" guid="{732025B7-2BD2-4974-B1FD-67C3CE0944B1}" maximized="1" xWindow="1" yWindow="1" windowWidth="1276" windowHeight="580" activeSheetId="6"/>
    <customWorkbookView name="Tagging-Required" guid="{4A0EEECC-BF7F-4C3E-AC2A-DEB5263DBBAE}" maximized="1" xWindow="1" yWindow="1" windowWidth="1276" windowHeight="580" activeSheetId="8"/>
    <customWorkbookView name="Recovery-All" guid="{BECCC96E-1854-41BE-8C23-F96A36206D6D}" maximized="1" xWindow="1" yWindow="1" windowWidth="1249" windowHeight="575" activeSheetId="7"/>
    <customWorkbookView name="Recovery-Required" guid="{BFE66E2E-FE12-4330-B1B7-C7EB0B371589}" maximized="1" xWindow="1" yWindow="1" windowWidth="1249" windowHeight="575" activeSheetId="7"/>
  </customWorkbookViews>
</workbook>
</file>

<file path=xl/calcChain.xml><?xml version="1.0" encoding="utf-8"?>
<calcChain xmlns="http://schemas.openxmlformats.org/spreadsheetml/2006/main">
  <c r="AC321" i="7" l="1"/>
  <c r="L321" i="7" s="1"/>
  <c r="I321" i="7"/>
  <c r="A321" i="7"/>
  <c r="C321" i="7"/>
  <c r="L324" i="6" l="1"/>
  <c r="M324" i="6"/>
  <c r="L325" i="6"/>
  <c r="M325" i="6"/>
  <c r="L326" i="6"/>
  <c r="M326" i="6"/>
  <c r="L327" i="6"/>
  <c r="M327" i="6"/>
  <c r="L328" i="6"/>
  <c r="M328" i="6"/>
  <c r="M323" i="6"/>
  <c r="L323" i="6"/>
  <c r="U324" i="6"/>
  <c r="U325" i="6"/>
  <c r="U326" i="6"/>
  <c r="U327" i="6"/>
  <c r="U328" i="6"/>
  <c r="U323" i="6"/>
  <c r="AY323" i="6"/>
  <c r="O323" i="6" s="1"/>
  <c r="AY324" i="6"/>
  <c r="O324" i="6" s="1"/>
  <c r="AY325" i="6"/>
  <c r="O325" i="6" s="1"/>
  <c r="AY326" i="6"/>
  <c r="O326" i="6" s="1"/>
  <c r="AY327" i="6"/>
  <c r="O327" i="6" s="1"/>
  <c r="AY328" i="6"/>
  <c r="O328" i="6" s="1"/>
  <c r="N328" i="6"/>
  <c r="N327" i="6"/>
  <c r="P327" i="6" s="1"/>
  <c r="N326" i="6"/>
  <c r="N325" i="6"/>
  <c r="P325" i="6" s="1"/>
  <c r="N324" i="6"/>
  <c r="N323" i="6"/>
  <c r="P323" i="6" s="1"/>
  <c r="AS328" i="6"/>
  <c r="J328" i="6" s="1"/>
  <c r="AS327" i="6"/>
  <c r="J327" i="6" s="1"/>
  <c r="AS326" i="6"/>
  <c r="J326" i="6" s="1"/>
  <c r="AS325" i="6"/>
  <c r="J325" i="6" s="1"/>
  <c r="AS324" i="6"/>
  <c r="J324" i="6" s="1"/>
  <c r="AS323" i="6"/>
  <c r="J323" i="6" s="1"/>
  <c r="A328" i="6"/>
  <c r="C328" i="6"/>
  <c r="A327" i="6"/>
  <c r="C327" i="6"/>
  <c r="A326" i="6"/>
  <c r="C326" i="6"/>
  <c r="A325" i="6"/>
  <c r="C325" i="6"/>
  <c r="A324" i="6"/>
  <c r="C324" i="6"/>
  <c r="A323" i="6"/>
  <c r="C323" i="6"/>
  <c r="A318" i="7"/>
  <c r="C318" i="7"/>
  <c r="I318" i="7"/>
  <c r="A319" i="7"/>
  <c r="C319" i="7"/>
  <c r="I319" i="7"/>
  <c r="A320" i="7"/>
  <c r="C320" i="7"/>
  <c r="I320" i="7"/>
  <c r="I317" i="7"/>
  <c r="C317" i="7"/>
  <c r="A317" i="7"/>
  <c r="AC318" i="7"/>
  <c r="L318" i="7" s="1"/>
  <c r="AC319" i="7"/>
  <c r="L319" i="7" s="1"/>
  <c r="AC320" i="7"/>
  <c r="L320" i="7" s="1"/>
  <c r="AC317" i="7"/>
  <c r="L317" i="7" s="1"/>
  <c r="P324" i="6" l="1"/>
  <c r="P326" i="6"/>
  <c r="P328" i="6"/>
  <c r="N317" i="6"/>
  <c r="P317" i="6" s="1"/>
  <c r="N318" i="6"/>
  <c r="P318" i="6" s="1"/>
  <c r="N319" i="6"/>
  <c r="P319" i="6" s="1"/>
  <c r="N320" i="6"/>
  <c r="P320" i="6" s="1"/>
  <c r="N321" i="6"/>
  <c r="P321" i="6" s="1"/>
  <c r="N322" i="6"/>
  <c r="P322" i="6" s="1"/>
  <c r="M317" i="6"/>
  <c r="M318" i="6"/>
  <c r="M319" i="6"/>
  <c r="M320" i="6"/>
  <c r="M321" i="6"/>
  <c r="M322" i="6"/>
  <c r="L317" i="6"/>
  <c r="L318" i="6"/>
  <c r="L319" i="6"/>
  <c r="L320" i="6"/>
  <c r="L321" i="6"/>
  <c r="L322" i="6"/>
  <c r="C317" i="6"/>
  <c r="C318" i="6"/>
  <c r="C319" i="6"/>
  <c r="C320" i="6"/>
  <c r="C321" i="6"/>
  <c r="C322" i="6"/>
  <c r="A317" i="6"/>
  <c r="A318" i="6"/>
  <c r="A319" i="6"/>
  <c r="A320" i="6"/>
  <c r="A321" i="6"/>
  <c r="A322" i="6"/>
  <c r="AY318" i="6"/>
  <c r="AY319" i="6"/>
  <c r="AY320" i="6"/>
  <c r="AY321" i="6"/>
  <c r="AY322" i="6"/>
  <c r="AY317" i="6"/>
  <c r="AS317" i="6"/>
  <c r="J317" i="6" s="1"/>
  <c r="AS318" i="6"/>
  <c r="J318" i="6" s="1"/>
  <c r="AS319" i="6"/>
  <c r="J319" i="6" s="1"/>
  <c r="AS320" i="6"/>
  <c r="J320" i="6" s="1"/>
  <c r="AS321" i="6"/>
  <c r="J321" i="6" s="1"/>
  <c r="AS322" i="6"/>
  <c r="J322" i="6" s="1"/>
  <c r="AC185" i="7" l="1"/>
  <c r="AC184" i="7"/>
  <c r="L185" i="7"/>
  <c r="L184" i="7"/>
  <c r="I185" i="7"/>
  <c r="I184" i="7"/>
  <c r="C184" i="7"/>
  <c r="C185" i="7"/>
  <c r="A185" i="7"/>
  <c r="A184" i="7"/>
  <c r="U194" i="6"/>
  <c r="U195" i="6"/>
  <c r="L194" i="6"/>
  <c r="M194" i="6"/>
  <c r="N194" i="6"/>
  <c r="P194" i="6" s="1"/>
  <c r="L195" i="6"/>
  <c r="M195" i="6"/>
  <c r="N195" i="6"/>
  <c r="P195" i="6" s="1"/>
  <c r="C194" i="6"/>
  <c r="C195" i="6"/>
  <c r="A194" i="6"/>
  <c r="A195" i="6"/>
  <c r="AS195" i="6"/>
  <c r="J195" i="6" s="1"/>
  <c r="AS194" i="6"/>
  <c r="J194" i="6" s="1"/>
  <c r="C315" i="6" l="1"/>
  <c r="C314" i="6"/>
  <c r="A4" i="8" l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3" i="8"/>
  <c r="A310" i="7"/>
  <c r="C310" i="7"/>
  <c r="I310" i="7"/>
  <c r="AC310" i="7"/>
  <c r="L310" i="7" s="1"/>
  <c r="L313" i="6"/>
  <c r="M313" i="6"/>
  <c r="N313" i="6"/>
  <c r="O313" i="6"/>
  <c r="A209" i="6"/>
  <c r="C209" i="6"/>
  <c r="J209" i="6"/>
  <c r="L209" i="6"/>
  <c r="M209" i="6"/>
  <c r="N209" i="6"/>
  <c r="O209" i="6"/>
  <c r="U209" i="6"/>
  <c r="A210" i="6"/>
  <c r="C210" i="6"/>
  <c r="J210" i="6"/>
  <c r="L210" i="6"/>
  <c r="M210" i="6"/>
  <c r="N210" i="6"/>
  <c r="O210" i="6"/>
  <c r="U210" i="6"/>
  <c r="A211" i="6"/>
  <c r="C211" i="6"/>
  <c r="J211" i="6"/>
  <c r="L211" i="6"/>
  <c r="M211" i="6"/>
  <c r="N211" i="6"/>
  <c r="O211" i="6"/>
  <c r="U211" i="6"/>
  <c r="A212" i="6"/>
  <c r="C212" i="6"/>
  <c r="J212" i="6"/>
  <c r="L212" i="6"/>
  <c r="M212" i="6"/>
  <c r="N212" i="6"/>
  <c r="O212" i="6"/>
  <c r="U212" i="6"/>
  <c r="A213" i="6"/>
  <c r="C213" i="6"/>
  <c r="J213" i="6"/>
  <c r="L213" i="6"/>
  <c r="M213" i="6"/>
  <c r="N213" i="6"/>
  <c r="O213" i="6"/>
  <c r="U213" i="6"/>
  <c r="A214" i="6"/>
  <c r="C214" i="6"/>
  <c r="J214" i="6"/>
  <c r="L214" i="6"/>
  <c r="M214" i="6"/>
  <c r="N214" i="6"/>
  <c r="O214" i="6"/>
  <c r="U214" i="6"/>
  <c r="A215" i="6"/>
  <c r="C215" i="6"/>
  <c r="J215" i="6"/>
  <c r="L215" i="6"/>
  <c r="M215" i="6"/>
  <c r="N215" i="6"/>
  <c r="O215" i="6"/>
  <c r="U215" i="6"/>
  <c r="A216" i="6"/>
  <c r="C216" i="6"/>
  <c r="J216" i="6"/>
  <c r="L216" i="6"/>
  <c r="M216" i="6"/>
  <c r="N216" i="6"/>
  <c r="O216" i="6"/>
  <c r="U216" i="6"/>
  <c r="A217" i="6"/>
  <c r="C217" i="6"/>
  <c r="J217" i="6"/>
  <c r="L217" i="6"/>
  <c r="M217" i="6"/>
  <c r="N217" i="6"/>
  <c r="O217" i="6"/>
  <c r="U217" i="6"/>
  <c r="A218" i="6"/>
  <c r="C218" i="6"/>
  <c r="J218" i="6"/>
  <c r="L218" i="6"/>
  <c r="M218" i="6"/>
  <c r="N218" i="6"/>
  <c r="O218" i="6"/>
  <c r="U218" i="6"/>
  <c r="A219" i="6"/>
  <c r="C219" i="6"/>
  <c r="J219" i="6"/>
  <c r="L219" i="6"/>
  <c r="M219" i="6"/>
  <c r="N219" i="6"/>
  <c r="O219" i="6"/>
  <c r="U219" i="6"/>
  <c r="A220" i="6"/>
  <c r="C220" i="6"/>
  <c r="J220" i="6"/>
  <c r="L220" i="6"/>
  <c r="M220" i="6"/>
  <c r="N220" i="6"/>
  <c r="O220" i="6"/>
  <c r="U220" i="6"/>
  <c r="A221" i="6"/>
  <c r="C221" i="6"/>
  <c r="J221" i="6"/>
  <c r="L221" i="6"/>
  <c r="M221" i="6"/>
  <c r="N221" i="6"/>
  <c r="O221" i="6"/>
  <c r="U221" i="6"/>
  <c r="A222" i="6"/>
  <c r="C222" i="6"/>
  <c r="J222" i="6"/>
  <c r="L222" i="6"/>
  <c r="M222" i="6"/>
  <c r="N222" i="6"/>
  <c r="O222" i="6"/>
  <c r="U222" i="6"/>
  <c r="A223" i="6"/>
  <c r="C223" i="6"/>
  <c r="J223" i="6"/>
  <c r="L223" i="6"/>
  <c r="M223" i="6"/>
  <c r="N223" i="6"/>
  <c r="O223" i="6"/>
  <c r="U223" i="6"/>
  <c r="A224" i="6"/>
  <c r="C224" i="6"/>
  <c r="J224" i="6"/>
  <c r="L224" i="6"/>
  <c r="M224" i="6"/>
  <c r="N224" i="6"/>
  <c r="O224" i="6"/>
  <c r="U224" i="6"/>
  <c r="A225" i="6"/>
  <c r="C225" i="6"/>
  <c r="J225" i="6"/>
  <c r="L225" i="6"/>
  <c r="M225" i="6"/>
  <c r="N225" i="6"/>
  <c r="O225" i="6"/>
  <c r="U225" i="6"/>
  <c r="A226" i="6"/>
  <c r="C226" i="6"/>
  <c r="J226" i="6"/>
  <c r="L226" i="6"/>
  <c r="M226" i="6"/>
  <c r="N226" i="6"/>
  <c r="O226" i="6"/>
  <c r="U226" i="6"/>
  <c r="A227" i="6"/>
  <c r="C227" i="6"/>
  <c r="J227" i="6"/>
  <c r="L227" i="6"/>
  <c r="M227" i="6"/>
  <c r="N227" i="6"/>
  <c r="O227" i="6"/>
  <c r="U227" i="6"/>
  <c r="A228" i="6"/>
  <c r="C228" i="6"/>
  <c r="J228" i="6"/>
  <c r="L228" i="6"/>
  <c r="M228" i="6"/>
  <c r="N228" i="6"/>
  <c r="O228" i="6"/>
  <c r="U228" i="6"/>
  <c r="A229" i="6"/>
  <c r="C229" i="6"/>
  <c r="J229" i="6"/>
  <c r="L229" i="6"/>
  <c r="M229" i="6"/>
  <c r="N229" i="6"/>
  <c r="O229" i="6"/>
  <c r="U229" i="6"/>
  <c r="A230" i="6"/>
  <c r="C230" i="6"/>
  <c r="J230" i="6"/>
  <c r="L230" i="6"/>
  <c r="M230" i="6"/>
  <c r="N230" i="6"/>
  <c r="O230" i="6"/>
  <c r="U230" i="6"/>
  <c r="A231" i="6"/>
  <c r="C231" i="6"/>
  <c r="J231" i="6"/>
  <c r="L231" i="6"/>
  <c r="M231" i="6"/>
  <c r="N231" i="6"/>
  <c r="O231" i="6"/>
  <c r="U231" i="6"/>
  <c r="A232" i="6"/>
  <c r="C232" i="6"/>
  <c r="J232" i="6"/>
  <c r="L232" i="6"/>
  <c r="M232" i="6"/>
  <c r="N232" i="6"/>
  <c r="O232" i="6"/>
  <c r="U232" i="6"/>
  <c r="A233" i="6"/>
  <c r="C233" i="6"/>
  <c r="J233" i="6"/>
  <c r="L233" i="6"/>
  <c r="M233" i="6"/>
  <c r="N233" i="6"/>
  <c r="O233" i="6"/>
  <c r="U233" i="6"/>
  <c r="A234" i="6"/>
  <c r="C234" i="6"/>
  <c r="J234" i="6"/>
  <c r="L234" i="6"/>
  <c r="M234" i="6"/>
  <c r="N234" i="6"/>
  <c r="O234" i="6"/>
  <c r="U234" i="6"/>
  <c r="A235" i="6"/>
  <c r="C235" i="6"/>
  <c r="J235" i="6"/>
  <c r="L235" i="6"/>
  <c r="M235" i="6"/>
  <c r="N235" i="6"/>
  <c r="O235" i="6"/>
  <c r="U235" i="6"/>
  <c r="A236" i="6"/>
  <c r="C236" i="6"/>
  <c r="J236" i="6"/>
  <c r="L236" i="6"/>
  <c r="M236" i="6"/>
  <c r="N236" i="6"/>
  <c r="O236" i="6"/>
  <c r="U236" i="6"/>
  <c r="A237" i="6"/>
  <c r="C237" i="6"/>
  <c r="J237" i="6"/>
  <c r="L237" i="6"/>
  <c r="M237" i="6"/>
  <c r="N237" i="6"/>
  <c r="O237" i="6"/>
  <c r="U237" i="6"/>
  <c r="A238" i="6"/>
  <c r="C238" i="6"/>
  <c r="J238" i="6"/>
  <c r="L238" i="6"/>
  <c r="M238" i="6"/>
  <c r="N238" i="6"/>
  <c r="O238" i="6"/>
  <c r="U238" i="6"/>
  <c r="A239" i="6"/>
  <c r="C239" i="6"/>
  <c r="J239" i="6"/>
  <c r="L239" i="6"/>
  <c r="M239" i="6"/>
  <c r="N239" i="6"/>
  <c r="O239" i="6"/>
  <c r="U239" i="6"/>
  <c r="A240" i="6"/>
  <c r="C240" i="6"/>
  <c r="J240" i="6"/>
  <c r="L240" i="6"/>
  <c r="M240" i="6"/>
  <c r="N240" i="6"/>
  <c r="O240" i="6"/>
  <c r="U240" i="6"/>
  <c r="A241" i="6"/>
  <c r="C241" i="6"/>
  <c r="J241" i="6"/>
  <c r="L241" i="6"/>
  <c r="M241" i="6"/>
  <c r="N241" i="6"/>
  <c r="O241" i="6"/>
  <c r="U241" i="6"/>
  <c r="A242" i="6"/>
  <c r="C242" i="6"/>
  <c r="J242" i="6"/>
  <c r="L242" i="6"/>
  <c r="M242" i="6"/>
  <c r="N242" i="6"/>
  <c r="O242" i="6"/>
  <c r="P242" i="6" s="1"/>
  <c r="U242" i="6"/>
  <c r="A243" i="6"/>
  <c r="C243" i="6"/>
  <c r="J243" i="6"/>
  <c r="L243" i="6"/>
  <c r="M243" i="6"/>
  <c r="N243" i="6"/>
  <c r="O243" i="6"/>
  <c r="P243" i="6" s="1"/>
  <c r="U243" i="6"/>
  <c r="A244" i="6"/>
  <c r="C244" i="6"/>
  <c r="J244" i="6"/>
  <c r="L244" i="6"/>
  <c r="M244" i="6"/>
  <c r="N244" i="6"/>
  <c r="O244" i="6"/>
  <c r="U244" i="6"/>
  <c r="A245" i="6"/>
  <c r="C245" i="6"/>
  <c r="J245" i="6"/>
  <c r="L245" i="6"/>
  <c r="M245" i="6"/>
  <c r="N245" i="6"/>
  <c r="O245" i="6"/>
  <c r="P245" i="6" s="1"/>
  <c r="U245" i="6"/>
  <c r="A246" i="6"/>
  <c r="C246" i="6"/>
  <c r="J246" i="6"/>
  <c r="L246" i="6"/>
  <c r="M246" i="6"/>
  <c r="N246" i="6"/>
  <c r="O246" i="6"/>
  <c r="U246" i="6"/>
  <c r="A247" i="6"/>
  <c r="C247" i="6"/>
  <c r="J247" i="6"/>
  <c r="L247" i="6"/>
  <c r="M247" i="6"/>
  <c r="N247" i="6"/>
  <c r="O247" i="6"/>
  <c r="U247" i="6"/>
  <c r="A248" i="6"/>
  <c r="C248" i="6"/>
  <c r="J248" i="6"/>
  <c r="L248" i="6"/>
  <c r="M248" i="6"/>
  <c r="N248" i="6"/>
  <c r="O248" i="6"/>
  <c r="U248" i="6"/>
  <c r="A249" i="6"/>
  <c r="C249" i="6"/>
  <c r="J249" i="6"/>
  <c r="L249" i="6"/>
  <c r="M249" i="6"/>
  <c r="N249" i="6"/>
  <c r="O249" i="6"/>
  <c r="P249" i="6" s="1"/>
  <c r="U249" i="6"/>
  <c r="A250" i="6"/>
  <c r="C250" i="6"/>
  <c r="J250" i="6"/>
  <c r="L250" i="6"/>
  <c r="M250" i="6"/>
  <c r="N250" i="6"/>
  <c r="O250" i="6"/>
  <c r="U250" i="6"/>
  <c r="A251" i="6"/>
  <c r="C251" i="6"/>
  <c r="J251" i="6"/>
  <c r="L251" i="6"/>
  <c r="M251" i="6"/>
  <c r="N251" i="6"/>
  <c r="O251" i="6"/>
  <c r="U251" i="6"/>
  <c r="A252" i="6"/>
  <c r="C252" i="6"/>
  <c r="J252" i="6"/>
  <c r="L252" i="6"/>
  <c r="M252" i="6"/>
  <c r="N252" i="6"/>
  <c r="O252" i="6"/>
  <c r="U252" i="6"/>
  <c r="A253" i="6"/>
  <c r="C253" i="6"/>
  <c r="J253" i="6"/>
  <c r="L253" i="6"/>
  <c r="M253" i="6"/>
  <c r="N253" i="6"/>
  <c r="O253" i="6"/>
  <c r="U253" i="6"/>
  <c r="A254" i="6"/>
  <c r="C254" i="6"/>
  <c r="J254" i="6"/>
  <c r="L254" i="6"/>
  <c r="M254" i="6"/>
  <c r="N254" i="6"/>
  <c r="O254" i="6"/>
  <c r="U254" i="6"/>
  <c r="A255" i="6"/>
  <c r="C255" i="6"/>
  <c r="J255" i="6"/>
  <c r="L255" i="6"/>
  <c r="M255" i="6"/>
  <c r="N255" i="6"/>
  <c r="O255" i="6"/>
  <c r="U255" i="6"/>
  <c r="A256" i="6"/>
  <c r="C256" i="6"/>
  <c r="J256" i="6"/>
  <c r="L256" i="6"/>
  <c r="M256" i="6"/>
  <c r="N256" i="6"/>
  <c r="O256" i="6"/>
  <c r="U256" i="6"/>
  <c r="A257" i="6"/>
  <c r="C257" i="6"/>
  <c r="J257" i="6"/>
  <c r="L257" i="6"/>
  <c r="M257" i="6"/>
  <c r="N257" i="6"/>
  <c r="O257" i="6"/>
  <c r="U257" i="6"/>
  <c r="A258" i="6"/>
  <c r="C258" i="6"/>
  <c r="J258" i="6"/>
  <c r="L258" i="6"/>
  <c r="M258" i="6"/>
  <c r="N258" i="6"/>
  <c r="O258" i="6"/>
  <c r="U258" i="6"/>
  <c r="A259" i="6"/>
  <c r="C259" i="6"/>
  <c r="J259" i="6"/>
  <c r="L259" i="6"/>
  <c r="M259" i="6"/>
  <c r="N259" i="6"/>
  <c r="O259" i="6"/>
  <c r="U259" i="6"/>
  <c r="A260" i="6"/>
  <c r="C260" i="6"/>
  <c r="J260" i="6"/>
  <c r="L260" i="6"/>
  <c r="M260" i="6"/>
  <c r="N260" i="6"/>
  <c r="O260" i="6"/>
  <c r="U260" i="6"/>
  <c r="A261" i="6"/>
  <c r="C261" i="6"/>
  <c r="J261" i="6"/>
  <c r="L261" i="6"/>
  <c r="M261" i="6"/>
  <c r="N261" i="6"/>
  <c r="O261" i="6"/>
  <c r="U261" i="6"/>
  <c r="A262" i="6"/>
  <c r="C262" i="6"/>
  <c r="J262" i="6"/>
  <c r="L262" i="6"/>
  <c r="M262" i="6"/>
  <c r="N262" i="6"/>
  <c r="O262" i="6"/>
  <c r="U262" i="6"/>
  <c r="A263" i="6"/>
  <c r="C263" i="6"/>
  <c r="J263" i="6"/>
  <c r="L263" i="6"/>
  <c r="M263" i="6"/>
  <c r="N263" i="6"/>
  <c r="O263" i="6"/>
  <c r="U263" i="6"/>
  <c r="A264" i="6"/>
  <c r="C264" i="6"/>
  <c r="J264" i="6"/>
  <c r="L264" i="6"/>
  <c r="M264" i="6"/>
  <c r="N264" i="6"/>
  <c r="O264" i="6"/>
  <c r="U264" i="6"/>
  <c r="A265" i="6"/>
  <c r="C265" i="6"/>
  <c r="J265" i="6"/>
  <c r="L265" i="6"/>
  <c r="M265" i="6"/>
  <c r="N265" i="6"/>
  <c r="O265" i="6"/>
  <c r="U265" i="6"/>
  <c r="A266" i="6"/>
  <c r="C266" i="6"/>
  <c r="J266" i="6"/>
  <c r="L266" i="6"/>
  <c r="M266" i="6"/>
  <c r="U266" i="6"/>
  <c r="A267" i="6"/>
  <c r="C267" i="6"/>
  <c r="J267" i="6"/>
  <c r="L267" i="6"/>
  <c r="M267" i="6"/>
  <c r="U267" i="6"/>
  <c r="A268" i="6"/>
  <c r="C268" i="6"/>
  <c r="J268" i="6"/>
  <c r="L268" i="6"/>
  <c r="M268" i="6"/>
  <c r="N268" i="6"/>
  <c r="O268" i="6"/>
  <c r="U268" i="6"/>
  <c r="A269" i="6"/>
  <c r="C269" i="6"/>
  <c r="J269" i="6"/>
  <c r="L269" i="6"/>
  <c r="M269" i="6"/>
  <c r="N269" i="6"/>
  <c r="O269" i="6"/>
  <c r="U269" i="6"/>
  <c r="A270" i="6"/>
  <c r="C270" i="6"/>
  <c r="J270" i="6"/>
  <c r="L270" i="6"/>
  <c r="M270" i="6"/>
  <c r="N270" i="6"/>
  <c r="O270" i="6"/>
  <c r="U270" i="6"/>
  <c r="A271" i="6"/>
  <c r="C271" i="6"/>
  <c r="J271" i="6"/>
  <c r="L271" i="6"/>
  <c r="M271" i="6"/>
  <c r="N271" i="6"/>
  <c r="O271" i="6"/>
  <c r="U271" i="6"/>
  <c r="A272" i="6"/>
  <c r="C272" i="6"/>
  <c r="J272" i="6"/>
  <c r="L272" i="6"/>
  <c r="M272" i="6"/>
  <c r="N272" i="6"/>
  <c r="O272" i="6"/>
  <c r="U272" i="6"/>
  <c r="A273" i="6"/>
  <c r="C273" i="6"/>
  <c r="J273" i="6"/>
  <c r="L273" i="6"/>
  <c r="M273" i="6"/>
  <c r="N273" i="6"/>
  <c r="O273" i="6"/>
  <c r="U273" i="6"/>
  <c r="A274" i="6"/>
  <c r="C274" i="6"/>
  <c r="J274" i="6"/>
  <c r="L274" i="6"/>
  <c r="M274" i="6"/>
  <c r="N274" i="6"/>
  <c r="O274" i="6"/>
  <c r="U274" i="6"/>
  <c r="A275" i="6"/>
  <c r="C275" i="6"/>
  <c r="J275" i="6"/>
  <c r="L275" i="6"/>
  <c r="M275" i="6"/>
  <c r="N275" i="6"/>
  <c r="O275" i="6"/>
  <c r="U275" i="6"/>
  <c r="A276" i="6"/>
  <c r="C276" i="6"/>
  <c r="J276" i="6"/>
  <c r="L276" i="6"/>
  <c r="M276" i="6"/>
  <c r="N276" i="6"/>
  <c r="O276" i="6"/>
  <c r="U276" i="6"/>
  <c r="A277" i="6"/>
  <c r="C277" i="6"/>
  <c r="J277" i="6"/>
  <c r="L277" i="6"/>
  <c r="M277" i="6"/>
  <c r="N277" i="6"/>
  <c r="O277" i="6"/>
  <c r="U277" i="6"/>
  <c r="A278" i="6"/>
  <c r="C278" i="6"/>
  <c r="J278" i="6"/>
  <c r="L278" i="6"/>
  <c r="M278" i="6"/>
  <c r="N278" i="6"/>
  <c r="O278" i="6"/>
  <c r="U278" i="6"/>
  <c r="A279" i="6"/>
  <c r="C279" i="6"/>
  <c r="J279" i="6"/>
  <c r="L279" i="6"/>
  <c r="M279" i="6"/>
  <c r="N279" i="6"/>
  <c r="O279" i="6"/>
  <c r="U279" i="6"/>
  <c r="A280" i="6"/>
  <c r="C280" i="6"/>
  <c r="J280" i="6"/>
  <c r="L280" i="6"/>
  <c r="M280" i="6"/>
  <c r="N280" i="6"/>
  <c r="O280" i="6"/>
  <c r="U280" i="6"/>
  <c r="A281" i="6"/>
  <c r="C281" i="6"/>
  <c r="J281" i="6"/>
  <c r="L281" i="6"/>
  <c r="M281" i="6"/>
  <c r="N281" i="6"/>
  <c r="O281" i="6"/>
  <c r="U281" i="6"/>
  <c r="A282" i="6"/>
  <c r="C282" i="6"/>
  <c r="J282" i="6"/>
  <c r="L282" i="6"/>
  <c r="M282" i="6"/>
  <c r="N282" i="6"/>
  <c r="O282" i="6"/>
  <c r="U282" i="6"/>
  <c r="A283" i="6"/>
  <c r="C283" i="6"/>
  <c r="J283" i="6"/>
  <c r="L283" i="6"/>
  <c r="M283" i="6"/>
  <c r="N283" i="6"/>
  <c r="O283" i="6"/>
  <c r="U283" i="6"/>
  <c r="A284" i="6"/>
  <c r="C284" i="6"/>
  <c r="J284" i="6"/>
  <c r="L284" i="6"/>
  <c r="M284" i="6"/>
  <c r="N284" i="6"/>
  <c r="O284" i="6"/>
  <c r="U284" i="6"/>
  <c r="A285" i="6"/>
  <c r="C285" i="6"/>
  <c r="J285" i="6"/>
  <c r="L285" i="6"/>
  <c r="M285" i="6"/>
  <c r="N285" i="6"/>
  <c r="O285" i="6"/>
  <c r="U285" i="6"/>
  <c r="A286" i="6"/>
  <c r="C286" i="6"/>
  <c r="J286" i="6"/>
  <c r="L286" i="6"/>
  <c r="M286" i="6"/>
  <c r="N286" i="6"/>
  <c r="O286" i="6"/>
  <c r="U286" i="6"/>
  <c r="A287" i="6"/>
  <c r="C287" i="6"/>
  <c r="J287" i="6"/>
  <c r="L287" i="6"/>
  <c r="M287" i="6"/>
  <c r="N287" i="6"/>
  <c r="O287" i="6"/>
  <c r="U287" i="6"/>
  <c r="A288" i="6"/>
  <c r="C288" i="6"/>
  <c r="J288" i="6"/>
  <c r="L288" i="6"/>
  <c r="M288" i="6"/>
  <c r="N288" i="6"/>
  <c r="O288" i="6"/>
  <c r="U288" i="6"/>
  <c r="A289" i="6"/>
  <c r="C289" i="6"/>
  <c r="J289" i="6"/>
  <c r="L289" i="6"/>
  <c r="M289" i="6"/>
  <c r="N289" i="6"/>
  <c r="O289" i="6"/>
  <c r="U289" i="6"/>
  <c r="A290" i="6"/>
  <c r="C290" i="6"/>
  <c r="J290" i="6"/>
  <c r="L290" i="6"/>
  <c r="M290" i="6"/>
  <c r="N290" i="6"/>
  <c r="O290" i="6"/>
  <c r="U290" i="6"/>
  <c r="A291" i="6"/>
  <c r="C291" i="6"/>
  <c r="J291" i="6"/>
  <c r="L291" i="6"/>
  <c r="M291" i="6"/>
  <c r="N291" i="6"/>
  <c r="O291" i="6"/>
  <c r="U291" i="6"/>
  <c r="A292" i="6"/>
  <c r="C292" i="6"/>
  <c r="J292" i="6"/>
  <c r="L292" i="6"/>
  <c r="M292" i="6"/>
  <c r="N292" i="6"/>
  <c r="O292" i="6"/>
  <c r="U292" i="6"/>
  <c r="A293" i="6"/>
  <c r="C293" i="6"/>
  <c r="J293" i="6"/>
  <c r="L293" i="6"/>
  <c r="M293" i="6"/>
  <c r="N293" i="6"/>
  <c r="O293" i="6"/>
  <c r="U293" i="6"/>
  <c r="A294" i="6"/>
  <c r="C294" i="6"/>
  <c r="J294" i="6"/>
  <c r="L294" i="6"/>
  <c r="M294" i="6"/>
  <c r="N294" i="6"/>
  <c r="O294" i="6"/>
  <c r="U294" i="6"/>
  <c r="A295" i="6"/>
  <c r="C295" i="6"/>
  <c r="J295" i="6"/>
  <c r="L295" i="6"/>
  <c r="M295" i="6"/>
  <c r="N295" i="6"/>
  <c r="O295" i="6"/>
  <c r="U295" i="6"/>
  <c r="A296" i="6"/>
  <c r="C296" i="6"/>
  <c r="J296" i="6"/>
  <c r="L296" i="6"/>
  <c r="M296" i="6"/>
  <c r="N296" i="6"/>
  <c r="O296" i="6"/>
  <c r="U296" i="6"/>
  <c r="A297" i="6"/>
  <c r="C297" i="6"/>
  <c r="J297" i="6"/>
  <c r="L297" i="6"/>
  <c r="M297" i="6"/>
  <c r="N297" i="6"/>
  <c r="O297" i="6"/>
  <c r="U297" i="6"/>
  <c r="A298" i="6"/>
  <c r="C298" i="6"/>
  <c r="J298" i="6"/>
  <c r="L298" i="6"/>
  <c r="M298" i="6"/>
  <c r="N298" i="6"/>
  <c r="O298" i="6"/>
  <c r="U298" i="6"/>
  <c r="A299" i="6"/>
  <c r="C299" i="6"/>
  <c r="J299" i="6"/>
  <c r="L299" i="6"/>
  <c r="M299" i="6"/>
  <c r="N299" i="6"/>
  <c r="O299" i="6"/>
  <c r="U299" i="6"/>
  <c r="A300" i="6"/>
  <c r="C300" i="6"/>
  <c r="J300" i="6"/>
  <c r="L300" i="6"/>
  <c r="M300" i="6"/>
  <c r="N300" i="6"/>
  <c r="O300" i="6"/>
  <c r="U300" i="6"/>
  <c r="A301" i="6"/>
  <c r="C301" i="6"/>
  <c r="J301" i="6"/>
  <c r="L301" i="6"/>
  <c r="M301" i="6"/>
  <c r="N301" i="6"/>
  <c r="O301" i="6"/>
  <c r="U301" i="6"/>
  <c r="A302" i="6"/>
  <c r="C302" i="6"/>
  <c r="J302" i="6"/>
  <c r="L302" i="6"/>
  <c r="M302" i="6"/>
  <c r="N302" i="6"/>
  <c r="O302" i="6"/>
  <c r="U302" i="6"/>
  <c r="A303" i="6"/>
  <c r="C303" i="6"/>
  <c r="J303" i="6"/>
  <c r="L303" i="6"/>
  <c r="M303" i="6"/>
  <c r="N303" i="6"/>
  <c r="O303" i="6"/>
  <c r="U303" i="6"/>
  <c r="A304" i="6"/>
  <c r="C304" i="6"/>
  <c r="J304" i="6"/>
  <c r="L304" i="6"/>
  <c r="M304" i="6"/>
  <c r="N304" i="6"/>
  <c r="O304" i="6"/>
  <c r="U304" i="6"/>
  <c r="A305" i="6"/>
  <c r="C305" i="6"/>
  <c r="J305" i="6"/>
  <c r="L305" i="6"/>
  <c r="M305" i="6"/>
  <c r="N305" i="6"/>
  <c r="O305" i="6"/>
  <c r="U305" i="6"/>
  <c r="A306" i="6"/>
  <c r="C306" i="6"/>
  <c r="J306" i="6"/>
  <c r="L306" i="6"/>
  <c r="M306" i="6"/>
  <c r="N306" i="6"/>
  <c r="O306" i="6"/>
  <c r="U306" i="6"/>
  <c r="A307" i="6"/>
  <c r="C307" i="6"/>
  <c r="J307" i="6"/>
  <c r="L307" i="6"/>
  <c r="M307" i="6"/>
  <c r="N307" i="6"/>
  <c r="O307" i="6"/>
  <c r="U307" i="6"/>
  <c r="A308" i="6"/>
  <c r="C308" i="6"/>
  <c r="J308" i="6"/>
  <c r="L308" i="6"/>
  <c r="M308" i="6"/>
  <c r="N308" i="6"/>
  <c r="O308" i="6"/>
  <c r="U308" i="6"/>
  <c r="A309" i="6"/>
  <c r="C309" i="6"/>
  <c r="J309" i="6"/>
  <c r="L309" i="6"/>
  <c r="M309" i="6"/>
  <c r="N309" i="6"/>
  <c r="O309" i="6"/>
  <c r="U309" i="6"/>
  <c r="A310" i="6"/>
  <c r="C310" i="6"/>
  <c r="J310" i="6"/>
  <c r="L310" i="6"/>
  <c r="M310" i="6"/>
  <c r="N310" i="6"/>
  <c r="O310" i="6"/>
  <c r="U310" i="6"/>
  <c r="A311" i="6"/>
  <c r="C311" i="6"/>
  <c r="J311" i="6"/>
  <c r="L311" i="6"/>
  <c r="M311" i="6"/>
  <c r="N311" i="6"/>
  <c r="O311" i="6"/>
  <c r="U311" i="6"/>
  <c r="A312" i="6"/>
  <c r="C312" i="6"/>
  <c r="J312" i="6"/>
  <c r="L312" i="6"/>
  <c r="M312" i="6"/>
  <c r="N312" i="6"/>
  <c r="O312" i="6"/>
  <c r="U312" i="6"/>
  <c r="A313" i="6"/>
  <c r="C313" i="6"/>
  <c r="J313" i="6"/>
  <c r="U313" i="6"/>
  <c r="A314" i="6"/>
  <c r="J314" i="6"/>
  <c r="L314" i="6"/>
  <c r="M314" i="6"/>
  <c r="N314" i="6"/>
  <c r="O314" i="6"/>
  <c r="U314" i="6"/>
  <c r="A315" i="6"/>
  <c r="J315" i="6"/>
  <c r="L315" i="6"/>
  <c r="M315" i="6"/>
  <c r="N315" i="6"/>
  <c r="O315" i="6"/>
  <c r="U315" i="6"/>
  <c r="A316" i="6"/>
  <c r="C316" i="6"/>
  <c r="J316" i="6"/>
  <c r="L316" i="6"/>
  <c r="M316" i="6"/>
  <c r="N316" i="6"/>
  <c r="O316" i="6"/>
  <c r="U316" i="6"/>
  <c r="U208" i="6"/>
  <c r="O208" i="6"/>
  <c r="N208" i="6"/>
  <c r="M208" i="6"/>
  <c r="L208" i="6"/>
  <c r="J208" i="6"/>
  <c r="C208" i="6"/>
  <c r="A208" i="6"/>
  <c r="A208" i="7"/>
  <c r="C208" i="7"/>
  <c r="I208" i="7"/>
  <c r="L208" i="7"/>
  <c r="A209" i="7"/>
  <c r="C209" i="7"/>
  <c r="I209" i="7"/>
  <c r="L209" i="7"/>
  <c r="A210" i="7"/>
  <c r="C210" i="7"/>
  <c r="I210" i="7"/>
  <c r="L210" i="7"/>
  <c r="A211" i="7"/>
  <c r="C211" i="7"/>
  <c r="I211" i="7"/>
  <c r="L211" i="7"/>
  <c r="A212" i="7"/>
  <c r="C212" i="7"/>
  <c r="I212" i="7"/>
  <c r="L212" i="7"/>
  <c r="A213" i="7"/>
  <c r="C213" i="7"/>
  <c r="I213" i="7"/>
  <c r="L213" i="7"/>
  <c r="A214" i="7"/>
  <c r="C214" i="7"/>
  <c r="I214" i="7"/>
  <c r="L214" i="7"/>
  <c r="A215" i="7"/>
  <c r="C215" i="7"/>
  <c r="I215" i="7"/>
  <c r="L215" i="7"/>
  <c r="A216" i="7"/>
  <c r="C216" i="7"/>
  <c r="I216" i="7"/>
  <c r="L216" i="7"/>
  <c r="A217" i="7"/>
  <c r="C217" i="7"/>
  <c r="I217" i="7"/>
  <c r="L217" i="7"/>
  <c r="A218" i="7"/>
  <c r="C218" i="7"/>
  <c r="I218" i="7"/>
  <c r="L218" i="7"/>
  <c r="A219" i="7"/>
  <c r="C219" i="7"/>
  <c r="I219" i="7"/>
  <c r="L219" i="7"/>
  <c r="A220" i="7"/>
  <c r="C220" i="7"/>
  <c r="I220" i="7"/>
  <c r="L220" i="7"/>
  <c r="A221" i="7"/>
  <c r="C221" i="7"/>
  <c r="I221" i="7"/>
  <c r="L221" i="7"/>
  <c r="A222" i="7"/>
  <c r="C222" i="7"/>
  <c r="I222" i="7"/>
  <c r="L222" i="7"/>
  <c r="A223" i="7"/>
  <c r="C223" i="7"/>
  <c r="I223" i="7"/>
  <c r="L223" i="7"/>
  <c r="A224" i="7"/>
  <c r="C224" i="7"/>
  <c r="I224" i="7"/>
  <c r="L224" i="7"/>
  <c r="A225" i="7"/>
  <c r="C225" i="7"/>
  <c r="I225" i="7"/>
  <c r="L225" i="7"/>
  <c r="A226" i="7"/>
  <c r="C226" i="7"/>
  <c r="I226" i="7"/>
  <c r="L226" i="7"/>
  <c r="A227" i="7"/>
  <c r="C227" i="7"/>
  <c r="I227" i="7"/>
  <c r="L227" i="7"/>
  <c r="A228" i="7"/>
  <c r="C228" i="7"/>
  <c r="I228" i="7"/>
  <c r="L228" i="7"/>
  <c r="A229" i="7"/>
  <c r="C229" i="7"/>
  <c r="I229" i="7"/>
  <c r="L229" i="7"/>
  <c r="A230" i="7"/>
  <c r="C230" i="7"/>
  <c r="I230" i="7"/>
  <c r="L230" i="7"/>
  <c r="A231" i="7"/>
  <c r="C231" i="7"/>
  <c r="I231" i="7"/>
  <c r="L231" i="7"/>
  <c r="A232" i="7"/>
  <c r="C232" i="7"/>
  <c r="I232" i="7"/>
  <c r="L232" i="7"/>
  <c r="A233" i="7"/>
  <c r="C233" i="7"/>
  <c r="I233" i="7"/>
  <c r="L233" i="7"/>
  <c r="A234" i="7"/>
  <c r="C234" i="7"/>
  <c r="I234" i="7"/>
  <c r="L234" i="7"/>
  <c r="A235" i="7"/>
  <c r="C235" i="7"/>
  <c r="I235" i="7"/>
  <c r="L235" i="7"/>
  <c r="A236" i="7"/>
  <c r="C236" i="7"/>
  <c r="I236" i="7"/>
  <c r="L236" i="7"/>
  <c r="A237" i="7"/>
  <c r="C237" i="7"/>
  <c r="I237" i="7"/>
  <c r="L237" i="7"/>
  <c r="A238" i="7"/>
  <c r="C238" i="7"/>
  <c r="I238" i="7"/>
  <c r="L238" i="7"/>
  <c r="A239" i="7"/>
  <c r="C239" i="7"/>
  <c r="I239" i="7"/>
  <c r="L239" i="7"/>
  <c r="A240" i="7"/>
  <c r="C240" i="7"/>
  <c r="I240" i="7"/>
  <c r="L240" i="7"/>
  <c r="A241" i="7"/>
  <c r="C241" i="7"/>
  <c r="I241" i="7"/>
  <c r="L241" i="7"/>
  <c r="A242" i="7"/>
  <c r="C242" i="7"/>
  <c r="I242" i="7"/>
  <c r="L242" i="7"/>
  <c r="A243" i="7"/>
  <c r="C243" i="7"/>
  <c r="I243" i="7"/>
  <c r="L243" i="7"/>
  <c r="A244" i="7"/>
  <c r="C244" i="7"/>
  <c r="I244" i="7"/>
  <c r="L244" i="7"/>
  <c r="A245" i="7"/>
  <c r="C245" i="7"/>
  <c r="I245" i="7"/>
  <c r="L245" i="7"/>
  <c r="A246" i="7"/>
  <c r="C246" i="7"/>
  <c r="I246" i="7"/>
  <c r="L246" i="7"/>
  <c r="A247" i="7"/>
  <c r="C247" i="7"/>
  <c r="I247" i="7"/>
  <c r="L247" i="7"/>
  <c r="A248" i="7"/>
  <c r="C248" i="7"/>
  <c r="I248" i="7"/>
  <c r="L248" i="7"/>
  <c r="A249" i="7"/>
  <c r="C249" i="7"/>
  <c r="I249" i="7"/>
  <c r="L249" i="7"/>
  <c r="A250" i="7"/>
  <c r="C250" i="7"/>
  <c r="I250" i="7"/>
  <c r="L250" i="7"/>
  <c r="A251" i="7"/>
  <c r="C251" i="7"/>
  <c r="I251" i="7"/>
  <c r="L251" i="7"/>
  <c r="A252" i="7"/>
  <c r="C252" i="7"/>
  <c r="I252" i="7"/>
  <c r="L252" i="7"/>
  <c r="A253" i="7"/>
  <c r="C253" i="7"/>
  <c r="I253" i="7"/>
  <c r="L253" i="7"/>
  <c r="A254" i="7"/>
  <c r="C254" i="7"/>
  <c r="I254" i="7"/>
  <c r="L254" i="7"/>
  <c r="A255" i="7"/>
  <c r="C255" i="7"/>
  <c r="I255" i="7"/>
  <c r="L255" i="7"/>
  <c r="A256" i="7"/>
  <c r="C256" i="7"/>
  <c r="I256" i="7"/>
  <c r="L256" i="7"/>
  <c r="A257" i="7"/>
  <c r="C257" i="7"/>
  <c r="I257" i="7"/>
  <c r="L257" i="7"/>
  <c r="A258" i="7"/>
  <c r="C258" i="7"/>
  <c r="I258" i="7"/>
  <c r="L258" i="7"/>
  <c r="A259" i="7"/>
  <c r="C259" i="7"/>
  <c r="I259" i="7"/>
  <c r="L259" i="7"/>
  <c r="A260" i="7"/>
  <c r="C260" i="7"/>
  <c r="I260" i="7"/>
  <c r="L260" i="7"/>
  <c r="A261" i="7"/>
  <c r="C261" i="7"/>
  <c r="I261" i="7"/>
  <c r="L261" i="7"/>
  <c r="A262" i="7"/>
  <c r="C262" i="7"/>
  <c r="I262" i="7"/>
  <c r="L262" i="7"/>
  <c r="A263" i="7"/>
  <c r="C263" i="7"/>
  <c r="I263" i="7"/>
  <c r="L263" i="7"/>
  <c r="A264" i="7"/>
  <c r="C264" i="7"/>
  <c r="I264" i="7"/>
  <c r="L264" i="7"/>
  <c r="A265" i="7"/>
  <c r="C265" i="7"/>
  <c r="I265" i="7"/>
  <c r="L265" i="7"/>
  <c r="A266" i="7"/>
  <c r="C266" i="7"/>
  <c r="I266" i="7"/>
  <c r="L266" i="7"/>
  <c r="A267" i="7"/>
  <c r="C267" i="7"/>
  <c r="I267" i="7"/>
  <c r="L267" i="7"/>
  <c r="A268" i="7"/>
  <c r="C268" i="7"/>
  <c r="I268" i="7"/>
  <c r="L268" i="7"/>
  <c r="A269" i="7"/>
  <c r="C269" i="7"/>
  <c r="I269" i="7"/>
  <c r="L269" i="7"/>
  <c r="A270" i="7"/>
  <c r="C270" i="7"/>
  <c r="I270" i="7"/>
  <c r="L270" i="7"/>
  <c r="A271" i="7"/>
  <c r="C271" i="7"/>
  <c r="I271" i="7"/>
  <c r="L271" i="7"/>
  <c r="A272" i="7"/>
  <c r="C272" i="7"/>
  <c r="I272" i="7"/>
  <c r="L272" i="7"/>
  <c r="A273" i="7"/>
  <c r="C273" i="7"/>
  <c r="I273" i="7"/>
  <c r="L273" i="7"/>
  <c r="A274" i="7"/>
  <c r="C274" i="7"/>
  <c r="I274" i="7"/>
  <c r="L274" i="7"/>
  <c r="A275" i="7"/>
  <c r="C275" i="7"/>
  <c r="I275" i="7"/>
  <c r="L275" i="7"/>
  <c r="A276" i="7"/>
  <c r="C276" i="7"/>
  <c r="I276" i="7"/>
  <c r="L276" i="7"/>
  <c r="A277" i="7"/>
  <c r="C277" i="7"/>
  <c r="I277" i="7"/>
  <c r="L277" i="7"/>
  <c r="A278" i="7"/>
  <c r="C278" i="7"/>
  <c r="I278" i="7"/>
  <c r="L278" i="7"/>
  <c r="A279" i="7"/>
  <c r="C279" i="7"/>
  <c r="I279" i="7"/>
  <c r="L279" i="7"/>
  <c r="A280" i="7"/>
  <c r="C280" i="7"/>
  <c r="I280" i="7"/>
  <c r="L280" i="7"/>
  <c r="A281" i="7"/>
  <c r="C281" i="7"/>
  <c r="I281" i="7"/>
  <c r="L281" i="7"/>
  <c r="A282" i="7"/>
  <c r="C282" i="7"/>
  <c r="I282" i="7"/>
  <c r="L282" i="7"/>
  <c r="A283" i="7"/>
  <c r="C283" i="7"/>
  <c r="I283" i="7"/>
  <c r="L283" i="7"/>
  <c r="A284" i="7"/>
  <c r="C284" i="7"/>
  <c r="I284" i="7"/>
  <c r="L284" i="7"/>
  <c r="A285" i="7"/>
  <c r="C285" i="7"/>
  <c r="I285" i="7"/>
  <c r="L285" i="7"/>
  <c r="A286" i="7"/>
  <c r="C286" i="7"/>
  <c r="I286" i="7"/>
  <c r="L286" i="7"/>
  <c r="A287" i="7"/>
  <c r="C287" i="7"/>
  <c r="I287" i="7"/>
  <c r="L287" i="7"/>
  <c r="A288" i="7"/>
  <c r="C288" i="7"/>
  <c r="I288" i="7"/>
  <c r="L288" i="7"/>
  <c r="A289" i="7"/>
  <c r="C289" i="7"/>
  <c r="I289" i="7"/>
  <c r="L289" i="7"/>
  <c r="A290" i="7"/>
  <c r="C290" i="7"/>
  <c r="I290" i="7"/>
  <c r="L290" i="7"/>
  <c r="A291" i="7"/>
  <c r="C291" i="7"/>
  <c r="I291" i="7"/>
  <c r="L291" i="7"/>
  <c r="A292" i="7"/>
  <c r="C292" i="7"/>
  <c r="I292" i="7"/>
  <c r="L292" i="7"/>
  <c r="A293" i="7"/>
  <c r="C293" i="7"/>
  <c r="I293" i="7"/>
  <c r="L293" i="7"/>
  <c r="A294" i="7"/>
  <c r="C294" i="7"/>
  <c r="I294" i="7"/>
  <c r="L294" i="7"/>
  <c r="A295" i="7"/>
  <c r="C295" i="7"/>
  <c r="I295" i="7"/>
  <c r="L295" i="7"/>
  <c r="A296" i="7"/>
  <c r="C296" i="7"/>
  <c r="I296" i="7"/>
  <c r="L296" i="7"/>
  <c r="A297" i="7"/>
  <c r="C297" i="7"/>
  <c r="I297" i="7"/>
  <c r="L297" i="7"/>
  <c r="A298" i="7"/>
  <c r="C298" i="7"/>
  <c r="I298" i="7"/>
  <c r="L298" i="7"/>
  <c r="A299" i="7"/>
  <c r="C299" i="7"/>
  <c r="I299" i="7"/>
  <c r="L299" i="7"/>
  <c r="A300" i="7"/>
  <c r="C300" i="7"/>
  <c r="I300" i="7"/>
  <c r="L300" i="7"/>
  <c r="A301" i="7"/>
  <c r="C301" i="7"/>
  <c r="I301" i="7"/>
  <c r="L301" i="7"/>
  <c r="A302" i="7"/>
  <c r="C302" i="7"/>
  <c r="I302" i="7"/>
  <c r="L302" i="7"/>
  <c r="A303" i="7"/>
  <c r="C303" i="7"/>
  <c r="I303" i="7"/>
  <c r="L303" i="7"/>
  <c r="A304" i="7"/>
  <c r="C304" i="7"/>
  <c r="I304" i="7"/>
  <c r="L304" i="7"/>
  <c r="A305" i="7"/>
  <c r="C305" i="7"/>
  <c r="I305" i="7"/>
  <c r="L305" i="7"/>
  <c r="A306" i="7"/>
  <c r="C306" i="7"/>
  <c r="I306" i="7"/>
  <c r="L306" i="7"/>
  <c r="A307" i="7"/>
  <c r="C307" i="7"/>
  <c r="I307" i="7"/>
  <c r="L307" i="7"/>
  <c r="A308" i="7"/>
  <c r="C308" i="7"/>
  <c r="I308" i="7"/>
  <c r="L308" i="7"/>
  <c r="A309" i="7"/>
  <c r="C309" i="7"/>
  <c r="I309" i="7"/>
  <c r="L309" i="7"/>
  <c r="A311" i="7"/>
  <c r="C311" i="7"/>
  <c r="I311" i="7"/>
  <c r="L311" i="7"/>
  <c r="A312" i="7"/>
  <c r="C312" i="7"/>
  <c r="I312" i="7"/>
  <c r="L312" i="7"/>
  <c r="L207" i="7"/>
  <c r="I207" i="7"/>
  <c r="C207" i="7"/>
  <c r="A207" i="7"/>
  <c r="P257" i="6" l="1"/>
  <c r="P241" i="6"/>
  <c r="P303" i="6"/>
  <c r="P209" i="6"/>
  <c r="P312" i="6"/>
  <c r="P307" i="6"/>
  <c r="P305" i="6"/>
  <c r="P304" i="6"/>
  <c r="P273" i="6"/>
  <c r="P287" i="6"/>
  <c r="P281" i="6"/>
  <c r="P277" i="6"/>
  <c r="P275" i="6"/>
  <c r="P274" i="6"/>
  <c r="P225" i="6"/>
  <c r="P217" i="6"/>
  <c r="P213" i="6"/>
  <c r="P211" i="6"/>
  <c r="P210" i="6"/>
  <c r="P313" i="6"/>
  <c r="P294" i="6"/>
  <c r="P290" i="6"/>
  <c r="P288" i="6"/>
  <c r="P263" i="6"/>
  <c r="P260" i="6"/>
  <c r="P258" i="6"/>
  <c r="P233" i="6"/>
  <c r="P229" i="6"/>
  <c r="P227" i="6"/>
  <c r="P226" i="6"/>
  <c r="P208" i="6"/>
  <c r="P315" i="6"/>
  <c r="P299" i="6"/>
  <c r="P296" i="6"/>
  <c r="P295" i="6"/>
  <c r="P284" i="6"/>
  <c r="P283" i="6"/>
  <c r="P282" i="6"/>
  <c r="P269" i="6"/>
  <c r="P265" i="6"/>
  <c r="P264" i="6"/>
  <c r="P253" i="6"/>
  <c r="P251" i="6"/>
  <c r="P250" i="6"/>
  <c r="P237" i="6"/>
  <c r="P235" i="6"/>
  <c r="P234" i="6"/>
  <c r="P221" i="6"/>
  <c r="P219" i="6"/>
  <c r="P218" i="6"/>
  <c r="P316" i="6"/>
  <c r="P309" i="6"/>
  <c r="P308" i="6"/>
  <c r="P301" i="6"/>
  <c r="P300" i="6"/>
  <c r="P292" i="6"/>
  <c r="P291" i="6"/>
  <c r="P285" i="6"/>
  <c r="P279" i="6"/>
  <c r="P278" i="6"/>
  <c r="P271" i="6"/>
  <c r="P270" i="6"/>
  <c r="P261" i="6"/>
  <c r="P255" i="6"/>
  <c r="P254" i="6"/>
  <c r="P247" i="6"/>
  <c r="P246" i="6"/>
  <c r="P239" i="6"/>
  <c r="P238" i="6"/>
  <c r="P230" i="6"/>
  <c r="P223" i="6"/>
  <c r="P222" i="6"/>
  <c r="P215" i="6"/>
  <c r="P214" i="6"/>
  <c r="P314" i="6"/>
  <c r="P311" i="6"/>
  <c r="P310" i="6"/>
  <c r="P306" i="6"/>
  <c r="P302" i="6"/>
  <c r="P298" i="6"/>
  <c r="P297" i="6"/>
  <c r="P293" i="6"/>
  <c r="P289" i="6"/>
  <c r="P286" i="6"/>
  <c r="P280" i="6"/>
  <c r="P276" i="6"/>
  <c r="P272" i="6"/>
  <c r="P268" i="6"/>
  <c r="P262" i="6"/>
  <c r="P259" i="6"/>
  <c r="P256" i="6"/>
  <c r="P252" i="6"/>
  <c r="P248" i="6"/>
  <c r="P244" i="6"/>
  <c r="P240" i="6"/>
  <c r="P236" i="6"/>
  <c r="P232" i="6"/>
  <c r="P231" i="6"/>
  <c r="P228" i="6"/>
  <c r="P224" i="6"/>
  <c r="P220" i="6"/>
  <c r="P216" i="6"/>
  <c r="P212" i="6"/>
</calcChain>
</file>

<file path=xl/comments1.xml><?xml version="1.0" encoding="utf-8"?>
<comments xmlns="http://schemas.openxmlformats.org/spreadsheetml/2006/main">
  <authors>
    <author>cholbrook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GLATOS_ARRAY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TTB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LOCATION_DESCRIPTION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Lower Tittabawassee River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C2" authorId="0">
      <text>
        <r>
          <rPr>
            <b/>
            <sz val="8"/>
            <color indexed="81"/>
            <rFont val="Tahoma"/>
            <family val="2"/>
          </rPr>
          <t>WATER_BODY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Tittabawassee River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>GLATOS_REGION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Lake Huron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</commentList>
</comments>
</file>

<file path=xl/comments2.xml><?xml version="1.0" encoding="utf-8"?>
<comments xmlns="http://schemas.openxmlformats.org/spreadsheetml/2006/main">
  <authors>
    <author>cholbrook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OTN_REGION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Great Lakes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GLATOS_ARRAY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SBO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C2" authorId="0">
      <text>
        <r>
          <rPr>
            <b/>
            <sz val="8"/>
            <color indexed="81"/>
            <rFont val="Tahoma"/>
            <family val="2"/>
          </rPr>
          <t>OTN_ARRAY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SBO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>STATION_NO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001</t>
        </r>
        <r>
          <rPr>
            <sz val="8"/>
            <color indexed="81"/>
            <rFont val="Tahoma"/>
            <family val="2"/>
          </rPr>
          <t xml:space="preserve">
Format: integer formatted as text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BOTTOM_DEPTH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75</t>
        </r>
        <r>
          <rPr>
            <sz val="8"/>
            <color indexed="81"/>
            <rFont val="Tahoma"/>
            <family val="2"/>
          </rPr>
          <t xml:space="preserve">
Format: Integer; Units:  meters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PROPOSED_LAT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44.47815</t>
        </r>
        <r>
          <rPr>
            <sz val="8"/>
            <color indexed="81"/>
            <rFont val="Tahoma"/>
            <family val="2"/>
          </rPr>
          <t xml:space="preserve">
Format: dd.ddddd; places: to 5 decimals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PROPOSED_LONG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-63.53337</t>
        </r>
        <r>
          <rPr>
            <sz val="8"/>
            <color indexed="81"/>
            <rFont val="Tahoma"/>
            <family val="2"/>
          </rPr>
          <t xml:space="preserve">
Format: ddd.ddddd; places: to 5 decimals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PROPOSED_START_DATE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2009-06-12</t>
        </r>
        <r>
          <rPr>
            <sz val="8"/>
            <color indexed="81"/>
            <rFont val="Tahoma"/>
            <family val="2"/>
          </rPr>
          <t xml:space="preserve">
Format: yyyy-mm-dd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PROPOSED_END_DATE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2009-06-12</t>
        </r>
        <r>
          <rPr>
            <sz val="8"/>
            <color indexed="81"/>
            <rFont val="Tahoma"/>
            <family val="2"/>
          </rPr>
          <t xml:space="preserve">
Format: yyyy-mm-dd</t>
        </r>
      </text>
    </comment>
    <comment ref="J2" authorId="0">
      <text>
        <r>
          <rPr>
            <b/>
            <sz val="8"/>
            <color indexed="81"/>
            <rFont val="Tahoma"/>
            <family val="2"/>
          </rPr>
          <t>GLATOS_INS_FREQUENCY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69</t>
        </r>
        <r>
          <rPr>
            <sz val="8"/>
            <color indexed="81"/>
            <rFont val="Tahoma"/>
            <family val="2"/>
          </rPr>
          <t xml:space="preserve">
Format: integer; Units: kHz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GLATOS_FUNDED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Yes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>GLATOS_SEASONAL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Yes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  <comment ref="M2" authorId="0">
      <text>
        <r>
          <rPr>
            <b/>
            <sz val="8"/>
            <color indexed="81"/>
            <rFont val="Tahoma"/>
            <family val="2"/>
          </rPr>
          <t>GLATOS_PROJECT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SMRSL</t>
        </r>
        <r>
          <rPr>
            <sz val="8"/>
            <color indexed="81"/>
            <rFont val="Tahoma"/>
            <family val="2"/>
          </rPr>
          <t xml:space="preserve">
Format: Text; 5 characters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GLATOS_VPS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No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</commentList>
</comments>
</file>

<file path=xl/comments3.xml><?xml version="1.0" encoding="utf-8"?>
<comments xmlns="http://schemas.openxmlformats.org/spreadsheetml/2006/main">
  <authors>
    <author>cholbrook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GLATOS_ARRAY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SBO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OTN_ARRAY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SBO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C2" authorId="0">
      <text>
        <r>
          <rPr>
            <b/>
            <sz val="8"/>
            <color indexed="81"/>
            <rFont val="Tahoma"/>
            <family val="2"/>
          </rPr>
          <t>STATION_NO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001</t>
        </r>
        <r>
          <rPr>
            <sz val="8"/>
            <color indexed="81"/>
            <rFont val="Tahoma"/>
            <family val="2"/>
          </rPr>
          <t xml:space="preserve">
Format: integer formatted as text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>CONSECUTIVE_DEPLOY_NO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3</t>
        </r>
        <r>
          <rPr>
            <sz val="8"/>
            <color indexed="81"/>
            <rFont val="Tahoma"/>
            <family val="2"/>
          </rPr>
          <t xml:space="preserve">
Format: integer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MOORING_DROP_DEAD_DATE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2009-06-12</t>
        </r>
        <r>
          <rPr>
            <sz val="8"/>
            <color indexed="81"/>
            <rFont val="Tahoma"/>
            <family val="2"/>
          </rPr>
          <t xml:space="preserve">
Format: yyyy-mm-dd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INTEND_LAT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44.47815</t>
        </r>
        <r>
          <rPr>
            <sz val="8"/>
            <color indexed="81"/>
            <rFont val="Tahoma"/>
            <family val="2"/>
          </rPr>
          <t xml:space="preserve">
Format: dd.ddddd; places: to 5 decimals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INTEND_LONG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-63.53337</t>
        </r>
        <r>
          <rPr>
            <sz val="8"/>
            <color indexed="81"/>
            <rFont val="Tahoma"/>
            <family val="2"/>
          </rPr>
          <t xml:space="preserve">
Format: ddd.ddddd; places: to 5 decimals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OTN_MISSION_ID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NATURA2009020414</t>
        </r>
        <r>
          <rPr>
            <sz val="8"/>
            <color indexed="81"/>
            <rFont val="Tahoma"/>
            <family val="2"/>
          </rPr>
          <t xml:space="preserve">
Format: VVVVVVyyyymmddhh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DEPLOY_DATE_TIME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 2009-02-26T14:05:00</t>
        </r>
        <r>
          <rPr>
            <sz val="8"/>
            <color indexed="81"/>
            <rFont val="Tahoma"/>
            <family val="2"/>
          </rPr>
          <t xml:space="preserve">
Format: yyyy-mm-ddThh:mm:ss</t>
        </r>
      </text>
    </comment>
    <comment ref="J2" authorId="0">
      <text>
        <r>
          <rPr>
            <b/>
            <sz val="8"/>
            <color indexed="81"/>
            <rFont val="Tahoma"/>
            <family val="2"/>
          </rPr>
          <t>GLATOS_DEPLOY_DATE_TIME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 2009-02-26 14:05</t>
        </r>
        <r>
          <rPr>
            <sz val="8"/>
            <color indexed="81"/>
            <rFont val="Tahoma"/>
            <family val="2"/>
          </rPr>
          <t xml:space="preserve">
Format: yyyy-mm-dd hh:mm (24 hr format)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GLATOS_TIMEZONE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Eastern</t>
        </r>
        <r>
          <rPr>
            <sz val="8"/>
            <color indexed="81"/>
            <rFont val="Tahoma"/>
            <family val="2"/>
          </rPr>
          <t xml:space="preserve">
Format: text; "Eastern" or "Central"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>DEPLOY_LAT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44.47815</t>
        </r>
        <r>
          <rPr>
            <sz val="8"/>
            <color indexed="81"/>
            <rFont val="Tahoma"/>
            <family val="2"/>
          </rPr>
          <t xml:space="preserve">
Format: dd.ddddd; places: to 5 decimals</t>
        </r>
      </text>
    </comment>
    <comment ref="M2" authorId="0">
      <text>
        <r>
          <rPr>
            <b/>
            <sz val="8"/>
            <color indexed="81"/>
            <rFont val="Tahoma"/>
            <family val="2"/>
          </rPr>
          <t>DEPLOY_LONG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-63.53337</t>
        </r>
        <r>
          <rPr>
            <sz val="8"/>
            <color indexed="81"/>
            <rFont val="Tahoma"/>
            <family val="2"/>
          </rPr>
          <t xml:space="preserve">
Format: ddd.ddddd; places: to 5 decimals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BOTTOM_DEPTH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75</t>
        </r>
        <r>
          <rPr>
            <sz val="8"/>
            <color indexed="81"/>
            <rFont val="Tahoma"/>
            <family val="2"/>
          </rPr>
          <t xml:space="preserve">
Format: integer; Units: meters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RISER_LENGTH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50</t>
        </r>
        <r>
          <rPr>
            <sz val="8"/>
            <color indexed="81"/>
            <rFont val="Tahoma"/>
            <family val="2"/>
          </rPr>
          <t xml:space="preserve">
Format: integer; Units: meters</t>
        </r>
      </text>
    </comment>
    <comment ref="P2" authorId="0">
      <text>
        <r>
          <rPr>
            <b/>
            <sz val="8"/>
            <color indexed="81"/>
            <rFont val="Tahoma"/>
            <family val="2"/>
          </rPr>
          <t>INSTRUMENT_DEPTH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</t>
        </r>
        <r>
          <rPr>
            <sz val="8"/>
            <color indexed="81"/>
            <rFont val="Tahoma"/>
            <family val="2"/>
          </rPr>
          <t xml:space="preserve">
Format: integer ; Units: meters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CHECK_COMPLETE_TIME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0.708009259259259</t>
        </r>
        <r>
          <rPr>
            <sz val="8"/>
            <color indexed="81"/>
            <rFont val="Tahoma"/>
            <family val="2"/>
          </rPr>
          <t xml:space="preserve">
Format: hh:mm:ss</t>
        </r>
      </text>
    </comment>
    <comment ref="R2" authorId="0">
      <text>
        <r>
          <rPr>
            <b/>
            <sz val="8"/>
            <color indexed="81"/>
            <rFont val="Tahoma"/>
            <family val="2"/>
          </rPr>
          <t>STATUS_IN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OK</t>
        </r>
        <r>
          <rPr>
            <sz val="8"/>
            <color indexed="81"/>
            <rFont val="Tahoma"/>
            <family val="2"/>
          </rPr>
          <t xml:space="preserve">
Format: OK or Not OK</t>
        </r>
      </text>
    </comment>
    <comment ref="S2" authorId="0">
      <text>
        <r>
          <rPr>
            <b/>
            <sz val="8"/>
            <color indexed="81"/>
            <rFont val="Tahoma"/>
            <family val="2"/>
          </rPr>
          <t>INS_MODEL_NO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VR2W</t>
        </r>
        <r>
          <rPr>
            <sz val="8"/>
            <color indexed="81"/>
            <rFont val="Tahoma"/>
            <family val="2"/>
          </rPr>
          <t xml:space="preserve">
Format: free text, not otherwise specified</t>
        </r>
      </text>
    </comment>
    <comment ref="T2" authorId="0">
      <text>
        <r>
          <rPr>
            <b/>
            <sz val="8"/>
            <color indexed="81"/>
            <rFont val="Tahoma"/>
            <family val="2"/>
          </rPr>
          <t>GLATOS_INS_FREQUENCY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69</t>
        </r>
        <r>
          <rPr>
            <sz val="8"/>
            <color indexed="81"/>
            <rFont val="Tahoma"/>
            <family val="2"/>
          </rPr>
          <t xml:space="preserve">
Format: integer; Units: kHz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INS_SERIAL_NO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104514</t>
        </r>
        <r>
          <rPr>
            <sz val="8"/>
            <color indexed="81"/>
            <rFont val="Tahoma"/>
            <family val="2"/>
          </rPr>
          <t xml:space="preserve">
Format: free text, not otherwise specified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RCV_MODEM_ADDRESS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121</t>
        </r>
        <r>
          <rPr>
            <sz val="8"/>
            <color indexed="81"/>
            <rFont val="Tahoma"/>
            <family val="2"/>
          </rPr>
          <t xml:space="preserve">
Format: 3-digit code from 001 to 249</t>
        </r>
      </text>
    </comment>
    <comment ref="W2" authorId="0">
      <text>
        <r>
          <rPr>
            <b/>
            <sz val="8"/>
            <color indexed="81"/>
            <rFont val="Tahoma"/>
            <family val="2"/>
          </rPr>
          <t>SYNC_DATE_TIME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 2008-09-01T11:13:00</t>
        </r>
        <r>
          <rPr>
            <sz val="8"/>
            <color indexed="81"/>
            <rFont val="Tahoma"/>
            <family val="2"/>
          </rPr>
          <t xml:space="preserve">
Format: as in: 2008-09-01T11:13:00; format: yyyy-mm-ddThh:mm:ss</t>
        </r>
      </text>
    </comment>
    <comment ref="X2" authorId="0">
      <text>
        <r>
          <rPr>
            <b/>
            <sz val="8"/>
            <color indexed="81"/>
            <rFont val="Tahoma"/>
            <family val="2"/>
          </rPr>
          <t>MEMORY_ERASED_AT_DEPLOY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n</t>
        </r>
        <r>
          <rPr>
            <sz val="8"/>
            <color indexed="81"/>
            <rFont val="Tahoma"/>
            <family val="2"/>
          </rPr>
          <t xml:space="preserve">
Format: y or n</t>
        </r>
      </text>
    </comment>
    <comment ref="Y2" authorId="0">
      <text>
        <r>
          <rPr>
            <b/>
            <sz val="8"/>
            <color indexed="81"/>
            <rFont val="Tahoma"/>
            <family val="2"/>
          </rPr>
          <t>RCV_BATTERY_INSTALL_DATE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2009-06-12</t>
        </r>
        <r>
          <rPr>
            <sz val="8"/>
            <color indexed="81"/>
            <rFont val="Tahoma"/>
            <family val="2"/>
          </rPr>
          <t xml:space="preserve">
Format: yyyy-mm-dd</t>
        </r>
      </text>
    </comment>
    <comment ref="Z2" authorId="0">
      <text>
        <r>
          <rPr>
            <b/>
            <sz val="8"/>
            <color indexed="81"/>
            <rFont val="Tahoma"/>
            <family val="2"/>
          </rPr>
          <t>RCV_EXPECTED_BATTERY_LIFE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 year</t>
        </r>
        <r>
          <rPr>
            <sz val="8"/>
            <color indexed="81"/>
            <rFont val="Tahoma"/>
            <family val="2"/>
          </rPr>
          <t xml:space="preserve">
Format: 1 year</t>
        </r>
      </text>
    </comment>
    <comment ref="AA2" authorId="0">
      <text>
        <r>
          <rPr>
            <b/>
            <sz val="8"/>
            <color indexed="81"/>
            <rFont val="Tahoma"/>
            <family val="2"/>
          </rPr>
          <t>RCV_VOLTAGE_AT_DEPLOY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12.2</t>
        </r>
        <r>
          <rPr>
            <sz val="8"/>
            <color indexed="81"/>
            <rFont val="Tahoma"/>
            <family val="2"/>
          </rPr>
          <t xml:space="preserve">
Format: numeric; places: to 1 decimal</t>
        </r>
      </text>
    </comment>
    <comment ref="AB2" authorId="0">
      <text>
        <r>
          <rPr>
            <b/>
            <sz val="8"/>
            <color indexed="81"/>
            <rFont val="Tahoma"/>
            <family val="2"/>
          </rPr>
          <t>RCV_TILT_AFTER_DEPLOY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</t>
        </r>
        <r>
          <rPr>
            <sz val="8"/>
            <color indexed="81"/>
            <rFont val="Tahoma"/>
            <family val="2"/>
          </rPr>
          <t xml:space="preserve">
Format: integer</t>
        </r>
      </text>
    </comment>
    <comment ref="AC2" authorId="0">
      <text>
        <r>
          <rPr>
            <b/>
            <sz val="8"/>
            <color indexed="81"/>
            <rFont val="Tahoma"/>
            <family val="2"/>
          </rPr>
          <t>DEPLOYED_BY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Bates D, Barthelotte J</t>
        </r>
        <r>
          <rPr>
            <sz val="8"/>
            <color indexed="81"/>
            <rFont val="Tahoma"/>
            <family val="2"/>
          </rPr>
          <t xml:space="preserve">
Format: Last name first initial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COMMENTS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Your comment.</t>
        </r>
        <r>
          <rPr>
            <sz val="8"/>
            <color indexed="81"/>
            <rFont val="Tahoma"/>
            <family val="2"/>
          </rPr>
          <t xml:space="preserve">
Format: free text</t>
        </r>
      </text>
    </comment>
    <comment ref="AE2" authorId="0">
      <text>
        <r>
          <rPr>
            <b/>
            <sz val="8"/>
            <color indexed="81"/>
            <rFont val="Tahoma"/>
            <family val="2"/>
          </rPr>
          <t>GLATOS_SEASONAL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Yes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  <comment ref="AF2" authorId="0">
      <text>
        <r>
          <rPr>
            <b/>
            <sz val="8"/>
            <color indexed="81"/>
            <rFont val="Tahoma"/>
            <family val="2"/>
          </rPr>
          <t>GLATOS_PROJECT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SMRSL</t>
        </r>
        <r>
          <rPr>
            <sz val="8"/>
            <color indexed="81"/>
            <rFont val="Tahoma"/>
            <family val="2"/>
          </rPr>
          <t xml:space="preserve">
Format: Text; 5 characters</t>
        </r>
      </text>
    </comment>
    <comment ref="AG2" authorId="0">
      <text>
        <r>
          <rPr>
            <b/>
            <sz val="8"/>
            <color indexed="81"/>
            <rFont val="Tahoma"/>
            <family val="2"/>
          </rPr>
          <t>GLATOS_VPS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No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</commentList>
</comments>
</file>

<file path=xl/comments4.xml><?xml version="1.0" encoding="utf-8"?>
<comments xmlns="http://schemas.openxmlformats.org/spreadsheetml/2006/main">
  <authors>
    <author>cholbrook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GLATOS_ARRAY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SBO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OTN_ARRAY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SBO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C2" authorId="0">
      <text>
        <r>
          <rPr>
            <b/>
            <sz val="8"/>
            <color indexed="81"/>
            <rFont val="Tahoma"/>
            <family val="2"/>
          </rPr>
          <t>STATION_NO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001</t>
        </r>
        <r>
          <rPr>
            <sz val="8"/>
            <color indexed="81"/>
            <rFont val="Tahoma"/>
            <family val="2"/>
          </rPr>
          <t xml:space="preserve">
Format: integer formatted as text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>CONSECUTIVE_DEPLOY_NO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3</t>
        </r>
        <r>
          <rPr>
            <sz val="8"/>
            <color indexed="81"/>
            <rFont val="Tahoma"/>
            <family val="2"/>
          </rPr>
          <t xml:space="preserve">
Format: integer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OTN_MISSION_ID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NATURA2009020414</t>
        </r>
        <r>
          <rPr>
            <sz val="8"/>
            <color indexed="81"/>
            <rFont val="Tahoma"/>
            <family val="2"/>
          </rPr>
          <t xml:space="preserve">
Format: VVVVVVyyyymmddhh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AR_CONFIRM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</t>
        </r>
        <r>
          <rPr>
            <sz val="8"/>
            <color indexed="81"/>
            <rFont val="Tahoma"/>
            <family val="2"/>
          </rPr>
          <t xml:space="preserve">
Format: y or n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DATA_DOWNLOADED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</t>
        </r>
        <r>
          <rPr>
            <sz val="8"/>
            <color indexed="81"/>
            <rFont val="Tahoma"/>
            <family val="2"/>
          </rPr>
          <t xml:space="preserve">
Format: y or n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INS_MODEL_NUMBER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VR2W</t>
        </r>
        <r>
          <rPr>
            <sz val="8"/>
            <color indexed="81"/>
            <rFont val="Tahoma"/>
            <family val="2"/>
          </rPr>
          <t xml:space="preserve">
Format: free text, not otherwise specified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INS_SERIAL_NUMBER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104514</t>
        </r>
        <r>
          <rPr>
            <sz val="8"/>
            <color indexed="81"/>
            <rFont val="Tahoma"/>
            <family val="2"/>
          </rPr>
          <t xml:space="preserve">
Format: free text, not otherwise specified</t>
        </r>
      </text>
    </comment>
    <comment ref="J2" authorId="0">
      <text>
        <r>
          <rPr>
            <b/>
            <sz val="8"/>
            <color indexed="81"/>
            <rFont val="Tahoma"/>
            <family val="2"/>
          </rPr>
          <t>RECOVERED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</t>
        </r>
        <r>
          <rPr>
            <sz val="8"/>
            <color indexed="81"/>
            <rFont val="Tahoma"/>
            <family val="2"/>
          </rPr>
          <t xml:space="preserve">
Format: y, n, or l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RECOVER_DATE_TIME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 2009-12-26T14:25:12</t>
        </r>
        <r>
          <rPr>
            <sz val="8"/>
            <color indexed="81"/>
            <rFont val="Tahoma"/>
            <family val="2"/>
          </rPr>
          <t xml:space="preserve">
Format: as in: 2009-12-26T14:25:12; format: yyyy-mm-ddThh:mm:ss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>GLATOS_RECOVER_DATE_TIME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 2009-12-26 14:25</t>
        </r>
        <r>
          <rPr>
            <sz val="8"/>
            <color indexed="81"/>
            <rFont val="Tahoma"/>
            <family val="2"/>
          </rPr>
          <t xml:space="preserve">
Format: yyyy-mm-dd hh:mm (24 hr format)</t>
        </r>
      </text>
    </comment>
    <comment ref="M2" authorId="0">
      <text>
        <r>
          <rPr>
            <b/>
            <sz val="8"/>
            <color indexed="81"/>
            <rFont val="Tahoma"/>
            <family val="2"/>
          </rPr>
          <t>GLATOS_TIMEZONE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Eastern</t>
        </r>
        <r>
          <rPr>
            <sz val="8"/>
            <color indexed="81"/>
            <rFont val="Tahoma"/>
            <family val="2"/>
          </rPr>
          <t xml:space="preserve">
Format: text; "Eastern" or "Central"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RECOVER_LAT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44.47815</t>
        </r>
        <r>
          <rPr>
            <sz val="8"/>
            <color indexed="81"/>
            <rFont val="Tahoma"/>
            <family val="2"/>
          </rPr>
          <t xml:space="preserve">
Format: dd.ddddd; places: to 5 decimals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RECOVER_LONG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-63.53337</t>
        </r>
        <r>
          <rPr>
            <sz val="8"/>
            <color indexed="81"/>
            <rFont val="Tahoma"/>
            <family val="2"/>
          </rPr>
          <t xml:space="preserve">
Format: ddd.ddddd; places: to 5 decimals</t>
        </r>
      </text>
    </comment>
    <comment ref="P2" authorId="0">
      <text>
        <r>
          <rPr>
            <b/>
            <sz val="8"/>
            <color indexed="81"/>
            <rFont val="Tahoma"/>
            <family val="2"/>
          </rPr>
          <t>GLATOS_PROJECT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SMRSL</t>
        </r>
        <r>
          <rPr>
            <sz val="8"/>
            <color indexed="81"/>
            <rFont val="Tahoma"/>
            <family val="2"/>
          </rPr>
          <t xml:space="preserve">
Format: Text; 5 characters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GLATOS_VPS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No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</commentList>
</comments>
</file>

<file path=xl/comments5.xml><?xml version="1.0" encoding="utf-8"?>
<comments xmlns="http://schemas.openxmlformats.org/spreadsheetml/2006/main">
  <authors>
    <author>cholbrook</author>
  </authors>
  <commentList>
    <comment ref="A2" authorId="0">
      <text>
        <r>
          <rPr>
            <b/>
            <sz val="8"/>
            <color indexed="81"/>
            <rFont val="Tahoma"/>
            <family val="2"/>
          </rPr>
          <t>ANIMAL_ID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 xml:space="preserve">
Format: free text, not otherwise specified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TAG_TYPE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acoustic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C2" authorId="0">
      <text>
        <r>
          <rPr>
            <b/>
            <sz val="8"/>
            <color indexed="81"/>
            <rFont val="Tahoma"/>
            <family val="2"/>
          </rPr>
          <t>TAG_MANUFACTURER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VEMCO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>TAG_MODEL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V9-6L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TAG_SERIAL_NUMBER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1036912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TAG_ID_CODE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1450</t>
        </r>
        <r>
          <rPr>
            <sz val="8"/>
            <color indexed="81"/>
            <rFont val="Tahoma"/>
            <family val="2"/>
          </rPr>
          <t xml:space="preserve">
Format: Integer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TAG_CODE_SPACE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A69-1303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TAG_IMPLANT_TYPE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internal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TAG_ACTIVATION_DATE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2007-04-23</t>
        </r>
        <r>
          <rPr>
            <sz val="8"/>
            <color indexed="81"/>
            <rFont val="Tahoma"/>
            <family val="2"/>
          </rPr>
          <t xml:space="preserve">
Format: yyyy-mm-dd</t>
        </r>
      </text>
    </comment>
    <comment ref="J2" authorId="0">
      <text>
        <r>
          <rPr>
            <b/>
            <sz val="8"/>
            <color indexed="81"/>
            <rFont val="Tahoma"/>
            <family val="2"/>
          </rPr>
          <t>EST_TAG_LIFE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90 days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TAGGER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Sue Smith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>TAG_OWNER_PI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Sue Smith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M2" authorId="0">
      <text>
        <r>
          <rPr>
            <b/>
            <sz val="8"/>
            <color indexed="81"/>
            <rFont val="Tahoma"/>
            <family val="2"/>
          </rPr>
          <t>TAG_OWNER_ORGANIZATION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Sea Sleuths International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COMMON_NAME_E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coho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SCIENTIFIC_NAME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Oncorhynchus kisutch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P2" authorId="0">
      <text>
        <r>
          <rPr>
            <b/>
            <sz val="8"/>
            <color indexed="81"/>
            <rFont val="Tahoma"/>
            <family val="2"/>
          </rPr>
          <t>CAPTURE_LOCATION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Keogh River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CAPTURE_LATITUDE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43.12345</t>
        </r>
        <r>
          <rPr>
            <sz val="8"/>
            <color indexed="81"/>
            <rFont val="Tahoma"/>
            <family val="2"/>
          </rPr>
          <t xml:space="preserve">
Format:  dd.ddddd; places: to 5 decimals</t>
        </r>
      </text>
    </comment>
    <comment ref="R2" authorId="0">
      <text>
        <r>
          <rPr>
            <b/>
            <sz val="8"/>
            <color indexed="81"/>
            <rFont val="Tahoma"/>
            <family val="2"/>
          </rPr>
          <t>CAPTURE_LONGITUDE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-123.12345</t>
        </r>
        <r>
          <rPr>
            <sz val="8"/>
            <color indexed="81"/>
            <rFont val="Tahoma"/>
            <family val="2"/>
          </rPr>
          <t xml:space="preserve">
Format: ddd.ddddd; places: to 5 decimals</t>
        </r>
      </text>
    </comment>
    <comment ref="S2" authorId="0">
      <text>
        <r>
          <rPr>
            <b/>
            <sz val="8"/>
            <color indexed="81"/>
            <rFont val="Tahoma"/>
            <family val="2"/>
          </rPr>
          <t>WILD_OR_HATCHERY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W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T2" authorId="0">
      <text>
        <r>
          <rPr>
            <b/>
            <sz val="8"/>
            <color indexed="81"/>
            <rFont val="Tahoma"/>
            <family val="2"/>
          </rPr>
          <t>STOCK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Keogh River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LENGTH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1.231</t>
        </r>
        <r>
          <rPr>
            <sz val="8"/>
            <color indexed="81"/>
            <rFont val="Tahoma"/>
            <family val="2"/>
          </rPr>
          <t xml:space="preserve">
Format: meters; place: to 3 decimals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WEIGHT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0.521</t>
        </r>
        <r>
          <rPr>
            <sz val="8"/>
            <color indexed="81"/>
            <rFont val="Tahoma"/>
            <family val="2"/>
          </rPr>
          <t xml:space="preserve">
Format: kg; place: to 3 decimals</t>
        </r>
      </text>
    </comment>
    <comment ref="W2" authorId="0">
      <text>
        <r>
          <rPr>
            <b/>
            <sz val="8"/>
            <color indexed="81"/>
            <rFont val="Tahoma"/>
            <family val="2"/>
          </rPr>
          <t>LENGTH_TYPE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Fork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X2" authorId="0">
      <text>
        <r>
          <rPr>
            <b/>
            <sz val="8"/>
            <color indexed="81"/>
            <rFont val="Tahoma"/>
            <family val="2"/>
          </rPr>
          <t>AGE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7 months or juvenile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Y2" authorId="0">
      <text>
        <r>
          <rPr>
            <b/>
            <sz val="8"/>
            <color indexed="81"/>
            <rFont val="Tahoma"/>
            <family val="2"/>
          </rPr>
          <t>SEX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M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Z2" authorId="0">
      <text>
        <r>
          <rPr>
            <b/>
            <sz val="8"/>
            <color indexed="81"/>
            <rFont val="Tahoma"/>
            <family val="2"/>
          </rPr>
          <t>DNA_SAMPLE_TAKEN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yes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A2" authorId="0">
      <text>
        <r>
          <rPr>
            <b/>
            <sz val="8"/>
            <color indexed="81"/>
            <rFont val="Tahoma"/>
            <family val="2"/>
          </rPr>
          <t>TREATMENT_TYPE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Control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B2" authorId="0">
      <text>
        <r>
          <rPr>
            <b/>
            <sz val="8"/>
            <color indexed="81"/>
            <rFont val="Tahoma"/>
            <family val="2"/>
          </rPr>
          <t>RELEASE_GROUP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</t>
        </r>
        <r>
          <rPr>
            <sz val="8"/>
            <color indexed="81"/>
            <rFont val="Tahoma"/>
            <family val="2"/>
          </rPr>
          <t xml:space="preserve">
Format: integer</t>
        </r>
      </text>
    </comment>
    <comment ref="AC2" authorId="0">
      <text>
        <r>
          <rPr>
            <b/>
            <sz val="8"/>
            <color indexed="81"/>
            <rFont val="Tahoma"/>
            <family val="2"/>
          </rPr>
          <t>RELEASE_LOCATION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Keogh River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RELEASE_LATITUDE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43.12345</t>
        </r>
        <r>
          <rPr>
            <sz val="8"/>
            <color indexed="81"/>
            <rFont val="Tahoma"/>
            <family val="2"/>
          </rPr>
          <t xml:space="preserve">
Format: </t>
        </r>
      </text>
    </comment>
    <comment ref="AE2" authorId="0">
      <text>
        <r>
          <rPr>
            <b/>
            <sz val="8"/>
            <color indexed="81"/>
            <rFont val="Tahoma"/>
            <family val="2"/>
          </rPr>
          <t>RELEASE_LONGITUDE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-123.12345</t>
        </r>
        <r>
          <rPr>
            <sz val="8"/>
            <color indexed="81"/>
            <rFont val="Tahoma"/>
            <family val="2"/>
          </rPr>
          <t xml:space="preserve">
Format: </t>
        </r>
      </text>
    </comment>
    <comment ref="AF2" authorId="0">
      <text>
        <r>
          <rPr>
            <b/>
            <sz val="8"/>
            <color indexed="81"/>
            <rFont val="Tahoma"/>
            <family val="2"/>
          </rPr>
          <t>UTC_RELEASE_DATE_TIME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2009-12-17T14:12:15</t>
        </r>
        <r>
          <rPr>
            <sz val="8"/>
            <color indexed="81"/>
            <rFont val="Tahoma"/>
            <family val="2"/>
          </rPr>
          <t xml:space="preserve">
Format: as in: 2009-12-17T14:12:15; format: yyyy-mm-ddThh:mm:ss</t>
        </r>
      </text>
    </comment>
    <comment ref="AG2" authorId="0">
      <text>
        <r>
          <rPr>
            <b/>
            <sz val="8"/>
            <color indexed="81"/>
            <rFont val="Tahoma"/>
            <family val="2"/>
          </rPr>
          <t>GLATOS_RELEASE_DATE_TIME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 2009-12-26 14:25</t>
        </r>
        <r>
          <rPr>
            <sz val="8"/>
            <color indexed="81"/>
            <rFont val="Tahoma"/>
            <family val="2"/>
          </rPr>
          <t xml:space="preserve">
Format: yyyy-mm-dd hh:mm (24-hour format)</t>
        </r>
      </text>
    </comment>
    <comment ref="AH2" authorId="0">
      <text>
        <r>
          <rPr>
            <b/>
            <sz val="8"/>
            <color indexed="81"/>
            <rFont val="Tahoma"/>
            <family val="2"/>
          </rPr>
          <t>GLATOS_TIMEZONE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Eastern</t>
        </r>
        <r>
          <rPr>
            <sz val="8"/>
            <color indexed="81"/>
            <rFont val="Tahoma"/>
            <family val="2"/>
          </rPr>
          <t xml:space="preserve">
Format: text; "Eastern" or "Central"</t>
        </r>
      </text>
    </comment>
    <comment ref="AI2" authorId="0">
      <text>
        <r>
          <rPr>
            <b/>
            <sz val="8"/>
            <color indexed="81"/>
            <rFont val="Tahoma"/>
            <family val="2"/>
          </rPr>
          <t>CAPTURE_DEPTH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</t>
        </r>
        <r>
          <rPr>
            <sz val="8"/>
            <color indexed="81"/>
            <rFont val="Tahoma"/>
            <family val="2"/>
          </rPr>
          <t xml:space="preserve">
Format: meters</t>
        </r>
      </text>
    </comment>
    <comment ref="AJ2" authorId="0">
      <text>
        <r>
          <rPr>
            <b/>
            <sz val="8"/>
            <color indexed="81"/>
            <rFont val="Tahoma"/>
            <family val="2"/>
          </rPr>
          <t>TEMPERATURE_CHANGE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</t>
        </r>
        <r>
          <rPr>
            <sz val="8"/>
            <color indexed="81"/>
            <rFont val="Tahoma"/>
            <family val="2"/>
          </rPr>
          <t xml:space="preserve">
Format: numeric;units: degrees celsius; places: to 1 decimal</t>
        </r>
      </text>
    </comment>
    <comment ref="AK2" authorId="0">
      <text>
        <r>
          <rPr>
            <b/>
            <sz val="8"/>
            <color indexed="81"/>
            <rFont val="Tahoma"/>
            <family val="2"/>
          </rPr>
          <t>HOLDING_TEMPERATURE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10.3</t>
        </r>
        <r>
          <rPr>
            <sz val="8"/>
            <color indexed="81"/>
            <rFont val="Tahoma"/>
            <family val="2"/>
          </rPr>
          <t xml:space="preserve">
Format: numeric; units: degrees celsius; places: to 1 decimal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SURGERY_LOCATION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Keogh River fence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M2" authorId="0">
      <text>
        <r>
          <rPr>
            <b/>
            <sz val="8"/>
            <color indexed="81"/>
            <rFont val="Tahoma"/>
            <family val="2"/>
          </rPr>
          <t>DATE_OF_SURGERY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2009-06-12</t>
        </r>
        <r>
          <rPr>
            <sz val="8"/>
            <color indexed="81"/>
            <rFont val="Tahoma"/>
            <family val="2"/>
          </rPr>
          <t xml:space="preserve">
Format:  yyyy-mm-dd</t>
        </r>
      </text>
    </comment>
    <comment ref="AN2" authorId="0">
      <text>
        <r>
          <rPr>
            <b/>
            <sz val="8"/>
            <color indexed="81"/>
            <rFont val="Tahoma"/>
            <family val="2"/>
          </rPr>
          <t>SURGERY_LATITUDE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43.12345</t>
        </r>
        <r>
          <rPr>
            <sz val="8"/>
            <color indexed="81"/>
            <rFont val="Tahoma"/>
            <family val="2"/>
          </rPr>
          <t xml:space="preserve">
Format: dd.ddddd; places: to 5 decimals</t>
        </r>
      </text>
    </comment>
    <comment ref="AO2" authorId="0">
      <text>
        <r>
          <rPr>
            <b/>
            <sz val="8"/>
            <color indexed="81"/>
            <rFont val="Tahoma"/>
            <family val="2"/>
          </rPr>
          <t>SURGERY_LONGITUDE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-123.12345</t>
        </r>
        <r>
          <rPr>
            <sz val="8"/>
            <color indexed="81"/>
            <rFont val="Tahoma"/>
            <family val="2"/>
          </rPr>
          <t xml:space="preserve">
Format: ddd.ddddd; places: to 5 decimals</t>
        </r>
      </text>
    </comment>
    <comment ref="AP2" authorId="0">
      <text>
        <r>
          <rPr>
            <b/>
            <sz val="8"/>
            <color indexed="81"/>
            <rFont val="Tahoma"/>
            <family val="2"/>
          </rPr>
          <t>SEDATIVE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aquacalm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Q2" authorId="0">
      <text>
        <r>
          <rPr>
            <b/>
            <sz val="8"/>
            <color indexed="81"/>
            <rFont val="Tahoma"/>
            <family val="2"/>
          </rPr>
          <t>SEDATIVE_CONCENTRATION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</t>
        </r>
        <r>
          <rPr>
            <sz val="8"/>
            <color indexed="81"/>
            <rFont val="Tahoma"/>
            <family val="2"/>
          </rPr>
          <t xml:space="preserve">
Format: numeric units: ppm; place: to 1 decimal</t>
        </r>
      </text>
    </comment>
    <comment ref="AR2" authorId="0">
      <text>
        <r>
          <rPr>
            <b/>
            <sz val="8"/>
            <color indexed="81"/>
            <rFont val="Tahoma"/>
            <family val="2"/>
          </rPr>
          <t>ANAESTHETIC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Tricaine methanesulfonate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S2" authorId="0">
      <text>
        <r>
          <rPr>
            <b/>
            <sz val="8"/>
            <color indexed="81"/>
            <rFont val="Tahoma"/>
            <family val="2"/>
          </rPr>
          <t>BUFFER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Sodium bicarbonate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ANAESTHETIC_CONCENTRATION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</t>
        </r>
        <r>
          <rPr>
            <sz val="8"/>
            <color indexed="81"/>
            <rFont val="Tahoma"/>
            <family val="2"/>
          </rPr>
          <t xml:space="preserve">
Format: numeric; units: ppm; place: to 1 decimal</t>
        </r>
      </text>
    </comment>
    <comment ref="AU2" authorId="0">
      <text>
        <r>
          <rPr>
            <b/>
            <sz val="8"/>
            <color indexed="81"/>
            <rFont val="Tahoma"/>
            <family val="2"/>
          </rPr>
          <t>BUFFER_CONCENTRATION_IN_ANAESTHETIC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</t>
        </r>
        <r>
          <rPr>
            <sz val="8"/>
            <color indexed="81"/>
            <rFont val="Tahoma"/>
            <family val="2"/>
          </rPr>
          <t xml:space="preserve">
Format: numeric; units: ppm; place: to 1 decimal</t>
        </r>
      </text>
    </comment>
    <comment ref="AV2" authorId="0">
      <text>
        <r>
          <rPr>
            <b/>
            <sz val="8"/>
            <color indexed="81"/>
            <rFont val="Tahoma"/>
            <family val="2"/>
          </rPr>
          <t>ANESTHETIC_CONCENTRATION_IN_RECIRCULATION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</t>
        </r>
        <r>
          <rPr>
            <sz val="8"/>
            <color indexed="81"/>
            <rFont val="Tahoma"/>
            <family val="2"/>
          </rPr>
          <t xml:space="preserve">
Format: numeric; units: ppm; place: to 1 decimal</t>
        </r>
      </text>
    </comment>
    <comment ref="AW2" authorId="0">
      <text>
        <r>
          <rPr>
            <b/>
            <sz val="8"/>
            <color indexed="81"/>
            <rFont val="Tahoma"/>
            <family val="2"/>
          </rPr>
          <t>BUFFER_CONCENTRATION_IN_RECIRCULATION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</t>
        </r>
        <r>
          <rPr>
            <sz val="8"/>
            <color indexed="81"/>
            <rFont val="Tahoma"/>
            <family val="2"/>
          </rPr>
          <t xml:space="preserve">
Format: numeric; units: ppm; place: to 1 decimal</t>
        </r>
      </text>
    </comment>
    <comment ref="AX2" authorId="0">
      <text>
        <r>
          <rPr>
            <b/>
            <sz val="8"/>
            <color indexed="81"/>
            <rFont val="Tahoma"/>
            <family val="2"/>
          </rPr>
          <t>DISSOLVED_OXYGEN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0.5</t>
        </r>
        <r>
          <rPr>
            <sz val="8"/>
            <color indexed="81"/>
            <rFont val="Tahoma"/>
            <family val="2"/>
          </rPr>
          <t xml:space="preserve">
Format: numeric; units: ppm; place: to 1 decimal</t>
        </r>
      </text>
    </comment>
    <comment ref="AY2" authorId="0">
      <text>
        <r>
          <rPr>
            <b/>
            <sz val="8"/>
            <color indexed="81"/>
            <rFont val="Tahoma"/>
            <family val="2"/>
          </rPr>
          <t>COMMENTS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fish was exposed to aluminum during surgical procedure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AZ2" authorId="0">
      <text>
        <r>
          <rPr>
            <b/>
            <sz val="8"/>
            <color indexed="81"/>
            <rFont val="Tahoma"/>
            <family val="2"/>
          </rPr>
          <t>GLATOS_PROJECT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SMRSL</t>
        </r>
        <r>
          <rPr>
            <sz val="8"/>
            <color indexed="81"/>
            <rFont val="Tahoma"/>
            <family val="2"/>
          </rPr>
          <t xml:space="preserve">
Format: Text; 5 characters</t>
        </r>
      </text>
    </comment>
    <comment ref="BA2" authorId="0">
      <text>
        <r>
          <rPr>
            <b/>
            <sz val="8"/>
            <color indexed="81"/>
            <rFont val="Tahoma"/>
            <family val="2"/>
          </rPr>
          <t>GLATOS_EXTERNAL_TAG_ID1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02250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GLATOS_EXTERNAL_TAG_ID2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02251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  <comment ref="BC2" authorId="0">
      <text>
        <r>
          <rPr>
            <b/>
            <sz val="8"/>
            <color indexed="81"/>
            <rFont val="Tahoma"/>
            <family val="2"/>
          </rPr>
          <t>GLATOS_TAG_RECOVERED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Yes</t>
        </r>
        <r>
          <rPr>
            <sz val="8"/>
            <color indexed="81"/>
            <rFont val="Tahoma"/>
            <family val="2"/>
          </rPr>
          <t xml:space="preserve">
Format: Yes or No</t>
        </r>
      </text>
    </comment>
    <comment ref="BD2" authorId="0">
      <text>
        <r>
          <rPr>
            <b/>
            <sz val="8"/>
            <color indexed="81"/>
            <rFont val="Tahoma"/>
            <family val="2"/>
          </rPr>
          <t>GLATOS_CAUGHT_DATE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2011-01-14</t>
        </r>
        <r>
          <rPr>
            <sz val="8"/>
            <color indexed="81"/>
            <rFont val="Tahoma"/>
            <family val="2"/>
          </rPr>
          <t xml:space="preserve">
Format: yyyy-mm-dd</t>
        </r>
      </text>
    </comment>
    <comment ref="BE2" authorId="0">
      <text>
        <r>
          <rPr>
            <b/>
            <sz val="8"/>
            <color indexed="81"/>
            <rFont val="Tahoma"/>
            <family val="2"/>
          </rPr>
          <t>GLATOS_REWARD</t>
        </r>
        <r>
          <rPr>
            <sz val="8"/>
            <color indexed="81"/>
            <rFont val="Tahoma"/>
            <family val="2"/>
          </rPr>
          <t xml:space="preserve">
Example:</t>
        </r>
        <r>
          <rPr>
            <b/>
            <sz val="8"/>
            <color indexed="81"/>
            <rFont val="Tahoma"/>
            <family val="2"/>
          </rPr>
          <t xml:space="preserve"> $100</t>
        </r>
        <r>
          <rPr>
            <sz val="8"/>
            <color indexed="81"/>
            <rFont val="Tahoma"/>
            <family val="2"/>
          </rPr>
          <t xml:space="preserve">
Format: text</t>
        </r>
      </text>
    </comment>
  </commentList>
</comments>
</file>

<file path=xl/sharedStrings.xml><?xml version="1.0" encoding="utf-8"?>
<sst xmlns="http://schemas.openxmlformats.org/spreadsheetml/2006/main" count="27941" uniqueCount="449">
  <si>
    <t>OTN_REGION</t>
  </si>
  <si>
    <t>ANIMAL_ID</t>
  </si>
  <si>
    <t>GLATOS_ARRAY</t>
  </si>
  <si>
    <t>TAG_TYPE</t>
  </si>
  <si>
    <t>OTN_ARRAY</t>
  </si>
  <si>
    <t>TAG_MANUFACTURER</t>
  </si>
  <si>
    <t>STATION_NO</t>
  </si>
  <si>
    <t>TAG_MODEL</t>
  </si>
  <si>
    <t>BOTTOM_DEPTH</t>
  </si>
  <si>
    <t>CONSECUTIVE_DEPLOY_NO</t>
  </si>
  <si>
    <t>TAG_SERIAL_NUMBER</t>
  </si>
  <si>
    <t>PROPOSED_LAT</t>
  </si>
  <si>
    <t>MOORING_DROP_DEAD_DATE</t>
  </si>
  <si>
    <t>OTN_MISSION_ID</t>
  </si>
  <si>
    <t>TAG_ID_CODE</t>
  </si>
  <si>
    <t>PROPOSED_LONG</t>
  </si>
  <si>
    <t>INTEND_LAT</t>
  </si>
  <si>
    <t>AR_CONFIRM</t>
  </si>
  <si>
    <t>TAG_CODE_SPACE</t>
  </si>
  <si>
    <t>PROPOSED_START_DATE</t>
  </si>
  <si>
    <t>INTEND_LONG</t>
  </si>
  <si>
    <t>DATA_DOWNLOADED</t>
  </si>
  <si>
    <t>TAG_IMPLANT_TYPE</t>
  </si>
  <si>
    <t>PROPOSED_END_DATE</t>
  </si>
  <si>
    <t>INS_MODEL_NUMBER</t>
  </si>
  <si>
    <t>TAG_ACTIVATION_DATE</t>
  </si>
  <si>
    <t>GLATOS_FUNDED</t>
  </si>
  <si>
    <t>DEPLOY_DATE_TIME</t>
  </si>
  <si>
    <t>INS_SERIAL_NUMBER</t>
  </si>
  <si>
    <t>EST_TAG_LIFE</t>
  </si>
  <si>
    <t>GLATOS_SEASONAL</t>
  </si>
  <si>
    <t>GLATOS_DEPLOY_DATE_TIME</t>
  </si>
  <si>
    <t>RECOVERED</t>
  </si>
  <si>
    <t>TAGGER</t>
  </si>
  <si>
    <t>GLATOS_PROJECT</t>
  </si>
  <si>
    <t>GLATOS_TIMEZONE</t>
  </si>
  <si>
    <t>RECOVER_DATE_TIME</t>
  </si>
  <si>
    <t>TAG_OWNER_PI</t>
  </si>
  <si>
    <t>GLATOS_VPS</t>
  </si>
  <si>
    <t>DEPLOY_LAT</t>
  </si>
  <si>
    <t>GLATOS_RECOVER_DATE_TIME</t>
  </si>
  <si>
    <t>TAG_OWNER_ORGANIZATION</t>
  </si>
  <si>
    <t>DEPLOY_LONG</t>
  </si>
  <si>
    <t>COMMON_NAME_E</t>
  </si>
  <si>
    <t>RECOVER_LAT</t>
  </si>
  <si>
    <t>SCIENTIFIC_NAME</t>
  </si>
  <si>
    <t>RISER_LENGTH</t>
  </si>
  <si>
    <t>RECOVER_LONG</t>
  </si>
  <si>
    <t>CAPTURE_LOCATION</t>
  </si>
  <si>
    <t>INSTRUMENT_DEPTH</t>
  </si>
  <si>
    <t>CAPTURE_LATITUDE</t>
  </si>
  <si>
    <t>CAPTURE_LONGITUDE</t>
  </si>
  <si>
    <t>STATUS_IN</t>
  </si>
  <si>
    <t>WILD_OR_HATCHERY</t>
  </si>
  <si>
    <t>INS_MODEL_NO</t>
  </si>
  <si>
    <t>STOCK</t>
  </si>
  <si>
    <t>INS_SERIAL_NO</t>
  </si>
  <si>
    <t>LENGTH</t>
  </si>
  <si>
    <t>RCV_MODEM_ADDRESS</t>
  </si>
  <si>
    <t>WEIGHT</t>
  </si>
  <si>
    <t>SYNC_DATE_TIME</t>
  </si>
  <si>
    <t>LENGTH_TYPE</t>
  </si>
  <si>
    <t>MEMORY_ERASED_AT_DEPLOY</t>
  </si>
  <si>
    <t>AGE</t>
  </si>
  <si>
    <t>RCV_BATTERY_INSTALL_DATE</t>
  </si>
  <si>
    <t>SEX</t>
  </si>
  <si>
    <t>RCV_EXPECTED_BATTERY_LIFE</t>
  </si>
  <si>
    <t>DNA_SAMPLE_TAKEN</t>
  </si>
  <si>
    <t>RCV_VOLTAGE_AT_DEPLOY</t>
  </si>
  <si>
    <t>TREATMENT_TYPE</t>
  </si>
  <si>
    <t>RCV_TILT_AFTER_DEPLOY</t>
  </si>
  <si>
    <t>RELEASE_GROUP</t>
  </si>
  <si>
    <t>DEPLOYED_BY</t>
  </si>
  <si>
    <t>RELEASE_LOCATION</t>
  </si>
  <si>
    <t>COMMENTS</t>
  </si>
  <si>
    <t>RELEASE_LATITUDE</t>
  </si>
  <si>
    <t>RELEASE_LONGITUDE</t>
  </si>
  <si>
    <t>UTC_RELEASE_DATE_TIME</t>
  </si>
  <si>
    <t>GLATOS_RELEASE_DATE_TIME</t>
  </si>
  <si>
    <t>CAPTURE_DEPTH</t>
  </si>
  <si>
    <t>TEMPERATURE_CHANGE</t>
  </si>
  <si>
    <t>HOLDING_TEMPERATURE</t>
  </si>
  <si>
    <t>SURGERY_LOCATION</t>
  </si>
  <si>
    <t>DATE_OF_SURGERY</t>
  </si>
  <si>
    <t>SURGERY_LATITUDE</t>
  </si>
  <si>
    <t>SURGERY_LONGITUDE</t>
  </si>
  <si>
    <t>SEDATIVE</t>
  </si>
  <si>
    <t>SEDATIVE_CONCENTRATION</t>
  </si>
  <si>
    <t>ANAESTHETIC</t>
  </si>
  <si>
    <t>BUFFER</t>
  </si>
  <si>
    <t>ANAESTHETIC_CONCENTRATION</t>
  </si>
  <si>
    <t>BUFFER_CONCENTRATION_IN_ANAESTHETIC</t>
  </si>
  <si>
    <t>ANESTHETIC_CONCENTRATION_IN_RECIRCULATION</t>
  </si>
  <si>
    <t>BUFFER_CONCENTRATION_IN_RECIRCULATION</t>
  </si>
  <si>
    <t>DISSOLVED_OXYGEN</t>
  </si>
  <si>
    <t>GLATOS_EXTERNAL_TAG_ID1</t>
  </si>
  <si>
    <t>GLATOS_EXTERNAL_TAG_ID2</t>
  </si>
  <si>
    <t>GLATOS_REWARD</t>
  </si>
  <si>
    <t>LOCATION_DESCRIPTION</t>
  </si>
  <si>
    <t>WATER_BODY</t>
  </si>
  <si>
    <t>GLATOS_REGION</t>
  </si>
  <si>
    <t>CHECWLK_COMPLETE_TIME</t>
  </si>
  <si>
    <t>GLATOS_INS_FREQUENCY</t>
  </si>
  <si>
    <t>GLATOS_TAG_RECOVERED</t>
  </si>
  <si>
    <t>GLATOS_CAUGHT_DATE</t>
  </si>
  <si>
    <t>GLATOS Project Code:</t>
  </si>
  <si>
    <t>Principal Investigator (PI):</t>
  </si>
  <si>
    <t>PI E-Mail Address:</t>
  </si>
  <si>
    <t>SMRSL</t>
  </si>
  <si>
    <t>Chris Holbrook</t>
  </si>
  <si>
    <t>cholbrook@usgs.gov</t>
  </si>
  <si>
    <t>BLL</t>
  </si>
  <si>
    <t>Bell Point</t>
  </si>
  <si>
    <t>St. Marys River</t>
  </si>
  <si>
    <t>BRS</t>
  </si>
  <si>
    <t>Brush Point</t>
  </si>
  <si>
    <t>CHR</t>
  </si>
  <si>
    <t>Charlotte River</t>
  </si>
  <si>
    <t>CKI</t>
  </si>
  <si>
    <t>Cook Island</t>
  </si>
  <si>
    <t>DCK</t>
  </si>
  <si>
    <t>Duck Point</t>
  </si>
  <si>
    <t>ECH</t>
  </si>
  <si>
    <t>Echo River</t>
  </si>
  <si>
    <t>EDS</t>
  </si>
  <si>
    <t>Edison Soo Tailrace</t>
  </si>
  <si>
    <t>GRD</t>
  </si>
  <si>
    <t>Garden River</t>
  </si>
  <si>
    <t>IS1</t>
  </si>
  <si>
    <t>Island Number One</t>
  </si>
  <si>
    <t>IS3</t>
  </si>
  <si>
    <t>Island Number Three</t>
  </si>
  <si>
    <t>LMN</t>
  </si>
  <si>
    <t>Little Munuscong River</t>
  </si>
  <si>
    <t>LRC</t>
  </si>
  <si>
    <t>Lower Rock Cut</t>
  </si>
  <si>
    <t>LRP</t>
  </si>
  <si>
    <t>Little Rapids</t>
  </si>
  <si>
    <t>MNB</t>
  </si>
  <si>
    <t>Middle Neebish Channel</t>
  </si>
  <si>
    <t>OVP</t>
  </si>
  <si>
    <t>Old Vessel Point</t>
  </si>
  <si>
    <t>PCH</t>
  </si>
  <si>
    <t>Point Charles</t>
  </si>
  <si>
    <t>PWC</t>
  </si>
  <si>
    <t>Number 10 Power Canal</t>
  </si>
  <si>
    <t>RNS</t>
  </si>
  <si>
    <t>Rains Island</t>
  </si>
  <si>
    <t>RTR</t>
  </si>
  <si>
    <t>Root River</t>
  </si>
  <si>
    <t>RVR</t>
  </si>
  <si>
    <t>Riverside Drive</t>
  </si>
  <si>
    <t>SQR</t>
  </si>
  <si>
    <t>Squirrel Island</t>
  </si>
  <si>
    <t>SSM</t>
  </si>
  <si>
    <t>Sault Ste. Marie</t>
  </si>
  <si>
    <t>STR</t>
  </si>
  <si>
    <t>Strible Point</t>
  </si>
  <si>
    <t>URC</t>
  </si>
  <si>
    <t>Upper Rock Cut</t>
  </si>
  <si>
    <t>018</t>
  </si>
  <si>
    <t>EASTERN</t>
  </si>
  <si>
    <t>VR2W</t>
  </si>
  <si>
    <t>Yes</t>
  </si>
  <si>
    <t>Y</t>
  </si>
  <si>
    <t>019</t>
  </si>
  <si>
    <t>015</t>
  </si>
  <si>
    <t>014</t>
  </si>
  <si>
    <t>020</t>
  </si>
  <si>
    <t>011</t>
  </si>
  <si>
    <t>013</t>
  </si>
  <si>
    <t>012</t>
  </si>
  <si>
    <t>010</t>
  </si>
  <si>
    <t>009</t>
  </si>
  <si>
    <t>008</t>
  </si>
  <si>
    <t>016</t>
  </si>
  <si>
    <t>003</t>
  </si>
  <si>
    <t>002</t>
  </si>
  <si>
    <t>001</t>
  </si>
  <si>
    <t>N</t>
  </si>
  <si>
    <t>017</t>
  </si>
  <si>
    <t>006</t>
  </si>
  <si>
    <t>005</t>
  </si>
  <si>
    <t>004</t>
  </si>
  <si>
    <t>007</t>
  </si>
  <si>
    <t>021</t>
  </si>
  <si>
    <t>RVR-002</t>
  </si>
  <si>
    <t>12 W</t>
  </si>
  <si>
    <t>SMRSL_20120412</t>
  </si>
  <si>
    <t>IS1-004</t>
  </si>
  <si>
    <t>12 S</t>
  </si>
  <si>
    <t>BLC</t>
  </si>
  <si>
    <t>BLC-001</t>
  </si>
  <si>
    <t>12 SSW</t>
  </si>
  <si>
    <t>CKI-003</t>
  </si>
  <si>
    <t>IS1-002</t>
  </si>
  <si>
    <t>LRP-001</t>
  </si>
  <si>
    <t>12 N</t>
  </si>
  <si>
    <t>FRC</t>
  </si>
  <si>
    <t>FRC-002</t>
  </si>
  <si>
    <t>FRC-001</t>
  </si>
  <si>
    <t>RVR-001</t>
  </si>
  <si>
    <t>LWS</t>
  </si>
  <si>
    <t>LWS-001</t>
  </si>
  <si>
    <t>12 NE</t>
  </si>
  <si>
    <t>SMRSL_20120413</t>
  </si>
  <si>
    <t>BLL-001</t>
  </si>
  <si>
    <t>PCH-001</t>
  </si>
  <si>
    <t>12 E</t>
  </si>
  <si>
    <t>GRD-001</t>
  </si>
  <si>
    <t>GRD-002</t>
  </si>
  <si>
    <t>GRD-003</t>
  </si>
  <si>
    <t>GRD-004</t>
  </si>
  <si>
    <t>GRD-005</t>
  </si>
  <si>
    <t>GRD-006</t>
  </si>
  <si>
    <t>GRD-007</t>
  </si>
  <si>
    <t>GRD-008</t>
  </si>
  <si>
    <t>12 SE</t>
  </si>
  <si>
    <t>LGD</t>
  </si>
  <si>
    <t>LGD-001</t>
  </si>
  <si>
    <t>LGD-002</t>
  </si>
  <si>
    <t>DCK-001</t>
  </si>
  <si>
    <t>12 NW</t>
  </si>
  <si>
    <t>DCK-002</t>
  </si>
  <si>
    <t>DCK-003</t>
  </si>
  <si>
    <t>DCK-004</t>
  </si>
  <si>
    <t>DCK-005</t>
  </si>
  <si>
    <t>30 W</t>
  </si>
  <si>
    <t>DCK-006</t>
  </si>
  <si>
    <t>12 SW</t>
  </si>
  <si>
    <t>STR-002</t>
  </si>
  <si>
    <t>STR-001</t>
  </si>
  <si>
    <t>NNM</t>
  </si>
  <si>
    <t>NNM-001</t>
  </si>
  <si>
    <t>24 SW</t>
  </si>
  <si>
    <t>NA</t>
  </si>
  <si>
    <t>SSM-004</t>
  </si>
  <si>
    <t>none</t>
  </si>
  <si>
    <t>SMRSL_20120414</t>
  </si>
  <si>
    <t>SSM-005</t>
  </si>
  <si>
    <t>22 ESE</t>
  </si>
  <si>
    <t>SSM-015</t>
  </si>
  <si>
    <t>SSM-018</t>
  </si>
  <si>
    <t>EDS-001</t>
  </si>
  <si>
    <t>22 NW</t>
  </si>
  <si>
    <t>SMRSL_20120415</t>
  </si>
  <si>
    <t>EDS-002</t>
  </si>
  <si>
    <t>EDS-003</t>
  </si>
  <si>
    <t>EDS-004</t>
  </si>
  <si>
    <t>EDS-005</t>
  </si>
  <si>
    <t>22 W</t>
  </si>
  <si>
    <t>SSM-019</t>
  </si>
  <si>
    <t>SSM-016</t>
  </si>
  <si>
    <t>SSM-001</t>
  </si>
  <si>
    <t>SSM-014</t>
  </si>
  <si>
    <t>SSM-002</t>
  </si>
  <si>
    <t>SSM-020</t>
  </si>
  <si>
    <t>SSM-022</t>
  </si>
  <si>
    <t>SSM-023</t>
  </si>
  <si>
    <t>SSM-012</t>
  </si>
  <si>
    <t>SSM-011</t>
  </si>
  <si>
    <t>SSM-009</t>
  </si>
  <si>
    <t>SSM-008</t>
  </si>
  <si>
    <t>SSM-006</t>
  </si>
  <si>
    <t>SSM-010</t>
  </si>
  <si>
    <t>SSM-003</t>
  </si>
  <si>
    <t>SSM-021</t>
  </si>
  <si>
    <t>SSM-024</t>
  </si>
  <si>
    <t xml:space="preserve">12 W </t>
  </si>
  <si>
    <t>ECH-002</t>
  </si>
  <si>
    <t>ECH-001</t>
  </si>
  <si>
    <t>GRD-010</t>
  </si>
  <si>
    <t>SMRSL_20120416</t>
  </si>
  <si>
    <t>GRD-011</t>
  </si>
  <si>
    <t>RTR-001</t>
  </si>
  <si>
    <t>RTR-002</t>
  </si>
  <si>
    <t>MNB-002</t>
  </si>
  <si>
    <t>SMRSL_20120417</t>
  </si>
  <si>
    <t>MNB-001</t>
  </si>
  <si>
    <t>MNB-005</t>
  </si>
  <si>
    <t>MNB-004</t>
  </si>
  <si>
    <t>MNB-003</t>
  </si>
  <si>
    <t>12 WSW</t>
  </si>
  <si>
    <t>RNS-007</t>
  </si>
  <si>
    <t>LRC-006</t>
  </si>
  <si>
    <t>LRC-007</t>
  </si>
  <si>
    <t>LRC-005</t>
  </si>
  <si>
    <t>LRC-001</t>
  </si>
  <si>
    <t>LRC-004</t>
  </si>
  <si>
    <t>LRC-002</t>
  </si>
  <si>
    <t>15 W</t>
  </si>
  <si>
    <t>LRC-003</t>
  </si>
  <si>
    <t>URC-004</t>
  </si>
  <si>
    <t>20 E</t>
  </si>
  <si>
    <t>PWC-001</t>
  </si>
  <si>
    <t>PWC-002</t>
  </si>
  <si>
    <t>OVP-002</t>
  </si>
  <si>
    <t>OVP-003</t>
  </si>
  <si>
    <t>OVP-001</t>
  </si>
  <si>
    <t>BRS-001</t>
  </si>
  <si>
    <t>BRS-002</t>
  </si>
  <si>
    <t>HPT</t>
  </si>
  <si>
    <t>HPT-009</t>
  </si>
  <si>
    <t>15 N</t>
  </si>
  <si>
    <t>SMRSL_20120418</t>
  </si>
  <si>
    <t>HPT-001</t>
  </si>
  <si>
    <t>HPT-002</t>
  </si>
  <si>
    <t>25 NW</t>
  </si>
  <si>
    <t>HPT-010</t>
  </si>
  <si>
    <t>25 N</t>
  </si>
  <si>
    <t>HPT-003</t>
  </si>
  <si>
    <t>HPT-011</t>
  </si>
  <si>
    <t>HPT-004</t>
  </si>
  <si>
    <t>HPT-012</t>
  </si>
  <si>
    <t>HPT-005</t>
  </si>
  <si>
    <t>25 W</t>
  </si>
  <si>
    <t>HPT-013</t>
  </si>
  <si>
    <t>HPT-014</t>
  </si>
  <si>
    <t>HPT-015</t>
  </si>
  <si>
    <t>HPT-008</t>
  </si>
  <si>
    <t>SMRSL_20120502</t>
  </si>
  <si>
    <t>12SE</t>
  </si>
  <si>
    <t>Returned on 5/17/2012 by Jim Bromell, Sault Ste. Marie, ON; Recovery date and time provided by Mr. Bromell.</t>
  </si>
  <si>
    <t>PICKUP LENGTH, DIR</t>
  </si>
  <si>
    <t>Vemco</t>
  </si>
  <si>
    <t>V9P-2H</t>
  </si>
  <si>
    <t>A69-9002</t>
  </si>
  <si>
    <t>interpertioneal; surgical</t>
  </si>
  <si>
    <t>USGS Hammond Bay Biological Station</t>
  </si>
  <si>
    <t>sea lamprey</t>
  </si>
  <si>
    <t>Petromyzon marinus</t>
  </si>
  <si>
    <t>Cheboygan River</t>
  </si>
  <si>
    <t>M</t>
  </si>
  <si>
    <t>MNS-01</t>
  </si>
  <si>
    <t>Munuscong Lake</t>
  </si>
  <si>
    <t>Hammond Bay Biological Station</t>
  </si>
  <si>
    <t>No</t>
  </si>
  <si>
    <t>F</t>
  </si>
  <si>
    <t>Peshtigo River</t>
  </si>
  <si>
    <t>MNS-02</t>
  </si>
  <si>
    <t>MNS-03</t>
  </si>
  <si>
    <t>NCH-01</t>
  </si>
  <si>
    <t>North Channel</t>
  </si>
  <si>
    <t>NCH-02</t>
  </si>
  <si>
    <t>NCH-03</t>
  </si>
  <si>
    <t>V9-2H</t>
  </si>
  <si>
    <t>A69-1601</t>
  </si>
  <si>
    <t>NCH-04</t>
  </si>
  <si>
    <t>MNS-04</t>
  </si>
  <si>
    <t>NCH-05</t>
  </si>
  <si>
    <t>Hay Point</t>
  </si>
  <si>
    <t>Ninemile Point</t>
  </si>
  <si>
    <t>Lake George</t>
  </si>
  <si>
    <t>Frechette Point</t>
  </si>
  <si>
    <t>Lewis Point</t>
  </si>
  <si>
    <t>Black Point</t>
  </si>
  <si>
    <t>Lake George Delta</t>
  </si>
  <si>
    <t>18 E</t>
  </si>
  <si>
    <t>NNM-002</t>
  </si>
  <si>
    <t>DATE</t>
  </si>
  <si>
    <t>TIME</t>
  </si>
  <si>
    <t>Eastern</t>
  </si>
  <si>
    <t>PROJECT CODE</t>
  </si>
  <si>
    <t>GPS USED</t>
  </si>
  <si>
    <t>GPS FILENAME</t>
  </si>
  <si>
    <t>TIME ZONE</t>
  </si>
  <si>
    <t>SITE ID</t>
  </si>
  <si>
    <t>INSTR</t>
  </si>
  <si>
    <t>INSTR SN</t>
  </si>
  <si>
    <t>INSTR ID</t>
  </si>
  <si>
    <t>ACTION</t>
  </si>
  <si>
    <t>DateTime</t>
  </si>
  <si>
    <t>LATITUDE</t>
  </si>
  <si>
    <t>LONGITUDE</t>
  </si>
  <si>
    <t>DEPTH</t>
  </si>
  <si>
    <t>DEPTH UNITS</t>
  </si>
  <si>
    <t>INSTR_DEPTH_M</t>
  </si>
  <si>
    <t>INSTR ELEV</t>
  </si>
  <si>
    <t>TEST TAG ID</t>
  </si>
  <si>
    <t>Trimble Geo XH</t>
  </si>
  <si>
    <t>REC</t>
  </si>
  <si>
    <t>RET</t>
  </si>
  <si>
    <t>ft</t>
  </si>
  <si>
    <t>SMRSL_20120504</t>
  </si>
  <si>
    <t>HPT-007</t>
  </si>
  <si>
    <t>SMRSL_20120607</t>
  </si>
  <si>
    <t>HPT-006</t>
  </si>
  <si>
    <t>SMRSL_20120730</t>
  </si>
  <si>
    <t>Geo XH</t>
  </si>
  <si>
    <t>DEP</t>
  </si>
  <si>
    <t>Feet</t>
  </si>
  <si>
    <t>12N</t>
  </si>
  <si>
    <t>12NW</t>
  </si>
  <si>
    <t xml:space="preserve"> </t>
  </si>
  <si>
    <t>12W</t>
  </si>
  <si>
    <t>25 ft NE</t>
  </si>
  <si>
    <t>25 ft E</t>
  </si>
  <si>
    <t>15 E</t>
  </si>
  <si>
    <t>acoustic</t>
  </si>
  <si>
    <t>total</t>
  </si>
  <si>
    <t>clove oil</t>
  </si>
  <si>
    <t>RECOVERY_METHOD</t>
  </si>
  <si>
    <t>RECOVERY_LOCATION</t>
  </si>
  <si>
    <t>CAUGHT_BY</t>
  </si>
  <si>
    <t>DFO</t>
  </si>
  <si>
    <t>USFWS</t>
  </si>
  <si>
    <t>sea lamprey trap</t>
  </si>
  <si>
    <t>RECOVERY_WATER_BODY</t>
  </si>
  <si>
    <t>Clergue</t>
  </si>
  <si>
    <t>CWT_BATCH</t>
  </si>
  <si>
    <t>43-02-46</t>
  </si>
  <si>
    <t>CWT_SEQ_CODE_MIN</t>
  </si>
  <si>
    <t>CWT_SEQ_CODE_MAX</t>
  </si>
  <si>
    <t>SEX_RECOVERED</t>
  </si>
  <si>
    <t>LENGTH_RECOVERED</t>
  </si>
  <si>
    <t>WEIGHT_RECOVERED</t>
  </si>
  <si>
    <t>CWT_IMPLANTED</t>
  </si>
  <si>
    <t>CWT_RECOVERED</t>
  </si>
  <si>
    <t>Echo Barrier</t>
  </si>
  <si>
    <t>could not read second to last digit on CWT 005_3 to 005_5</t>
  </si>
  <si>
    <t>43-02-39</t>
  </si>
  <si>
    <t>length and weight not recorded at recovery</t>
  </si>
  <si>
    <t>Little Thessalon River</t>
  </si>
  <si>
    <t>Bridgeland</t>
  </si>
  <si>
    <t>trap crew did not record date, length, or weight</t>
  </si>
  <si>
    <t>Unit 10</t>
  </si>
  <si>
    <t>PIT_ID</t>
  </si>
  <si>
    <t>43-02-48</t>
  </si>
  <si>
    <t>New Powerhouse</t>
  </si>
  <si>
    <t>Manistique River</t>
  </si>
  <si>
    <t>RECOVERY_LAT</t>
  </si>
  <si>
    <t>RECOVERY_LON</t>
  </si>
  <si>
    <t>STM11</t>
  </si>
  <si>
    <t>STM11_20110807</t>
  </si>
  <si>
    <t>capture date and location not certain; only tag was returned; last detected 2012-06-27 02:45:25 at station SSM-019</t>
  </si>
  <si>
    <t>Date and location of capture not certain; last detected at SSM-017 on 2010-06-23 07:33:12+00.</t>
  </si>
  <si>
    <t>LHPSL_20130605</t>
  </si>
  <si>
    <t>MNB-011</t>
  </si>
  <si>
    <t>MNB-010</t>
  </si>
  <si>
    <t>30 ft E</t>
  </si>
  <si>
    <t>16 ft N</t>
  </si>
  <si>
    <t>20 ft SSW</t>
  </si>
  <si>
    <t>20 ft WNW</t>
  </si>
  <si>
    <t>30 ft ESE</t>
  </si>
  <si>
    <t>30 ft ENE</t>
  </si>
  <si>
    <t>HECWL_20140714</t>
  </si>
  <si>
    <t>20 ft S</t>
  </si>
  <si>
    <t>30 ft NNE</t>
  </si>
  <si>
    <t>labeled MCK-001 in GPS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</si>
</sst>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yyyy\-mm\-dd"/>
    <numFmt numFmtId="165" formatCode="yyyy\-mm\-dd\Thh:mm:ss"/>
    <numFmt numFmtId="166" formatCode="yyyy\-mm\-dd\ hh:mm"/>
    <numFmt numFmtId="167" formatCode="0.00000"/>
    <numFmt numFmtId="168" formatCode="[$-F400]h:mm:ss\ AM/PM"/>
    <numFmt numFmtId="169" formatCode="m/d/yy\ h:mm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7" fillId="0" borderId="15" applyNumberFormat="0" applyFill="0" applyAlignment="0" applyProtection="0"/>
    <xf numFmtId="0" fontId="8" fillId="0" borderId="16" applyNumberFormat="0" applyFill="0" applyAlignment="0" applyProtection="0"/>
    <xf numFmtId="0" fontId="9" fillId="0" borderId="1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18" applyNumberFormat="0" applyAlignment="0" applyProtection="0"/>
    <xf numFmtId="0" fontId="14" fillId="9" borderId="19" applyNumberFormat="0" applyAlignment="0" applyProtection="0"/>
    <xf numFmtId="0" fontId="15" fillId="9" borderId="18" applyNumberFormat="0" applyAlignment="0" applyProtection="0"/>
    <xf numFmtId="0" fontId="16" fillId="0" borderId="20" applyNumberFormat="0" applyFill="0" applyAlignment="0" applyProtection="0"/>
    <xf numFmtId="0" fontId="17" fillId="10" borderId="21" applyNumberFormat="0" applyAlignment="0" applyProtection="0"/>
    <xf numFmtId="0" fontId="18" fillId="0" borderId="0" applyNumberFormat="0" applyFill="0" applyBorder="0" applyAlignment="0" applyProtection="0"/>
    <xf numFmtId="0" fontId="5" fillId="11" borderId="22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20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20" fillId="35" borderId="0" applyNumberFormat="0" applyBorder="0" applyAlignment="0" applyProtection="0"/>
    <xf numFmtId="0" fontId="24" fillId="0" borderId="0"/>
  </cellStyleXfs>
  <cellXfs count="51">
    <xf numFmtId="0" fontId="0" fillId="0" borderId="0" xfId="0"/>
    <xf numFmtId="0" fontId="0" fillId="0" borderId="0" xfId="0" applyFill="1" applyBorder="1"/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0" fontId="0" fillId="3" borderId="2" xfId="0" applyFill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3" borderId="4" xfId="0" applyFill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6" xfId="0" applyFill="1" applyBorder="1" applyAlignment="1" applyProtection="1">
      <alignment vertical="top" wrapText="1"/>
      <protection locked="0"/>
    </xf>
    <xf numFmtId="0" fontId="0" fillId="0" borderId="0" xfId="0" applyAlignment="1">
      <alignment vertical="top" shrinkToFit="1"/>
    </xf>
    <xf numFmtId="0" fontId="0" fillId="3" borderId="7" xfId="0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3" borderId="9" xfId="0" applyFill="1" applyBorder="1" applyAlignment="1">
      <alignment vertical="top"/>
    </xf>
    <xf numFmtId="0" fontId="0" fillId="0" borderId="10" xfId="0" applyBorder="1"/>
    <xf numFmtId="0" fontId="0" fillId="2" borderId="10" xfId="0" applyFill="1" applyBorder="1"/>
    <xf numFmtId="164" fontId="0" fillId="0" borderId="0" xfId="0" applyNumberFormat="1" applyFill="1" applyBorder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12" xfId="0" applyBorder="1"/>
    <xf numFmtId="0" fontId="1" fillId="0" borderId="12" xfId="0" applyFont="1" applyBorder="1" applyAlignment="1">
      <alignment vertical="center"/>
    </xf>
    <xf numFmtId="0" fontId="0" fillId="0" borderId="13" xfId="0" applyBorder="1"/>
    <xf numFmtId="0" fontId="0" fillId="4" borderId="10" xfId="0" applyFill="1" applyBorder="1"/>
    <xf numFmtId="0" fontId="2" fillId="0" borderId="6" xfId="1" applyBorder="1" applyAlignment="1" applyProtection="1">
      <alignment wrapText="1"/>
    </xf>
    <xf numFmtId="0" fontId="1" fillId="0" borderId="14" xfId="0" applyFont="1" applyBorder="1" applyAlignment="1">
      <alignment vertical="center"/>
    </xf>
    <xf numFmtId="0" fontId="0" fillId="0" borderId="11" xfId="0" applyBorder="1"/>
    <xf numFmtId="0" fontId="0" fillId="0" borderId="12" xfId="0" applyFill="1" applyBorder="1"/>
    <xf numFmtId="0" fontId="0" fillId="0" borderId="0" xfId="0" applyAlignment="1"/>
    <xf numFmtId="0" fontId="0" fillId="0" borderId="6" xfId="0" applyBorder="1"/>
    <xf numFmtId="164" fontId="0" fillId="4" borderId="10" xfId="0" applyNumberFormat="1" applyFill="1" applyBorder="1"/>
    <xf numFmtId="14" fontId="0" fillId="0" borderId="0" xfId="0" applyNumberFormat="1"/>
    <xf numFmtId="20" fontId="0" fillId="0" borderId="0" xfId="0" applyNumberFormat="1"/>
    <xf numFmtId="167" fontId="0" fillId="0" borderId="0" xfId="0" applyNumberFormat="1"/>
    <xf numFmtId="167" fontId="0" fillId="0" borderId="0" xfId="0" applyNumberFormat="1"/>
    <xf numFmtId="0" fontId="0" fillId="0" borderId="0" xfId="0"/>
    <xf numFmtId="0" fontId="1" fillId="0" borderId="0" xfId="0" applyFont="1" applyBorder="1" applyAlignment="1">
      <alignment vertical="center"/>
    </xf>
    <xf numFmtId="0" fontId="0" fillId="0" borderId="0" xfId="0" applyBorder="1"/>
    <xf numFmtId="0" fontId="0" fillId="0" borderId="0" xfId="0"/>
    <xf numFmtId="22" fontId="0" fillId="0" borderId="0" xfId="0" applyNumberFormat="1"/>
    <xf numFmtId="49" fontId="0" fillId="0" borderId="0" xfId="0" applyNumberFormat="1"/>
    <xf numFmtId="14" fontId="0" fillId="0" borderId="10" xfId="0" applyNumberFormat="1" applyBorder="1"/>
    <xf numFmtId="168" fontId="0" fillId="0" borderId="0" xfId="0" applyNumberFormat="1"/>
    <xf numFmtId="168" fontId="0" fillId="0" borderId="10" xfId="0" applyNumberFormat="1" applyBorder="1"/>
    <xf numFmtId="169" fontId="0" fillId="0" borderId="0" xfId="0" applyNumberFormat="1"/>
    <xf numFmtId="169" fontId="0" fillId="0" borderId="10" xfId="0" applyNumberFormat="1" applyBorder="1"/>
    <xf numFmtId="167" fontId="0" fillId="0" borderId="11" xfId="0" applyNumberFormat="1" applyBorder="1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2</xdr:col>
          <xdr:colOff>1181100</xdr:colOff>
          <xdr:row>0</xdr:row>
          <xdr:rowOff>257175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4991100</xdr:colOff>
          <xdr:row>0</xdr:row>
          <xdr:rowOff>95250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26626" name="CommandButton1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5200650</xdr:colOff>
          <xdr:row>7</xdr:row>
          <xdr:rowOff>19050</xdr:rowOff>
        </xdr:from>
        <xdr:to>
          <xdr:col>3</xdr:col>
          <xdr:colOff>6619875</xdr:colOff>
          <xdr:row>8</xdr:row>
          <xdr:rowOff>9525</xdr:rowOff>
        </xdr:to>
        <xdr:sp macro="" textlink="">
          <xdr:nvSpPr>
            <xdr:cNvPr id="26627" name="Label2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76200</xdr:rowOff>
        </xdr:from>
        <xdr:to>
          <xdr:col>1</xdr:col>
          <xdr:colOff>1047750</xdr:colOff>
          <xdr:row>0</xdr:row>
          <xdr:rowOff>247650</xdr:rowOff>
        </xdr:to>
        <xdr:sp macro="" textlink="">
          <xdr:nvSpPr>
            <xdr:cNvPr id="6147" name="Label1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304800</xdr:rowOff>
        </xdr:from>
        <xdr:to>
          <xdr:col>2</xdr:col>
          <xdr:colOff>57150</xdr:colOff>
          <xdr:row>0</xdr:row>
          <xdr:rowOff>571500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76200</xdr:rowOff>
        </xdr:from>
        <xdr:to>
          <xdr:col>2</xdr:col>
          <xdr:colOff>190500</xdr:colOff>
          <xdr:row>0</xdr:row>
          <xdr:rowOff>247650</xdr:rowOff>
        </xdr:to>
        <xdr:sp macro="" textlink="">
          <xdr:nvSpPr>
            <xdr:cNvPr id="2054" name="Label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0</xdr:row>
          <xdr:rowOff>85725</xdr:rowOff>
        </xdr:from>
        <xdr:to>
          <xdr:col>19</xdr:col>
          <xdr:colOff>447675</xdr:colOff>
          <xdr:row>0</xdr:row>
          <xdr:rowOff>295275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304800</xdr:rowOff>
        </xdr:from>
        <xdr:to>
          <xdr:col>2</xdr:col>
          <xdr:colOff>142875</xdr:colOff>
          <xdr:row>0</xdr:row>
          <xdr:rowOff>571500</xdr:rowOff>
        </xdr:to>
        <xdr:sp macro="" textlink="">
          <xdr:nvSpPr>
            <xdr:cNvPr id="3074" name="Check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76200</xdr:rowOff>
        </xdr:from>
        <xdr:to>
          <xdr:col>2</xdr:col>
          <xdr:colOff>257175</xdr:colOff>
          <xdr:row>0</xdr:row>
          <xdr:rowOff>247650</xdr:rowOff>
        </xdr:to>
        <xdr:sp macro="" textlink="">
          <xdr:nvSpPr>
            <xdr:cNvPr id="3075" name="Label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47625</xdr:colOff>
          <xdr:row>0</xdr:row>
          <xdr:rowOff>85725</xdr:rowOff>
        </xdr:from>
        <xdr:to>
          <xdr:col>37</xdr:col>
          <xdr:colOff>542925</xdr:colOff>
          <xdr:row>0</xdr:row>
          <xdr:rowOff>295275</xdr:rowOff>
        </xdr:to>
        <xdr:sp macro="" textlink="">
          <xdr:nvSpPr>
            <xdr:cNvPr id="3076" name="Label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219075</xdr:rowOff>
        </xdr:from>
        <xdr:to>
          <xdr:col>8</xdr:col>
          <xdr:colOff>1219200</xdr:colOff>
          <xdr:row>0</xdr:row>
          <xdr:rowOff>638175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Auto Fill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DEPLOY_DATE_TIME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219075</xdr:rowOff>
        </xdr:from>
        <xdr:to>
          <xdr:col>3</xdr:col>
          <xdr:colOff>1590675</xdr:colOff>
          <xdr:row>0</xdr:row>
          <xdr:rowOff>638175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Auto Fill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CONSECUTIVE_DEPLOY_NO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304800</xdr:rowOff>
        </xdr:from>
        <xdr:to>
          <xdr:col>2</xdr:col>
          <xdr:colOff>152400</xdr:colOff>
          <xdr:row>0</xdr:row>
          <xdr:rowOff>571500</xdr:rowOff>
        </xdr:to>
        <xdr:sp macro="" textlink="">
          <xdr:nvSpPr>
            <xdr:cNvPr id="4098" name="Check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76200</xdr:rowOff>
        </xdr:from>
        <xdr:to>
          <xdr:col>2</xdr:col>
          <xdr:colOff>266700</xdr:colOff>
          <xdr:row>0</xdr:row>
          <xdr:rowOff>247650</xdr:rowOff>
        </xdr:to>
        <xdr:sp macro="" textlink="">
          <xdr:nvSpPr>
            <xdr:cNvPr id="4099" name="Label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0</xdr:row>
          <xdr:rowOff>85725</xdr:rowOff>
        </xdr:from>
        <xdr:to>
          <xdr:col>22</xdr:col>
          <xdr:colOff>28575</xdr:colOff>
          <xdr:row>0</xdr:row>
          <xdr:rowOff>295275</xdr:rowOff>
        </xdr:to>
        <xdr:sp macro="" textlink="">
          <xdr:nvSpPr>
            <xdr:cNvPr id="4101" name="Label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219075</xdr:rowOff>
        </xdr:from>
        <xdr:to>
          <xdr:col>9</xdr:col>
          <xdr:colOff>0</xdr:colOff>
          <xdr:row>0</xdr:row>
          <xdr:rowOff>638175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Auto Fill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RECOVER_DATE_TIME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219075</xdr:rowOff>
        </xdr:from>
        <xdr:to>
          <xdr:col>3</xdr:col>
          <xdr:colOff>1590675</xdr:colOff>
          <xdr:row>0</xdr:row>
          <xdr:rowOff>638175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Auto Fill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CONSECUTIVE_DEPLOY_NO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304800</xdr:rowOff>
        </xdr:from>
        <xdr:to>
          <xdr:col>2</xdr:col>
          <xdr:colOff>323850</xdr:colOff>
          <xdr:row>0</xdr:row>
          <xdr:rowOff>571500</xdr:rowOff>
        </xdr:to>
        <xdr:sp macro="" textlink="">
          <xdr:nvSpPr>
            <xdr:cNvPr id="5122" name="Check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76200</xdr:rowOff>
        </xdr:from>
        <xdr:to>
          <xdr:col>2</xdr:col>
          <xdr:colOff>466725</xdr:colOff>
          <xdr:row>0</xdr:row>
          <xdr:rowOff>247650</xdr:rowOff>
        </xdr:to>
        <xdr:sp macro="" textlink="">
          <xdr:nvSpPr>
            <xdr:cNvPr id="5123" name="Label1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47625</xdr:colOff>
          <xdr:row>0</xdr:row>
          <xdr:rowOff>85725</xdr:rowOff>
        </xdr:from>
        <xdr:to>
          <xdr:col>59</xdr:col>
          <xdr:colOff>266700</xdr:colOff>
          <xdr:row>0</xdr:row>
          <xdr:rowOff>295275</xdr:rowOff>
        </xdr:to>
        <xdr:sp macro="" textlink="">
          <xdr:nvSpPr>
            <xdr:cNvPr id="5124" name="Label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228600</xdr:rowOff>
        </xdr:from>
        <xdr:to>
          <xdr:col>31</xdr:col>
          <xdr:colOff>1552575</xdr:colOff>
          <xdr:row>0</xdr:row>
          <xdr:rowOff>647700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Auto Fill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UTC_RELEASE_DATE_TIME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cholbrook@usgs.gov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8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2.emf"/><Relationship Id="rId11" Type="http://schemas.openxmlformats.org/officeDocument/2006/relationships/comments" Target="../comments4.xml"/><Relationship Id="rId5" Type="http://schemas.openxmlformats.org/officeDocument/2006/relationships/control" Target="../activeX/activeX12.xml"/><Relationship Id="rId10" Type="http://schemas.openxmlformats.org/officeDocument/2006/relationships/ctrlProp" Target="../ctrlProps/ctrlProp4.xml"/><Relationship Id="rId4" Type="http://schemas.openxmlformats.org/officeDocument/2006/relationships/image" Target="../media/image11.emf"/><Relationship Id="rId9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control" Target="../activeX/activeX14.xml"/><Relationship Id="rId7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10" Type="http://schemas.openxmlformats.org/officeDocument/2006/relationships/comments" Target="../comments5.xml"/><Relationship Id="rId4" Type="http://schemas.openxmlformats.org/officeDocument/2006/relationships/image" Target="../media/image14.emf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4"/>
  <sheetViews>
    <sheetView tabSelected="1" workbookViewId="0">
      <selection activeCell="D10" sqref="D10"/>
    </sheetView>
  </sheetViews>
  <sheetFormatPr defaultRowHeight="15" x14ac:dyDescent="0.25"/>
  <cols>
    <col min="1" max="2" width="2.7109375" style="2" customWidth="1"/>
    <col min="3" max="3" width="26.7109375" style="2" customWidth="1"/>
    <col min="4" max="4" width="100.7109375" style="2" customWidth="1"/>
    <col min="5" max="6" width="2.7109375" style="2" customWidth="1"/>
    <col min="7" max="16384" width="9.140625" style="2"/>
  </cols>
  <sheetData>
    <row r="1" spans="1:13" ht="39.75" customHeight="1" x14ac:dyDescent="0.25">
      <c r="A1" s="48"/>
      <c r="B1" s="48"/>
      <c r="C1" s="48"/>
      <c r="D1" s="48"/>
      <c r="E1" s="48"/>
    </row>
    <row r="2" spans="1:13" ht="16.5" customHeight="1" thickBot="1" x14ac:dyDescent="0.3">
      <c r="A2" s="29"/>
      <c r="B2" s="29"/>
      <c r="C2" s="29"/>
      <c r="D2" s="29"/>
    </row>
    <row r="3" spans="1:13" ht="15.75" customHeight="1" x14ac:dyDescent="0.25">
      <c r="B3" s="3"/>
      <c r="C3" s="4"/>
      <c r="D3" s="4"/>
      <c r="E3" s="5"/>
    </row>
    <row r="4" spans="1:13" x14ac:dyDescent="0.25">
      <c r="B4" s="6"/>
      <c r="C4" s="7" t="s">
        <v>105</v>
      </c>
      <c r="D4" s="9" t="s">
        <v>108</v>
      </c>
      <c r="E4" s="8"/>
    </row>
    <row r="5" spans="1:13" x14ac:dyDescent="0.25">
      <c r="B5" s="6"/>
      <c r="C5" s="7" t="s">
        <v>106</v>
      </c>
      <c r="D5" s="30" t="s">
        <v>109</v>
      </c>
      <c r="E5" s="8"/>
    </row>
    <row r="6" spans="1:13" x14ac:dyDescent="0.25">
      <c r="B6" s="6"/>
      <c r="C6" s="7" t="s">
        <v>107</v>
      </c>
      <c r="D6" s="25" t="s">
        <v>110</v>
      </c>
      <c r="E6" s="8"/>
    </row>
    <row r="7" spans="1:13" ht="15.75" thickBot="1" x14ac:dyDescent="0.3">
      <c r="B7" s="11"/>
      <c r="C7" s="12"/>
      <c r="D7" s="13"/>
      <c r="E7" s="14"/>
    </row>
    <row r="12" spans="1:13" x14ac:dyDescent="0.25">
      <c r="K12" s="10"/>
      <c r="L12" s="10"/>
      <c r="M12" s="10"/>
    </row>
    <row r="14" spans="1:13" s="10" customForma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</sheetData>
  <sheetProtection formatRows="0" selectLockedCells="1"/>
  <customSheetViews>
    <customSheetView guid="{BECCC96E-1854-41BE-8C23-F96A36206D6D}">
      <selection activeCell="D10" sqref="D10"/>
      <pageMargins left="0.7" right="0.7" top="0.75" bottom="0.75" header="0.3" footer="0.3"/>
      <pageSetup orientation="portrait" r:id="rId1"/>
    </customSheetView>
    <customSheetView guid="{BFE66E2E-FE12-4330-B1B7-C7EB0B371589}">
      <selection activeCell="D10" sqref="D10"/>
      <pageMargins left="0.7" right="0.7" top="0.75" bottom="0.75" header="0.3" footer="0.3"/>
      <pageSetup orientation="portrait" r:id="rId2"/>
    </customSheetView>
  </customSheetViews>
  <mergeCells count="1">
    <mergeCell ref="A1:E1"/>
  </mergeCells>
  <hyperlinks>
    <hyperlink ref="D6" r:id="rId3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6627" r:id="rId7" name="Label2">
          <controlPr autoLine="0" r:id="rId8">
            <anchor moveWithCells="1">
              <from>
                <xdr:col>3</xdr:col>
                <xdr:colOff>5200650</xdr:colOff>
                <xdr:row>7</xdr:row>
                <xdr:rowOff>19050</xdr:rowOff>
              </from>
              <to>
                <xdr:col>3</xdr:col>
                <xdr:colOff>6619875</xdr:colOff>
                <xdr:row>8</xdr:row>
                <xdr:rowOff>9525</xdr:rowOff>
              </to>
            </anchor>
          </controlPr>
        </control>
      </mc:Choice>
      <mc:Fallback>
        <control shapeId="26627" r:id="rId7" name="Label2"/>
      </mc:Fallback>
    </mc:AlternateContent>
    <mc:AlternateContent xmlns:mc="http://schemas.openxmlformats.org/markup-compatibility/2006">
      <mc:Choice Requires="x14">
        <control shapeId="26626" r:id="rId9" name="CommandButton1">
          <controlPr defaultSize="0" autoFill="0" autoLine="0" r:id="rId10">
            <anchor moveWithCells="1">
              <from>
                <xdr:col>3</xdr:col>
                <xdr:colOff>4991100</xdr:colOff>
                <xdr:row>0</xdr:row>
                <xdr:rowOff>95250</xdr:rowOff>
              </from>
              <to>
                <xdr:col>4</xdr:col>
                <xdr:colOff>66675</xdr:colOff>
                <xdr:row>0</xdr:row>
                <xdr:rowOff>400050</xdr:rowOff>
              </to>
            </anchor>
          </controlPr>
        </control>
      </mc:Choice>
      <mc:Fallback>
        <control shapeId="26626" r:id="rId9" name="CommandButton1"/>
      </mc:Fallback>
    </mc:AlternateContent>
    <mc:AlternateContent xmlns:mc="http://schemas.openxmlformats.org/markup-compatibility/2006">
      <mc:Choice Requires="x14">
        <control shapeId="26625" r:id="rId11" name="Label1">
          <controlPr autoLine="0" r:id="rId12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2</xdr:col>
                <xdr:colOff>1181100</xdr:colOff>
                <xdr:row>0</xdr:row>
                <xdr:rowOff>257175</xdr:rowOff>
              </to>
            </anchor>
          </controlPr>
        </control>
      </mc:Choice>
      <mc:Fallback>
        <control shapeId="26625" r:id="rId11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2"/>
  <sheetViews>
    <sheetView workbookViewId="0">
      <selection activeCell="D45" sqref="D45"/>
    </sheetView>
  </sheetViews>
  <sheetFormatPr defaultRowHeight="15" x14ac:dyDescent="0.25"/>
  <cols>
    <col min="1" max="1" width="14.85546875" bestFit="1" customWidth="1"/>
    <col min="2" max="2" width="29.7109375" bestFit="1" customWidth="1"/>
    <col min="3" max="3" width="19" bestFit="1" customWidth="1"/>
    <col min="4" max="4" width="15.85546875" bestFit="1" customWidth="1"/>
  </cols>
  <sheetData>
    <row r="1" spans="1:4" ht="30" customHeight="1" x14ac:dyDescent="0.25">
      <c r="A1" s="48"/>
      <c r="B1" s="48"/>
      <c r="C1" s="48"/>
      <c r="D1" s="48"/>
    </row>
    <row r="2" spans="1:4" x14ac:dyDescent="0.25">
      <c r="A2" s="16" t="s">
        <v>2</v>
      </c>
      <c r="B2" s="16" t="s">
        <v>98</v>
      </c>
      <c r="C2" s="16" t="s">
        <v>99</v>
      </c>
      <c r="D2" s="16" t="s">
        <v>100</v>
      </c>
    </row>
    <row r="3" spans="1:4" x14ac:dyDescent="0.25">
      <c r="A3" t="s">
        <v>111</v>
      </c>
      <c r="B3" t="s">
        <v>112</v>
      </c>
      <c r="C3" t="s">
        <v>113</v>
      </c>
      <c r="D3" t="s">
        <v>113</v>
      </c>
    </row>
    <row r="4" spans="1:4" x14ac:dyDescent="0.25">
      <c r="A4" t="s">
        <v>114</v>
      </c>
      <c r="B4" t="s">
        <v>115</v>
      </c>
      <c r="C4" t="s">
        <v>113</v>
      </c>
      <c r="D4" t="s">
        <v>113</v>
      </c>
    </row>
    <row r="5" spans="1:4" x14ac:dyDescent="0.25">
      <c r="A5" t="s">
        <v>116</v>
      </c>
      <c r="B5" t="s">
        <v>117</v>
      </c>
      <c r="C5" t="s">
        <v>117</v>
      </c>
      <c r="D5" t="s">
        <v>113</v>
      </c>
    </row>
    <row r="6" spans="1:4" x14ac:dyDescent="0.25">
      <c r="A6" t="s">
        <v>118</v>
      </c>
      <c r="B6" t="s">
        <v>119</v>
      </c>
      <c r="C6" t="s">
        <v>113</v>
      </c>
      <c r="D6" t="s">
        <v>113</v>
      </c>
    </row>
    <row r="7" spans="1:4" x14ac:dyDescent="0.25">
      <c r="A7" t="s">
        <v>120</v>
      </c>
      <c r="B7" t="s">
        <v>121</v>
      </c>
      <c r="C7" t="s">
        <v>113</v>
      </c>
      <c r="D7" t="s">
        <v>113</v>
      </c>
    </row>
    <row r="8" spans="1:4" x14ac:dyDescent="0.25">
      <c r="A8" t="s">
        <v>122</v>
      </c>
      <c r="B8" t="s">
        <v>123</v>
      </c>
      <c r="C8" t="s">
        <v>123</v>
      </c>
      <c r="D8" t="s">
        <v>113</v>
      </c>
    </row>
    <row r="9" spans="1:4" x14ac:dyDescent="0.25">
      <c r="A9" t="s">
        <v>124</v>
      </c>
      <c r="B9" t="s">
        <v>125</v>
      </c>
      <c r="C9" t="s">
        <v>113</v>
      </c>
      <c r="D9" t="s">
        <v>113</v>
      </c>
    </row>
    <row r="10" spans="1:4" x14ac:dyDescent="0.25">
      <c r="A10" t="s">
        <v>126</v>
      </c>
      <c r="B10" t="s">
        <v>127</v>
      </c>
      <c r="C10" t="s">
        <v>127</v>
      </c>
      <c r="D10" t="s">
        <v>113</v>
      </c>
    </row>
    <row r="11" spans="1:4" x14ac:dyDescent="0.25">
      <c r="A11" t="s">
        <v>128</v>
      </c>
      <c r="B11" t="s">
        <v>129</v>
      </c>
      <c r="C11" t="s">
        <v>113</v>
      </c>
      <c r="D11" t="s">
        <v>113</v>
      </c>
    </row>
    <row r="12" spans="1:4" x14ac:dyDescent="0.25">
      <c r="A12" t="s">
        <v>130</v>
      </c>
      <c r="B12" t="s">
        <v>131</v>
      </c>
      <c r="C12" t="s">
        <v>113</v>
      </c>
      <c r="D12" t="s">
        <v>113</v>
      </c>
    </row>
    <row r="13" spans="1:4" x14ac:dyDescent="0.25">
      <c r="A13" t="s">
        <v>132</v>
      </c>
      <c r="B13" t="s">
        <v>133</v>
      </c>
      <c r="C13" t="s">
        <v>133</v>
      </c>
      <c r="D13" t="s">
        <v>113</v>
      </c>
    </row>
    <row r="14" spans="1:4" x14ac:dyDescent="0.25">
      <c r="A14" t="s">
        <v>134</v>
      </c>
      <c r="B14" t="s">
        <v>135</v>
      </c>
      <c r="C14" t="s">
        <v>113</v>
      </c>
      <c r="D14" t="s">
        <v>113</v>
      </c>
    </row>
    <row r="15" spans="1:4" x14ac:dyDescent="0.25">
      <c r="A15" t="s">
        <v>136</v>
      </c>
      <c r="B15" t="s">
        <v>137</v>
      </c>
      <c r="C15" t="s">
        <v>113</v>
      </c>
      <c r="D15" t="s">
        <v>113</v>
      </c>
    </row>
    <row r="16" spans="1:4" x14ac:dyDescent="0.25">
      <c r="A16" t="s">
        <v>138</v>
      </c>
      <c r="B16" t="s">
        <v>139</v>
      </c>
      <c r="C16" t="s">
        <v>113</v>
      </c>
      <c r="D16" t="s">
        <v>113</v>
      </c>
    </row>
    <row r="17" spans="1:4" x14ac:dyDescent="0.25">
      <c r="A17" t="s">
        <v>140</v>
      </c>
      <c r="B17" t="s">
        <v>141</v>
      </c>
      <c r="C17" t="s">
        <v>113</v>
      </c>
      <c r="D17" t="s">
        <v>113</v>
      </c>
    </row>
    <row r="18" spans="1:4" x14ac:dyDescent="0.25">
      <c r="A18" t="s">
        <v>142</v>
      </c>
      <c r="B18" t="s">
        <v>143</v>
      </c>
      <c r="C18" t="s">
        <v>113</v>
      </c>
      <c r="D18" t="s">
        <v>113</v>
      </c>
    </row>
    <row r="19" spans="1:4" x14ac:dyDescent="0.25">
      <c r="A19" t="s">
        <v>144</v>
      </c>
      <c r="B19" t="s">
        <v>145</v>
      </c>
      <c r="C19" t="s">
        <v>113</v>
      </c>
      <c r="D19" t="s">
        <v>113</v>
      </c>
    </row>
    <row r="20" spans="1:4" x14ac:dyDescent="0.25">
      <c r="A20" t="s">
        <v>146</v>
      </c>
      <c r="B20" t="s">
        <v>147</v>
      </c>
      <c r="C20" t="s">
        <v>113</v>
      </c>
      <c r="D20" t="s">
        <v>113</v>
      </c>
    </row>
    <row r="21" spans="1:4" x14ac:dyDescent="0.25">
      <c r="A21" t="s">
        <v>148</v>
      </c>
      <c r="B21" t="s">
        <v>149</v>
      </c>
      <c r="C21" t="s">
        <v>149</v>
      </c>
      <c r="D21" t="s">
        <v>113</v>
      </c>
    </row>
    <row r="22" spans="1:4" x14ac:dyDescent="0.25">
      <c r="A22" t="s">
        <v>150</v>
      </c>
      <c r="B22" t="s">
        <v>151</v>
      </c>
      <c r="C22" t="s">
        <v>113</v>
      </c>
      <c r="D22" t="s">
        <v>113</v>
      </c>
    </row>
    <row r="23" spans="1:4" x14ac:dyDescent="0.25">
      <c r="A23" t="s">
        <v>152</v>
      </c>
      <c r="B23" t="s">
        <v>153</v>
      </c>
      <c r="C23" t="s">
        <v>113</v>
      </c>
      <c r="D23" t="s">
        <v>113</v>
      </c>
    </row>
    <row r="24" spans="1:4" x14ac:dyDescent="0.25">
      <c r="A24" t="s">
        <v>154</v>
      </c>
      <c r="B24" t="s">
        <v>155</v>
      </c>
      <c r="C24" t="s">
        <v>113</v>
      </c>
      <c r="D24" t="s">
        <v>113</v>
      </c>
    </row>
    <row r="25" spans="1:4" x14ac:dyDescent="0.25">
      <c r="A25" t="s">
        <v>156</v>
      </c>
      <c r="B25" t="s">
        <v>157</v>
      </c>
      <c r="C25" t="s">
        <v>113</v>
      </c>
      <c r="D25" t="s">
        <v>113</v>
      </c>
    </row>
    <row r="26" spans="1:4" x14ac:dyDescent="0.25">
      <c r="A26" t="s">
        <v>158</v>
      </c>
      <c r="B26" t="s">
        <v>159</v>
      </c>
      <c r="C26" t="s">
        <v>113</v>
      </c>
      <c r="D26" t="s">
        <v>113</v>
      </c>
    </row>
    <row r="27" spans="1:4" x14ac:dyDescent="0.25">
      <c r="A27" t="s">
        <v>198</v>
      </c>
      <c r="B27" t="s">
        <v>353</v>
      </c>
      <c r="C27" t="s">
        <v>113</v>
      </c>
      <c r="D27" t="s">
        <v>113</v>
      </c>
    </row>
    <row r="28" spans="1:4" x14ac:dyDescent="0.25">
      <c r="A28" t="s">
        <v>202</v>
      </c>
      <c r="B28" t="s">
        <v>354</v>
      </c>
      <c r="C28" t="s">
        <v>113</v>
      </c>
      <c r="D28" t="s">
        <v>113</v>
      </c>
    </row>
    <row r="29" spans="1:4" x14ac:dyDescent="0.25">
      <c r="A29" t="s">
        <v>301</v>
      </c>
      <c r="B29" t="s">
        <v>350</v>
      </c>
      <c r="C29" t="s">
        <v>352</v>
      </c>
      <c r="D29" t="s">
        <v>113</v>
      </c>
    </row>
    <row r="30" spans="1:4" x14ac:dyDescent="0.25">
      <c r="A30" t="s">
        <v>191</v>
      </c>
      <c r="B30" t="s">
        <v>355</v>
      </c>
      <c r="C30" t="s">
        <v>113</v>
      </c>
      <c r="D30" t="s">
        <v>113</v>
      </c>
    </row>
    <row r="31" spans="1:4" x14ac:dyDescent="0.25">
      <c r="A31" t="s">
        <v>218</v>
      </c>
      <c r="B31" t="s">
        <v>356</v>
      </c>
      <c r="C31" t="s">
        <v>352</v>
      </c>
      <c r="D31" t="s">
        <v>113</v>
      </c>
    </row>
    <row r="32" spans="1:4" x14ac:dyDescent="0.25">
      <c r="A32" t="s">
        <v>232</v>
      </c>
      <c r="B32" t="s">
        <v>351</v>
      </c>
      <c r="C32" t="s">
        <v>113</v>
      </c>
      <c r="D32" t="s">
        <v>113</v>
      </c>
    </row>
  </sheetData>
  <customSheetViews>
    <customSheetView guid="{E035D73C-6DE8-4728-BCA6-2ACE00DC88C2}">
      <selection activeCell="D45" sqref="D45"/>
      <pageMargins left="0.7" right="0.7" top="0.75" bottom="0.75" header="0.3" footer="0.3"/>
    </customSheetView>
    <customSheetView guid="{0B94B745-F070-4122-A4FD-5713832B364A}">
      <selection activeCell="D45" sqref="D45"/>
      <pageMargins left="0.7" right="0.7" top="0.75" bottom="0.75" header="0.3" footer="0.3"/>
    </customSheetView>
    <customSheetView guid="{EFF2F100-1E68-4EDA-87D3-99AEFF2EEB3E}">
      <pageMargins left="0.7" right="0.7" top="0.75" bottom="0.75" header="0.3" footer="0.3"/>
    </customSheetView>
    <customSheetView guid="{775315B8-81A0-46D0-A21B-5042A6D17E8A}">
      <pageMargins left="0.7" right="0.7" top="0.75" bottom="0.75" header="0.3" footer="0.3"/>
    </customSheetView>
    <customSheetView guid="{30D09489-9F7F-4F99-80CC-972D52CE044F}">
      <selection sqref="A1:D1"/>
      <pageMargins left="0.7" right="0.7" top="0.75" bottom="0.75" header="0.3" footer="0.3"/>
    </customSheetView>
    <customSheetView guid="{732025B7-2BD2-4974-B1FD-67C3CE0944B1}">
      <selection activeCell="A3" sqref="A3"/>
      <pageMargins left="0.7" right="0.7" top="0.75" bottom="0.75" header="0.3" footer="0.3"/>
    </customSheetView>
    <customSheetView guid="{4A0EEECC-BF7F-4C3E-AC2A-DEB5263DBBAE}">
      <selection activeCell="D45" sqref="D45"/>
      <pageMargins left="0.7" right="0.7" top="0.75" bottom="0.75" header="0.3" footer="0.3"/>
    </customSheetView>
    <customSheetView guid="{BECCC96E-1854-41BE-8C23-F96A36206D6D}">
      <selection activeCell="D45" sqref="D45"/>
      <pageMargins left="0.7" right="0.7" top="0.75" bottom="0.75" header="0.3" footer="0.3"/>
    </customSheetView>
    <customSheetView guid="{BFE66E2E-FE12-4330-B1B7-C7EB0B371589}">
      <selection activeCell="D45" sqref="D45"/>
      <pageMargins left="0.7" right="0.7" top="0.75" bottom="0.75" header="0.3" footer="0.3"/>
    </customSheetView>
  </customSheetViews>
  <mergeCells count="1">
    <mergeCell ref="A1:D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Label1">
          <controlPr autoLine="0" r:id="rId4">
            <anchor moveWithCells="1">
              <from>
                <xdr:col>0</xdr:col>
                <xdr:colOff>28575</xdr:colOff>
                <xdr:row>0</xdr:row>
                <xdr:rowOff>76200</xdr:rowOff>
              </from>
              <to>
                <xdr:col>1</xdr:col>
                <xdr:colOff>1047750</xdr:colOff>
                <xdr:row>0</xdr:row>
                <xdr:rowOff>247650</xdr:rowOff>
              </to>
            </anchor>
          </controlPr>
        </control>
      </mc:Choice>
      <mc:Fallback>
        <control shapeId="6147" r:id="rId3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"/>
  <sheetViews>
    <sheetView workbookViewId="0">
      <selection activeCell="D19" sqref="D19"/>
    </sheetView>
  </sheetViews>
  <sheetFormatPr defaultRowHeight="15" x14ac:dyDescent="0.25"/>
  <cols>
    <col min="1" max="1" width="12.7109375" style="1" customWidth="1"/>
    <col min="2" max="2" width="14.85546875" style="1" bestFit="1" customWidth="1"/>
    <col min="3" max="3" width="11.7109375" style="1" customWidth="1"/>
    <col min="4" max="4" width="12.5703125" style="1" bestFit="1" customWidth="1"/>
    <col min="5" max="5" width="15.5703125" style="1" customWidth="1"/>
    <col min="6" max="6" width="14.85546875" style="1" bestFit="1" customWidth="1"/>
    <col min="7" max="7" width="16.7109375" style="1" bestFit="1" customWidth="1"/>
    <col min="8" max="8" width="23" style="17" bestFit="1" customWidth="1"/>
    <col min="9" max="9" width="21.140625" style="17" bestFit="1" customWidth="1"/>
    <col min="10" max="10" width="21.140625" style="1" customWidth="1"/>
    <col min="11" max="11" width="16.28515625" style="1" bestFit="1" customWidth="1"/>
    <col min="12" max="12" width="18.42578125" style="1" bestFit="1" customWidth="1"/>
    <col min="13" max="13" width="16.5703125" style="1" bestFit="1" customWidth="1"/>
    <col min="14" max="14" width="12.28515625" style="1" bestFit="1" customWidth="1"/>
    <col min="15" max="15" width="9.140625" style="28"/>
    <col min="16" max="16384" width="9.140625" style="1"/>
  </cols>
  <sheetData>
    <row r="1" spans="1:15" ht="54.95" customHeight="1" x14ac:dyDescent="0.25">
      <c r="A1" s="49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</row>
    <row r="2" spans="1:15" s="15" customFormat="1" x14ac:dyDescent="0.25">
      <c r="A2" s="15" t="s">
        <v>0</v>
      </c>
      <c r="B2" s="16" t="s">
        <v>2</v>
      </c>
      <c r="C2" s="15" t="s">
        <v>4</v>
      </c>
      <c r="D2" s="16" t="s">
        <v>6</v>
      </c>
      <c r="E2" s="15" t="s">
        <v>8</v>
      </c>
      <c r="F2" s="16" t="s">
        <v>11</v>
      </c>
      <c r="G2" s="16" t="s">
        <v>15</v>
      </c>
      <c r="H2" s="16" t="s">
        <v>19</v>
      </c>
      <c r="I2" s="16" t="s">
        <v>23</v>
      </c>
      <c r="J2" s="16" t="s">
        <v>102</v>
      </c>
      <c r="K2" s="16" t="s">
        <v>26</v>
      </c>
      <c r="L2" s="16" t="s">
        <v>30</v>
      </c>
      <c r="M2" s="16" t="s">
        <v>34</v>
      </c>
      <c r="N2" s="16" t="s">
        <v>38</v>
      </c>
      <c r="O2" s="23"/>
    </row>
  </sheetData>
  <customSheetViews>
    <customSheetView guid="{E035D73C-6DE8-4728-BCA6-2ACE00DC88C2}">
      <selection activeCell="A7" sqref="A7"/>
      <pageMargins left="0.7" right="0.7" top="0.75" bottom="0.75" header="0.3" footer="0.3"/>
    </customSheetView>
    <customSheetView guid="{0B94B745-F070-4122-A4FD-5713832B364A}" hiddenColumns="1" topLeftCell="B1">
      <selection activeCell="B4" sqref="B4"/>
      <pageMargins left="0.7" right="0.7" top="0.75" bottom="0.75" header="0.3" footer="0.3"/>
    </customSheetView>
    <customSheetView guid="{EFF2F100-1E68-4EDA-87D3-99AEFF2EEB3E}">
      <selection sqref="A1:N3"/>
      <pageMargins left="0.7" right="0.7" top="0.75" bottom="0.75" header="0.3" footer="0.3"/>
    </customSheetView>
    <customSheetView guid="{775315B8-81A0-46D0-A21B-5042A6D17E8A}">
      <pane ySplit="2" topLeftCell="A3" activePane="bottomLeft" state="frozenSplit"/>
      <selection pane="bottomLeft" activeCell="B3" sqref="B3"/>
      <pageMargins left="0.7" right="0.7" top="0.75" bottom="0.75" header="0.3" footer="0.3"/>
    </customSheetView>
    <customSheetView guid="{30D09489-9F7F-4F99-80CC-972D52CE044F}">
      <pane ySplit="2" topLeftCell="A3" activePane="bottomLeft" state="frozenSplit"/>
      <selection pane="bottomLeft" activeCell="B13" sqref="B13"/>
      <pageMargins left="0.7" right="0.7" top="0.75" bottom="0.75" header="0.3" footer="0.3"/>
    </customSheetView>
    <customSheetView guid="{732025B7-2BD2-4974-B1FD-67C3CE0944B1}">
      <selection sqref="A1:N3"/>
      <pageMargins left="0.7" right="0.7" top="0.75" bottom="0.75" header="0.3" footer="0.3"/>
    </customSheetView>
    <customSheetView guid="{4A0EEECC-BF7F-4C3E-AC2A-DEB5263DBBAE}">
      <pane ySplit="2" topLeftCell="A3" activePane="bottomLeft" state="frozenSplit"/>
      <selection pane="bottomLeft" activeCell="B3" sqref="B3"/>
      <pageMargins left="0.7" right="0.7" top="0.75" bottom="0.75" header="0.3" footer="0.3"/>
    </customSheetView>
    <customSheetView guid="{BECCC96E-1854-41BE-8C23-F96A36206D6D}">
      <selection sqref="A1:N3"/>
      <pageMargins left="0.7" right="0.7" top="0.75" bottom="0.75" header="0.3" footer="0.3"/>
    </customSheetView>
    <customSheetView guid="{BFE66E2E-FE12-4330-B1B7-C7EB0B371589}">
      <selection sqref="A1:N3"/>
      <pageMargins left="0.7" right="0.7" top="0.75" bottom="0.75" header="0.3" footer="0.3"/>
    </customSheetView>
  </customSheetViews>
  <mergeCells count="1">
    <mergeCell ref="A1:N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CheckBox1">
          <controlPr autoLine="0" r:id="rId4">
            <anchor moveWithCells="1">
              <from>
                <xdr:col>0</xdr:col>
                <xdr:colOff>0</xdr:colOff>
                <xdr:row>0</xdr:row>
                <xdr:rowOff>304800</xdr:rowOff>
              </from>
              <to>
                <xdr:col>2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2052" r:id="rId3" name="CheckBox1"/>
      </mc:Fallback>
    </mc:AlternateContent>
    <mc:AlternateContent xmlns:mc="http://schemas.openxmlformats.org/markup-compatibility/2006">
      <mc:Choice Requires="x14">
        <control shapeId="2054" r:id="rId5" name="Label1">
          <controlPr autoLine="0" r:id="rId6">
            <anchor moveWithCells="1">
              <from>
                <xdr:col>0</xdr:col>
                <xdr:colOff>19050</xdr:colOff>
                <xdr:row>0</xdr:row>
                <xdr:rowOff>76200</xdr:rowOff>
              </from>
              <to>
                <xdr:col>2</xdr:col>
                <xdr:colOff>190500</xdr:colOff>
                <xdr:row>0</xdr:row>
                <xdr:rowOff>247650</xdr:rowOff>
              </to>
            </anchor>
          </controlPr>
        </control>
      </mc:Choice>
      <mc:Fallback>
        <control shapeId="2054" r:id="rId5" name="Label1"/>
      </mc:Fallback>
    </mc:AlternateContent>
    <mc:AlternateContent xmlns:mc="http://schemas.openxmlformats.org/markup-compatibility/2006">
      <mc:Choice Requires="x14">
        <control shapeId="2056" r:id="rId7" name="Label2">
          <controlPr autoLine="0" r:id="rId8">
            <anchor moveWithCells="1">
              <from>
                <xdr:col>14</xdr:col>
                <xdr:colOff>76200</xdr:colOff>
                <xdr:row>0</xdr:row>
                <xdr:rowOff>85725</xdr:rowOff>
              </from>
              <to>
                <xdr:col>19</xdr:col>
                <xdr:colOff>447675</xdr:colOff>
                <xdr:row>0</xdr:row>
                <xdr:rowOff>295275</xdr:rowOff>
              </to>
            </anchor>
          </controlPr>
        </control>
      </mc:Choice>
      <mc:Fallback>
        <control shapeId="2056" r:id="rId7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A328"/>
  <sheetViews>
    <sheetView workbookViewId="0">
      <pane ySplit="2" topLeftCell="A314" activePane="bottomLeft" state="frozen"/>
      <selection pane="bottomLeft" activeCell="A319" sqref="A319:XFD319"/>
    </sheetView>
  </sheetViews>
  <sheetFormatPr defaultRowHeight="15" x14ac:dyDescent="0.25"/>
  <cols>
    <col min="1" max="1" width="14.85546875" bestFit="1" customWidth="1"/>
    <col min="2" max="2" width="11.7109375" customWidth="1"/>
    <col min="3" max="3" width="12.5703125" style="41" bestFit="1" customWidth="1"/>
    <col min="4" max="4" width="25.28515625" customWidth="1"/>
    <col min="5" max="5" width="28" customWidth="1"/>
    <col min="6" max="6" width="11.85546875" customWidth="1"/>
    <col min="7" max="7" width="13.85546875" customWidth="1"/>
    <col min="8" max="8" width="16.5703125" customWidth="1"/>
    <col min="9" max="9" width="18.85546875" style="18" customWidth="1"/>
    <col min="10" max="10" width="27" style="19" customWidth="1"/>
    <col min="11" max="11" width="18.28515625" customWidth="1"/>
    <col min="12" max="12" width="11.85546875" customWidth="1"/>
    <col min="13" max="13" width="13.85546875" customWidth="1"/>
    <col min="14" max="14" width="15.5703125" customWidth="1"/>
    <col min="15" max="15" width="13.85546875" customWidth="1"/>
    <col min="16" max="16" width="19.5703125" customWidth="1"/>
    <col min="17" max="17" width="22.7109375" customWidth="1"/>
    <col min="18" max="18" width="10.5703125" customWidth="1"/>
    <col min="19" max="19" width="15.28515625" customWidth="1"/>
    <col min="20" max="20" width="23.7109375" bestFit="1" customWidth="1"/>
    <col min="21" max="21" width="14.85546875" customWidth="1"/>
    <col min="22" max="22" width="22.140625" customWidth="1"/>
    <col min="23" max="23" width="16.5703125" style="18" customWidth="1"/>
    <col min="24" max="24" width="28.28515625" customWidth="1"/>
    <col min="25" max="25" width="27.28515625" style="20" customWidth="1"/>
    <col min="26" max="26" width="27.85546875" customWidth="1"/>
    <col min="27" max="27" width="25.140625" customWidth="1"/>
    <col min="28" max="28" width="23.5703125" customWidth="1"/>
    <col min="29" max="29" width="13.28515625" customWidth="1"/>
    <col min="30" max="30" width="11.42578125" customWidth="1"/>
    <col min="31" max="31" width="18.42578125" bestFit="1" customWidth="1"/>
    <col min="32" max="32" width="16.5703125" bestFit="1" customWidth="1"/>
    <col min="33" max="33" width="12.28515625" bestFit="1" customWidth="1"/>
    <col min="34" max="34" width="9.140625" style="21"/>
    <col min="35" max="35" width="9.7109375" bestFit="1" customWidth="1"/>
    <col min="37" max="37" width="15.85546875" bestFit="1" customWidth="1"/>
    <col min="45" max="45" width="14.85546875" bestFit="1" customWidth="1"/>
    <col min="46" max="47" width="9.140625" style="35"/>
  </cols>
  <sheetData>
    <row r="1" spans="1:53" s="27" customFormat="1" ht="54.9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26"/>
      <c r="AT1" s="47"/>
      <c r="AU1" s="47"/>
    </row>
    <row r="2" spans="1:53" s="15" customFormat="1" x14ac:dyDescent="0.25">
      <c r="A2" s="16" t="s">
        <v>2</v>
      </c>
      <c r="B2" s="15" t="s">
        <v>4</v>
      </c>
      <c r="C2" s="16" t="s">
        <v>6</v>
      </c>
      <c r="D2" s="16" t="s">
        <v>9</v>
      </c>
      <c r="E2" s="15" t="s">
        <v>12</v>
      </c>
      <c r="F2" s="15" t="s">
        <v>16</v>
      </c>
      <c r="G2" s="15" t="s">
        <v>20</v>
      </c>
      <c r="H2" s="15" t="s">
        <v>13</v>
      </c>
      <c r="I2" s="15" t="s">
        <v>27</v>
      </c>
      <c r="J2" s="16" t="s">
        <v>31</v>
      </c>
      <c r="K2" s="16" t="s">
        <v>35</v>
      </c>
      <c r="L2" s="16" t="s">
        <v>39</v>
      </c>
      <c r="M2" s="16" t="s">
        <v>42</v>
      </c>
      <c r="N2" s="15" t="s">
        <v>8</v>
      </c>
      <c r="O2" s="15" t="s">
        <v>46</v>
      </c>
      <c r="P2" s="15" t="s">
        <v>49</v>
      </c>
      <c r="Q2" s="15" t="s">
        <v>101</v>
      </c>
      <c r="R2" s="15" t="s">
        <v>52</v>
      </c>
      <c r="S2" s="16" t="s">
        <v>54</v>
      </c>
      <c r="T2" s="16" t="s">
        <v>102</v>
      </c>
      <c r="U2" s="16" t="s">
        <v>56</v>
      </c>
      <c r="V2" s="15" t="s">
        <v>58</v>
      </c>
      <c r="W2" s="15" t="s">
        <v>60</v>
      </c>
      <c r="X2" s="15" t="s">
        <v>62</v>
      </c>
      <c r="Y2" s="15" t="s">
        <v>64</v>
      </c>
      <c r="Z2" s="15" t="s">
        <v>66</v>
      </c>
      <c r="AA2" s="15" t="s">
        <v>68</v>
      </c>
      <c r="AB2" s="15" t="s">
        <v>70</v>
      </c>
      <c r="AC2" s="15" t="s">
        <v>72</v>
      </c>
      <c r="AD2" s="15" t="s">
        <v>74</v>
      </c>
      <c r="AE2" s="16" t="s">
        <v>30</v>
      </c>
      <c r="AF2" s="16" t="s">
        <v>34</v>
      </c>
      <c r="AG2" s="16" t="s">
        <v>38</v>
      </c>
      <c r="AH2" s="21" t="s">
        <v>362</v>
      </c>
      <c r="AI2" t="s">
        <v>359</v>
      </c>
      <c r="AJ2" t="s">
        <v>363</v>
      </c>
      <c r="AK2" t="s">
        <v>364</v>
      </c>
      <c r="AL2" t="s">
        <v>365</v>
      </c>
      <c r="AM2" t="s">
        <v>366</v>
      </c>
      <c r="AN2" t="s">
        <v>367</v>
      </c>
      <c r="AO2" t="s">
        <v>368</v>
      </c>
      <c r="AP2" t="s">
        <v>369</v>
      </c>
      <c r="AQ2" t="s">
        <v>370</v>
      </c>
      <c r="AR2" t="s">
        <v>360</v>
      </c>
      <c r="AS2" t="s">
        <v>371</v>
      </c>
      <c r="AT2" s="35" t="s">
        <v>372</v>
      </c>
      <c r="AU2" s="35" t="s">
        <v>373</v>
      </c>
      <c r="AV2" t="s">
        <v>374</v>
      </c>
      <c r="AW2" t="s">
        <v>375</v>
      </c>
      <c r="AX2" t="s">
        <v>376</v>
      </c>
      <c r="AY2" t="s">
        <v>377</v>
      </c>
      <c r="AZ2" t="s">
        <v>323</v>
      </c>
      <c r="BA2" s="15" t="s">
        <v>74</v>
      </c>
    </row>
    <row r="3" spans="1:53" x14ac:dyDescent="0.25">
      <c r="A3" t="s">
        <v>154</v>
      </c>
      <c r="C3" t="s">
        <v>160</v>
      </c>
      <c r="D3">
        <v>1</v>
      </c>
      <c r="I3" s="18">
        <v>40283.633333333331</v>
      </c>
      <c r="J3" s="19">
        <v>40283.466666666667</v>
      </c>
      <c r="K3" t="s">
        <v>161</v>
      </c>
      <c r="L3">
        <v>46.512896410000003</v>
      </c>
      <c r="M3">
        <v>-84.344176439999998</v>
      </c>
      <c r="S3" t="s">
        <v>162</v>
      </c>
      <c r="T3">
        <v>69</v>
      </c>
      <c r="U3">
        <v>109125</v>
      </c>
      <c r="AE3" t="s">
        <v>163</v>
      </c>
      <c r="AF3" t="s">
        <v>108</v>
      </c>
      <c r="AG3" t="s">
        <v>164</v>
      </c>
      <c r="AI3" s="39"/>
    </row>
    <row r="4" spans="1:53" x14ac:dyDescent="0.25">
      <c r="A4" t="s">
        <v>154</v>
      </c>
      <c r="C4" t="s">
        <v>165</v>
      </c>
      <c r="D4">
        <v>1</v>
      </c>
      <c r="I4" s="18">
        <v>40283.647916666669</v>
      </c>
      <c r="J4" s="19">
        <v>40283.481249999997</v>
      </c>
      <c r="K4" t="s">
        <v>161</v>
      </c>
      <c r="L4">
        <v>46.51330274</v>
      </c>
      <c r="M4">
        <v>-84.341885730000001</v>
      </c>
      <c r="S4" t="s">
        <v>162</v>
      </c>
      <c r="T4">
        <v>69</v>
      </c>
      <c r="U4">
        <v>106324</v>
      </c>
      <c r="AE4" t="s">
        <v>163</v>
      </c>
      <c r="AF4" t="s">
        <v>108</v>
      </c>
      <c r="AG4" t="s">
        <v>164</v>
      </c>
    </row>
    <row r="5" spans="1:53" x14ac:dyDescent="0.25">
      <c r="A5" t="s">
        <v>154</v>
      </c>
      <c r="C5" t="s">
        <v>166</v>
      </c>
      <c r="D5">
        <v>1</v>
      </c>
      <c r="I5" s="18">
        <v>40283.668055555558</v>
      </c>
      <c r="J5" s="19">
        <v>40283.501388888886</v>
      </c>
      <c r="K5" t="s">
        <v>161</v>
      </c>
      <c r="L5">
        <v>46.511220659999999</v>
      </c>
      <c r="M5">
        <v>-84.342688510000002</v>
      </c>
      <c r="S5" t="s">
        <v>162</v>
      </c>
      <c r="T5">
        <v>69</v>
      </c>
      <c r="U5">
        <v>109121</v>
      </c>
      <c r="AE5" t="s">
        <v>163</v>
      </c>
      <c r="AF5" t="s">
        <v>108</v>
      </c>
      <c r="AG5" t="s">
        <v>164</v>
      </c>
    </row>
    <row r="6" spans="1:53" x14ac:dyDescent="0.25">
      <c r="A6" t="s">
        <v>154</v>
      </c>
      <c r="C6" t="s">
        <v>167</v>
      </c>
      <c r="D6">
        <v>1</v>
      </c>
      <c r="I6" s="18">
        <v>40283.770833333336</v>
      </c>
      <c r="J6" s="19">
        <v>40283.604166666664</v>
      </c>
      <c r="K6" t="s">
        <v>161</v>
      </c>
      <c r="L6">
        <v>46.50967</v>
      </c>
      <c r="M6">
        <v>-84.339365999999998</v>
      </c>
      <c r="S6" t="s">
        <v>162</v>
      </c>
      <c r="T6">
        <v>69</v>
      </c>
      <c r="U6">
        <v>109446</v>
      </c>
      <c r="AE6" t="s">
        <v>163</v>
      </c>
      <c r="AF6" t="s">
        <v>108</v>
      </c>
      <c r="AG6" t="s">
        <v>164</v>
      </c>
      <c r="AI6" s="39"/>
    </row>
    <row r="7" spans="1:53" x14ac:dyDescent="0.25">
      <c r="A7" t="s">
        <v>154</v>
      </c>
      <c r="C7" t="s">
        <v>168</v>
      </c>
      <c r="D7">
        <v>1</v>
      </c>
      <c r="I7" s="18">
        <v>40283.776388888888</v>
      </c>
      <c r="J7" s="19">
        <v>40283.609722222223</v>
      </c>
      <c r="K7" t="s">
        <v>161</v>
      </c>
      <c r="L7">
        <v>46.509546399999998</v>
      </c>
      <c r="M7">
        <v>-84.342726170000006</v>
      </c>
      <c r="S7" t="s">
        <v>162</v>
      </c>
      <c r="T7">
        <v>69</v>
      </c>
      <c r="U7">
        <v>109460</v>
      </c>
      <c r="AE7" t="s">
        <v>163</v>
      </c>
      <c r="AF7" t="s">
        <v>108</v>
      </c>
      <c r="AG7" t="s">
        <v>164</v>
      </c>
    </row>
    <row r="8" spans="1:53" x14ac:dyDescent="0.25">
      <c r="A8" t="s">
        <v>154</v>
      </c>
      <c r="C8" t="s">
        <v>169</v>
      </c>
      <c r="D8">
        <v>1</v>
      </c>
      <c r="I8" s="18">
        <v>40283.784722222219</v>
      </c>
      <c r="J8" s="19">
        <v>40283.618055555555</v>
      </c>
      <c r="K8" t="s">
        <v>161</v>
      </c>
      <c r="L8">
        <v>46.507666</v>
      </c>
      <c r="M8">
        <v>-84.341735</v>
      </c>
      <c r="S8" t="s">
        <v>162</v>
      </c>
      <c r="T8">
        <v>69</v>
      </c>
      <c r="U8">
        <v>109127</v>
      </c>
      <c r="AE8" t="s">
        <v>163</v>
      </c>
      <c r="AF8" t="s">
        <v>108</v>
      </c>
      <c r="AG8" t="s">
        <v>164</v>
      </c>
    </row>
    <row r="9" spans="1:53" x14ac:dyDescent="0.25">
      <c r="A9" t="s">
        <v>154</v>
      </c>
      <c r="C9" t="s">
        <v>170</v>
      </c>
      <c r="D9">
        <v>1</v>
      </c>
      <c r="I9" s="18">
        <v>40283.792361111111</v>
      </c>
      <c r="J9" s="19">
        <v>40283.625694444447</v>
      </c>
      <c r="K9" t="s">
        <v>161</v>
      </c>
      <c r="L9">
        <v>46.508479999999999</v>
      </c>
      <c r="M9">
        <v>-84.343193999999997</v>
      </c>
      <c r="S9" t="s">
        <v>162</v>
      </c>
      <c r="T9">
        <v>69</v>
      </c>
      <c r="U9">
        <v>106323</v>
      </c>
      <c r="AE9" t="s">
        <v>163</v>
      </c>
      <c r="AF9" t="s">
        <v>108</v>
      </c>
      <c r="AG9" t="s">
        <v>164</v>
      </c>
      <c r="AI9" s="39"/>
    </row>
    <row r="10" spans="1:53" x14ac:dyDescent="0.25">
      <c r="A10" t="s">
        <v>154</v>
      </c>
      <c r="C10" t="s">
        <v>171</v>
      </c>
      <c r="D10">
        <v>1</v>
      </c>
      <c r="I10" s="18">
        <v>40283.802083333336</v>
      </c>
      <c r="J10" s="19">
        <v>40283.635416666664</v>
      </c>
      <c r="K10" t="s">
        <v>161</v>
      </c>
      <c r="L10">
        <v>46.508189999999999</v>
      </c>
      <c r="M10">
        <v>-84.345161000000004</v>
      </c>
      <c r="S10" t="s">
        <v>162</v>
      </c>
      <c r="T10">
        <v>69</v>
      </c>
      <c r="U10">
        <v>109451</v>
      </c>
      <c r="AE10" t="s">
        <v>163</v>
      </c>
      <c r="AF10" t="s">
        <v>108</v>
      </c>
      <c r="AG10" t="s">
        <v>164</v>
      </c>
    </row>
    <row r="11" spans="1:53" x14ac:dyDescent="0.25">
      <c r="A11" t="s">
        <v>154</v>
      </c>
      <c r="C11" t="s">
        <v>172</v>
      </c>
      <c r="D11">
        <v>1</v>
      </c>
      <c r="I11" s="18">
        <v>40283.810416666667</v>
      </c>
      <c r="J11" s="19">
        <v>40283.643750000003</v>
      </c>
      <c r="K11" t="s">
        <v>161</v>
      </c>
      <c r="L11">
        <v>46.507154</v>
      </c>
      <c r="M11">
        <v>-84.343610999999996</v>
      </c>
      <c r="S11" t="s">
        <v>162</v>
      </c>
      <c r="T11">
        <v>69</v>
      </c>
      <c r="U11">
        <v>109124</v>
      </c>
      <c r="AE11" t="s">
        <v>163</v>
      </c>
      <c r="AF11" t="s">
        <v>108</v>
      </c>
      <c r="AG11" t="s">
        <v>164</v>
      </c>
    </row>
    <row r="12" spans="1:53" x14ac:dyDescent="0.25">
      <c r="A12" t="s">
        <v>154</v>
      </c>
      <c r="C12" t="s">
        <v>173</v>
      </c>
      <c r="D12">
        <v>1</v>
      </c>
      <c r="I12" s="18">
        <v>40283.818055555559</v>
      </c>
      <c r="J12" s="19">
        <v>40283.651388888888</v>
      </c>
      <c r="K12" t="s">
        <v>161</v>
      </c>
      <c r="L12">
        <v>46.505980000000001</v>
      </c>
      <c r="M12">
        <v>-84.345068999999995</v>
      </c>
      <c r="S12" t="s">
        <v>162</v>
      </c>
      <c r="T12">
        <v>69</v>
      </c>
      <c r="U12">
        <v>109452</v>
      </c>
      <c r="AE12" t="s">
        <v>163</v>
      </c>
      <c r="AF12" t="s">
        <v>108</v>
      </c>
      <c r="AG12" t="s">
        <v>164</v>
      </c>
      <c r="AI12" s="39"/>
    </row>
    <row r="13" spans="1:53" x14ac:dyDescent="0.25">
      <c r="A13" t="s">
        <v>154</v>
      </c>
      <c r="C13" t="s">
        <v>174</v>
      </c>
      <c r="D13">
        <v>1</v>
      </c>
      <c r="I13" s="18">
        <v>40283.826388888891</v>
      </c>
      <c r="J13" s="19">
        <v>40283.659722222219</v>
      </c>
      <c r="K13" t="s">
        <v>161</v>
      </c>
      <c r="L13">
        <v>46.506132999999998</v>
      </c>
      <c r="M13">
        <v>-84.342544000000004</v>
      </c>
      <c r="S13" t="s">
        <v>162</v>
      </c>
      <c r="T13">
        <v>69</v>
      </c>
      <c r="U13">
        <v>109454</v>
      </c>
      <c r="AE13" t="s">
        <v>163</v>
      </c>
      <c r="AF13" t="s">
        <v>108</v>
      </c>
      <c r="AG13" t="s">
        <v>164</v>
      </c>
    </row>
    <row r="14" spans="1:53" x14ac:dyDescent="0.25">
      <c r="A14" t="s">
        <v>154</v>
      </c>
      <c r="C14" t="s">
        <v>175</v>
      </c>
      <c r="D14">
        <v>1</v>
      </c>
      <c r="I14" s="18">
        <v>40283.868055555555</v>
      </c>
      <c r="J14" s="19">
        <v>40283.701388888891</v>
      </c>
      <c r="K14" t="s">
        <v>161</v>
      </c>
      <c r="L14">
        <v>46.511575999999998</v>
      </c>
      <c r="M14">
        <v>-84.340439000000003</v>
      </c>
      <c r="S14" t="s">
        <v>162</v>
      </c>
      <c r="T14">
        <v>69</v>
      </c>
      <c r="U14">
        <v>109126</v>
      </c>
      <c r="AE14" t="s">
        <v>163</v>
      </c>
      <c r="AF14" t="s">
        <v>108</v>
      </c>
      <c r="AG14" t="s">
        <v>164</v>
      </c>
    </row>
    <row r="15" spans="1:53" x14ac:dyDescent="0.25">
      <c r="A15" t="s">
        <v>154</v>
      </c>
      <c r="C15" t="s">
        <v>165</v>
      </c>
      <c r="D15">
        <v>2</v>
      </c>
      <c r="I15" s="18">
        <v>40283.879166666666</v>
      </c>
      <c r="J15" s="19">
        <v>40283.712500000001</v>
      </c>
      <c r="K15" t="s">
        <v>161</v>
      </c>
      <c r="L15">
        <v>46.513119660000001</v>
      </c>
      <c r="M15">
        <v>-84.341960940000007</v>
      </c>
      <c r="S15" t="s">
        <v>162</v>
      </c>
      <c r="T15">
        <v>69</v>
      </c>
      <c r="U15">
        <v>106324</v>
      </c>
      <c r="AE15" t="s">
        <v>163</v>
      </c>
      <c r="AF15" t="s">
        <v>108</v>
      </c>
      <c r="AG15" t="s">
        <v>164</v>
      </c>
    </row>
    <row r="16" spans="1:53" x14ac:dyDescent="0.25">
      <c r="A16" t="s">
        <v>154</v>
      </c>
      <c r="C16" t="s">
        <v>160</v>
      </c>
      <c r="D16">
        <v>2</v>
      </c>
      <c r="I16" s="18">
        <v>40283.890972222223</v>
      </c>
      <c r="J16" s="19">
        <v>40283.724305555559</v>
      </c>
      <c r="K16" t="s">
        <v>161</v>
      </c>
      <c r="L16">
        <v>46.512807889999998</v>
      </c>
      <c r="M16">
        <v>-84.344141269999994</v>
      </c>
      <c r="S16" t="s">
        <v>162</v>
      </c>
      <c r="T16">
        <v>69</v>
      </c>
      <c r="U16">
        <v>109125</v>
      </c>
      <c r="AE16" t="s">
        <v>163</v>
      </c>
      <c r="AF16" t="s">
        <v>108</v>
      </c>
      <c r="AG16" t="s">
        <v>164</v>
      </c>
    </row>
    <row r="17" spans="1:35" x14ac:dyDescent="0.25">
      <c r="A17" t="s">
        <v>154</v>
      </c>
      <c r="C17" t="s">
        <v>166</v>
      </c>
      <c r="D17">
        <v>2</v>
      </c>
      <c r="I17" s="18">
        <v>40283.898611111108</v>
      </c>
      <c r="J17" s="19">
        <v>40283.731944444444</v>
      </c>
      <c r="K17" t="s">
        <v>161</v>
      </c>
      <c r="L17">
        <v>46.511135490000001</v>
      </c>
      <c r="M17">
        <v>-84.342713709999998</v>
      </c>
      <c r="S17" t="s">
        <v>162</v>
      </c>
      <c r="T17">
        <v>69</v>
      </c>
      <c r="U17">
        <v>109121</v>
      </c>
      <c r="AE17" t="s">
        <v>163</v>
      </c>
      <c r="AF17" t="s">
        <v>108</v>
      </c>
      <c r="AG17" t="s">
        <v>164</v>
      </c>
    </row>
    <row r="18" spans="1:35" x14ac:dyDescent="0.25">
      <c r="A18" t="s">
        <v>124</v>
      </c>
      <c r="C18" t="s">
        <v>176</v>
      </c>
      <c r="D18">
        <v>1</v>
      </c>
      <c r="I18" s="18">
        <v>40284.555555555555</v>
      </c>
      <c r="J18" s="19">
        <v>40284.388888888891</v>
      </c>
      <c r="K18" t="s">
        <v>161</v>
      </c>
      <c r="L18">
        <v>46.498581620000003</v>
      </c>
      <c r="M18">
        <v>-84.334142689999993</v>
      </c>
      <c r="S18" t="s">
        <v>162</v>
      </c>
      <c r="T18">
        <v>69</v>
      </c>
      <c r="U18">
        <v>109414</v>
      </c>
      <c r="AE18" t="s">
        <v>163</v>
      </c>
      <c r="AF18" t="s">
        <v>108</v>
      </c>
      <c r="AG18" t="s">
        <v>164</v>
      </c>
    </row>
    <row r="19" spans="1:35" x14ac:dyDescent="0.25">
      <c r="A19" t="s">
        <v>124</v>
      </c>
      <c r="C19" t="s">
        <v>177</v>
      </c>
      <c r="D19">
        <v>1</v>
      </c>
      <c r="I19" s="18">
        <v>40284.563194444447</v>
      </c>
      <c r="J19" s="19">
        <v>40284.396527777775</v>
      </c>
      <c r="K19" t="s">
        <v>161</v>
      </c>
      <c r="L19">
        <v>46.498854510000001</v>
      </c>
      <c r="M19">
        <v>-84.333903300000003</v>
      </c>
      <c r="S19" t="s">
        <v>162</v>
      </c>
      <c r="T19">
        <v>69</v>
      </c>
      <c r="U19">
        <v>109463</v>
      </c>
      <c r="AE19" t="s">
        <v>163</v>
      </c>
      <c r="AF19" t="s">
        <v>108</v>
      </c>
      <c r="AG19" t="s">
        <v>164</v>
      </c>
    </row>
    <row r="20" spans="1:35" x14ac:dyDescent="0.25">
      <c r="A20" t="s">
        <v>124</v>
      </c>
      <c r="C20" t="s">
        <v>178</v>
      </c>
      <c r="D20">
        <v>1</v>
      </c>
      <c r="I20" s="18">
        <v>40284.574305555558</v>
      </c>
      <c r="J20" s="19">
        <v>40284.407638888886</v>
      </c>
      <c r="K20" t="s">
        <v>161</v>
      </c>
      <c r="L20">
        <v>46.498620180000003</v>
      </c>
      <c r="M20">
        <v>-84.333385640000003</v>
      </c>
      <c r="S20" t="s">
        <v>162</v>
      </c>
      <c r="T20">
        <v>69</v>
      </c>
      <c r="U20">
        <v>109413</v>
      </c>
      <c r="AE20" t="s">
        <v>163</v>
      </c>
      <c r="AF20" t="s">
        <v>108</v>
      </c>
      <c r="AG20" t="s">
        <v>164</v>
      </c>
    </row>
    <row r="21" spans="1:35" x14ac:dyDescent="0.25">
      <c r="A21" t="s">
        <v>144</v>
      </c>
      <c r="C21" t="s">
        <v>178</v>
      </c>
      <c r="D21">
        <v>1</v>
      </c>
      <c r="I21" s="18">
        <v>40284.588194444441</v>
      </c>
      <c r="J21" s="19">
        <v>40284.421527777777</v>
      </c>
      <c r="K21" t="s">
        <v>161</v>
      </c>
      <c r="L21">
        <v>46.505623</v>
      </c>
      <c r="M21">
        <v>-84.350060999999997</v>
      </c>
      <c r="S21" t="s">
        <v>162</v>
      </c>
      <c r="T21">
        <v>69</v>
      </c>
      <c r="U21">
        <v>109461</v>
      </c>
      <c r="AE21" t="s">
        <v>163</v>
      </c>
      <c r="AF21" t="s">
        <v>108</v>
      </c>
      <c r="AG21" t="s">
        <v>179</v>
      </c>
    </row>
    <row r="22" spans="1:35" x14ac:dyDescent="0.25">
      <c r="A22" t="s">
        <v>144</v>
      </c>
      <c r="C22" t="s">
        <v>177</v>
      </c>
      <c r="D22">
        <v>1</v>
      </c>
      <c r="I22" s="18">
        <v>40284.59097222222</v>
      </c>
      <c r="J22" s="19">
        <v>40284.424305555556</v>
      </c>
      <c r="K22" t="s">
        <v>161</v>
      </c>
      <c r="L22">
        <v>46.505384999999997</v>
      </c>
      <c r="M22">
        <v>-84.351702000000003</v>
      </c>
      <c r="S22" t="s">
        <v>162</v>
      </c>
      <c r="T22">
        <v>69</v>
      </c>
      <c r="U22">
        <v>109418</v>
      </c>
      <c r="AE22" t="s">
        <v>163</v>
      </c>
      <c r="AF22" t="s">
        <v>108</v>
      </c>
      <c r="AG22" t="s">
        <v>179</v>
      </c>
    </row>
    <row r="23" spans="1:35" x14ac:dyDescent="0.25">
      <c r="A23" t="s">
        <v>154</v>
      </c>
      <c r="C23" t="s">
        <v>180</v>
      </c>
      <c r="D23">
        <v>1</v>
      </c>
      <c r="I23" s="18">
        <v>40284.603472222225</v>
      </c>
      <c r="J23" s="19">
        <v>40284.436805555553</v>
      </c>
      <c r="K23" t="s">
        <v>161</v>
      </c>
      <c r="L23">
        <v>46.512293</v>
      </c>
      <c r="M23">
        <v>-84.341734000000002</v>
      </c>
      <c r="S23" t="s">
        <v>162</v>
      </c>
      <c r="T23">
        <v>69</v>
      </c>
      <c r="U23">
        <v>109453</v>
      </c>
      <c r="AE23" t="s">
        <v>163</v>
      </c>
      <c r="AF23" t="s">
        <v>108</v>
      </c>
      <c r="AG23" t="s">
        <v>164</v>
      </c>
    </row>
    <row r="24" spans="1:35" x14ac:dyDescent="0.25">
      <c r="A24" t="s">
        <v>154</v>
      </c>
      <c r="C24" t="s">
        <v>181</v>
      </c>
      <c r="D24">
        <v>1</v>
      </c>
      <c r="I24" s="18">
        <v>40284.62222222222</v>
      </c>
      <c r="J24" s="19">
        <v>40284.455555555556</v>
      </c>
      <c r="K24" t="s">
        <v>161</v>
      </c>
      <c r="L24">
        <v>46.505509940000003</v>
      </c>
      <c r="M24">
        <v>-84.339946729999994</v>
      </c>
      <c r="S24" t="s">
        <v>162</v>
      </c>
      <c r="T24">
        <v>69</v>
      </c>
      <c r="U24">
        <v>109123</v>
      </c>
      <c r="AE24" t="s">
        <v>163</v>
      </c>
      <c r="AF24" t="s">
        <v>108</v>
      </c>
      <c r="AG24" t="s">
        <v>164</v>
      </c>
      <c r="AI24" s="39"/>
    </row>
    <row r="25" spans="1:35" x14ac:dyDescent="0.25">
      <c r="A25" t="s">
        <v>154</v>
      </c>
      <c r="C25" t="s">
        <v>182</v>
      </c>
      <c r="D25">
        <v>1</v>
      </c>
      <c r="I25" s="18">
        <v>40284.65625</v>
      </c>
      <c r="J25" s="19">
        <v>40284.489583333336</v>
      </c>
      <c r="K25" t="s">
        <v>161</v>
      </c>
      <c r="L25">
        <v>46.503414999999997</v>
      </c>
      <c r="M25">
        <v>-84.338710000000006</v>
      </c>
      <c r="S25" t="s">
        <v>162</v>
      </c>
      <c r="T25">
        <v>69</v>
      </c>
      <c r="U25">
        <v>109438</v>
      </c>
      <c r="AE25" t="s">
        <v>163</v>
      </c>
      <c r="AF25" t="s">
        <v>108</v>
      </c>
      <c r="AG25" t="s">
        <v>179</v>
      </c>
    </row>
    <row r="26" spans="1:35" x14ac:dyDescent="0.25">
      <c r="A26" t="s">
        <v>154</v>
      </c>
      <c r="C26" t="s">
        <v>183</v>
      </c>
      <c r="D26">
        <v>1</v>
      </c>
      <c r="I26" s="18">
        <v>40284.663888888892</v>
      </c>
      <c r="J26" s="19">
        <v>40284.49722222222</v>
      </c>
      <c r="K26" t="s">
        <v>161</v>
      </c>
      <c r="L26">
        <v>46.500500389999999</v>
      </c>
      <c r="M26">
        <v>-84.337566269999996</v>
      </c>
      <c r="S26" t="s">
        <v>162</v>
      </c>
      <c r="T26">
        <v>69</v>
      </c>
      <c r="U26">
        <v>109416</v>
      </c>
      <c r="AE26" t="s">
        <v>163</v>
      </c>
      <c r="AF26" t="s">
        <v>108</v>
      </c>
      <c r="AG26" t="s">
        <v>179</v>
      </c>
    </row>
    <row r="27" spans="1:35" x14ac:dyDescent="0.25">
      <c r="A27" t="s">
        <v>128</v>
      </c>
      <c r="C27" t="s">
        <v>183</v>
      </c>
      <c r="D27">
        <v>1</v>
      </c>
      <c r="I27" s="18">
        <v>40284.731249999997</v>
      </c>
      <c r="J27" s="19">
        <v>40284.564583333333</v>
      </c>
      <c r="K27" t="s">
        <v>161</v>
      </c>
      <c r="L27">
        <v>46.483175600000003</v>
      </c>
      <c r="M27">
        <v>-84.299613370000003</v>
      </c>
      <c r="S27" t="s">
        <v>162</v>
      </c>
      <c r="T27">
        <v>69</v>
      </c>
      <c r="U27">
        <v>109407</v>
      </c>
      <c r="AE27" t="s">
        <v>163</v>
      </c>
      <c r="AF27" t="s">
        <v>108</v>
      </c>
      <c r="AG27" t="s">
        <v>179</v>
      </c>
    </row>
    <row r="28" spans="1:35" x14ac:dyDescent="0.25">
      <c r="A28" t="s">
        <v>150</v>
      </c>
      <c r="C28" t="s">
        <v>177</v>
      </c>
      <c r="D28">
        <v>1</v>
      </c>
      <c r="I28" s="18">
        <v>40284.744444444441</v>
      </c>
      <c r="J28" s="19">
        <v>40284.577777777777</v>
      </c>
      <c r="K28" t="s">
        <v>161</v>
      </c>
      <c r="L28">
        <v>46.47607137</v>
      </c>
      <c r="M28">
        <v>-84.302465319999996</v>
      </c>
      <c r="S28" t="s">
        <v>162</v>
      </c>
      <c r="T28">
        <v>69</v>
      </c>
      <c r="U28">
        <v>109406</v>
      </c>
      <c r="AE28" t="s">
        <v>163</v>
      </c>
      <c r="AF28" t="s">
        <v>108</v>
      </c>
      <c r="AG28" t="s">
        <v>179</v>
      </c>
    </row>
    <row r="29" spans="1:35" x14ac:dyDescent="0.25">
      <c r="A29" t="s">
        <v>128</v>
      </c>
      <c r="C29" t="s">
        <v>176</v>
      </c>
      <c r="D29">
        <v>1</v>
      </c>
      <c r="I29" s="18">
        <v>40284.758333333331</v>
      </c>
      <c r="J29" s="19">
        <v>40284.591666666667</v>
      </c>
      <c r="K29" t="s">
        <v>161</v>
      </c>
      <c r="L29">
        <v>46.481148099999999</v>
      </c>
      <c r="M29">
        <v>-84.298030679999997</v>
      </c>
      <c r="S29" t="s">
        <v>162</v>
      </c>
      <c r="T29">
        <v>69</v>
      </c>
      <c r="U29">
        <v>109456</v>
      </c>
      <c r="AE29" t="s">
        <v>163</v>
      </c>
      <c r="AF29" t="s">
        <v>108</v>
      </c>
      <c r="AG29" t="s">
        <v>179</v>
      </c>
    </row>
    <row r="30" spans="1:35" x14ac:dyDescent="0.25">
      <c r="A30" t="s">
        <v>128</v>
      </c>
      <c r="C30" t="s">
        <v>178</v>
      </c>
      <c r="D30">
        <v>1</v>
      </c>
      <c r="I30" s="18">
        <v>40284.775694444441</v>
      </c>
      <c r="J30" s="19">
        <v>40284.609027777777</v>
      </c>
      <c r="K30" t="s">
        <v>161</v>
      </c>
      <c r="L30">
        <v>46.477077360000003</v>
      </c>
      <c r="M30">
        <v>-84.295271339999999</v>
      </c>
      <c r="S30" t="s">
        <v>162</v>
      </c>
      <c r="T30">
        <v>69</v>
      </c>
      <c r="U30">
        <v>109458</v>
      </c>
      <c r="AE30" t="s">
        <v>163</v>
      </c>
      <c r="AF30" t="s">
        <v>108</v>
      </c>
      <c r="AG30" t="s">
        <v>179</v>
      </c>
    </row>
    <row r="31" spans="1:35" x14ac:dyDescent="0.25">
      <c r="A31" t="s">
        <v>150</v>
      </c>
      <c r="C31" t="s">
        <v>178</v>
      </c>
      <c r="D31">
        <v>1</v>
      </c>
      <c r="I31" s="18">
        <v>40284.791666666664</v>
      </c>
      <c r="J31" s="19">
        <v>40284.625</v>
      </c>
      <c r="K31" t="s">
        <v>161</v>
      </c>
      <c r="L31">
        <v>46.464552040000001</v>
      </c>
      <c r="M31">
        <v>-84.290280890000005</v>
      </c>
      <c r="S31" t="s">
        <v>162</v>
      </c>
      <c r="T31">
        <v>69</v>
      </c>
      <c r="U31">
        <v>109420</v>
      </c>
      <c r="AE31" t="s">
        <v>163</v>
      </c>
      <c r="AF31" t="s">
        <v>108</v>
      </c>
      <c r="AG31" t="s">
        <v>179</v>
      </c>
    </row>
    <row r="32" spans="1:35" x14ac:dyDescent="0.25">
      <c r="A32" t="s">
        <v>128</v>
      </c>
      <c r="C32" t="s">
        <v>177</v>
      </c>
      <c r="D32">
        <v>1</v>
      </c>
      <c r="I32" s="18">
        <v>40284.804166666669</v>
      </c>
      <c r="J32" s="19">
        <v>40284.637499999997</v>
      </c>
      <c r="K32" t="s">
        <v>161</v>
      </c>
      <c r="L32">
        <v>46.477975700000002</v>
      </c>
      <c r="M32">
        <v>-84.292771439999996</v>
      </c>
      <c r="S32" t="s">
        <v>162</v>
      </c>
      <c r="T32">
        <v>69</v>
      </c>
      <c r="U32">
        <v>109415</v>
      </c>
      <c r="AE32" t="s">
        <v>163</v>
      </c>
      <c r="AF32" t="s">
        <v>108</v>
      </c>
      <c r="AG32" t="s">
        <v>179</v>
      </c>
    </row>
    <row r="33" spans="1:45" x14ac:dyDescent="0.25">
      <c r="A33" t="s">
        <v>136</v>
      </c>
      <c r="C33" t="s">
        <v>178</v>
      </c>
      <c r="D33">
        <v>1</v>
      </c>
      <c r="I33" s="18">
        <v>40284.819444444445</v>
      </c>
      <c r="J33" s="19">
        <v>40284.652777777781</v>
      </c>
      <c r="K33" t="s">
        <v>161</v>
      </c>
      <c r="L33">
        <v>46.478708099999999</v>
      </c>
      <c r="M33">
        <v>-84.287301119999995</v>
      </c>
      <c r="S33" t="s">
        <v>162</v>
      </c>
      <c r="T33">
        <v>69</v>
      </c>
      <c r="U33">
        <v>109122</v>
      </c>
      <c r="AE33" t="s">
        <v>163</v>
      </c>
      <c r="AF33" t="s">
        <v>108</v>
      </c>
      <c r="AG33" t="s">
        <v>179</v>
      </c>
    </row>
    <row r="34" spans="1:45" x14ac:dyDescent="0.25">
      <c r="A34" t="s">
        <v>118</v>
      </c>
      <c r="C34" t="s">
        <v>183</v>
      </c>
      <c r="D34">
        <v>1</v>
      </c>
      <c r="I34" s="18">
        <v>40285.559027777781</v>
      </c>
      <c r="J34" s="19">
        <v>40285.392361111109</v>
      </c>
      <c r="K34" t="s">
        <v>161</v>
      </c>
      <c r="L34">
        <v>46.494555640000002</v>
      </c>
      <c r="M34">
        <v>-84.272252350000002</v>
      </c>
      <c r="S34" t="s">
        <v>162</v>
      </c>
      <c r="T34">
        <v>69</v>
      </c>
      <c r="U34">
        <v>109457</v>
      </c>
      <c r="AE34" t="s">
        <v>163</v>
      </c>
      <c r="AF34" t="s">
        <v>108</v>
      </c>
      <c r="AG34" t="s">
        <v>164</v>
      </c>
      <c r="AI34" s="39"/>
    </row>
    <row r="35" spans="1:45" x14ac:dyDescent="0.25">
      <c r="A35" t="s">
        <v>118</v>
      </c>
      <c r="C35" s="39" t="s">
        <v>182</v>
      </c>
      <c r="D35">
        <v>1</v>
      </c>
      <c r="I35" s="18">
        <v>40285.568055555559</v>
      </c>
      <c r="J35" s="19">
        <v>40285.401388888888</v>
      </c>
      <c r="K35" t="s">
        <v>161</v>
      </c>
      <c r="L35">
        <v>46.495936669999999</v>
      </c>
      <c r="M35">
        <v>-84.273006159999994</v>
      </c>
      <c r="S35" t="s">
        <v>162</v>
      </c>
      <c r="T35">
        <v>69</v>
      </c>
      <c r="U35">
        <v>109440</v>
      </c>
      <c r="AE35" t="s">
        <v>163</v>
      </c>
      <c r="AF35" t="s">
        <v>108</v>
      </c>
      <c r="AG35" t="s">
        <v>164</v>
      </c>
      <c r="AI35" s="39"/>
    </row>
    <row r="36" spans="1:45" x14ac:dyDescent="0.25">
      <c r="A36" t="s">
        <v>118</v>
      </c>
      <c r="C36" s="39" t="s">
        <v>177</v>
      </c>
      <c r="D36">
        <v>1</v>
      </c>
      <c r="I36" s="18">
        <v>40285.576388888891</v>
      </c>
      <c r="J36" s="19">
        <v>40285.409722222219</v>
      </c>
      <c r="K36" t="s">
        <v>161</v>
      </c>
      <c r="L36">
        <v>46.496573640000001</v>
      </c>
      <c r="M36">
        <v>-84.269331089999994</v>
      </c>
      <c r="S36" t="s">
        <v>162</v>
      </c>
      <c r="T36">
        <v>69</v>
      </c>
      <c r="U36">
        <v>109409</v>
      </c>
      <c r="AE36" t="s">
        <v>163</v>
      </c>
      <c r="AF36" t="s">
        <v>108</v>
      </c>
      <c r="AG36" t="s">
        <v>164</v>
      </c>
      <c r="AI36" s="39"/>
      <c r="AJ36" s="39"/>
      <c r="AK36" s="39"/>
      <c r="AL36" s="39"/>
      <c r="AM36" s="39"/>
      <c r="AR36" s="39"/>
      <c r="AS36" s="39"/>
    </row>
    <row r="37" spans="1:45" x14ac:dyDescent="0.25">
      <c r="A37" t="s">
        <v>118</v>
      </c>
      <c r="C37" s="39" t="s">
        <v>178</v>
      </c>
      <c r="D37">
        <v>1</v>
      </c>
      <c r="I37" s="18">
        <v>40285.586111111108</v>
      </c>
      <c r="J37" s="19">
        <v>40285.419444444444</v>
      </c>
      <c r="K37" t="s">
        <v>161</v>
      </c>
      <c r="L37">
        <v>46.494984359999997</v>
      </c>
      <c r="M37">
        <v>-84.269342559999998</v>
      </c>
      <c r="S37" t="s">
        <v>162</v>
      </c>
      <c r="T37">
        <v>69</v>
      </c>
      <c r="U37">
        <v>109450</v>
      </c>
      <c r="AE37" t="s">
        <v>163</v>
      </c>
      <c r="AF37" t="s">
        <v>108</v>
      </c>
      <c r="AG37" t="s">
        <v>164</v>
      </c>
      <c r="AI37" s="39"/>
      <c r="AJ37" s="39"/>
      <c r="AK37" s="39"/>
      <c r="AL37" s="39"/>
      <c r="AM37" s="39"/>
      <c r="AR37" s="39"/>
      <c r="AS37" s="39"/>
    </row>
    <row r="38" spans="1:45" x14ac:dyDescent="0.25">
      <c r="A38" t="s">
        <v>142</v>
      </c>
      <c r="C38" t="s">
        <v>178</v>
      </c>
      <c r="D38">
        <v>1</v>
      </c>
      <c r="I38" s="18">
        <v>40285.662499999999</v>
      </c>
      <c r="J38" s="19">
        <v>40285.495833333334</v>
      </c>
      <c r="K38" t="s">
        <v>161</v>
      </c>
      <c r="L38">
        <v>46.533378890000002</v>
      </c>
      <c r="M38">
        <v>-84.139245900000006</v>
      </c>
      <c r="S38" t="s">
        <v>162</v>
      </c>
      <c r="T38">
        <v>69</v>
      </c>
      <c r="U38">
        <v>109408</v>
      </c>
      <c r="AE38" t="s">
        <v>163</v>
      </c>
      <c r="AF38" t="s">
        <v>108</v>
      </c>
      <c r="AG38" t="s">
        <v>179</v>
      </c>
    </row>
    <row r="39" spans="1:45" x14ac:dyDescent="0.25">
      <c r="A39" t="s">
        <v>126</v>
      </c>
      <c r="C39" t="s">
        <v>181</v>
      </c>
      <c r="D39">
        <v>1</v>
      </c>
      <c r="I39" s="18">
        <v>40285.71597222222</v>
      </c>
      <c r="J39" s="19">
        <v>40285.549305555556</v>
      </c>
      <c r="K39" t="s">
        <v>161</v>
      </c>
      <c r="L39">
        <v>46.528841569999997</v>
      </c>
      <c r="M39">
        <v>-84.15321754</v>
      </c>
      <c r="S39" t="s">
        <v>162</v>
      </c>
      <c r="T39">
        <v>69</v>
      </c>
      <c r="U39">
        <v>109462</v>
      </c>
      <c r="AE39" t="s">
        <v>163</v>
      </c>
      <c r="AF39" t="s">
        <v>108</v>
      </c>
      <c r="AG39" t="s">
        <v>164</v>
      </c>
    </row>
    <row r="40" spans="1:45" x14ac:dyDescent="0.25">
      <c r="A40" t="s">
        <v>126</v>
      </c>
      <c r="C40" t="s">
        <v>177</v>
      </c>
      <c r="D40">
        <v>1</v>
      </c>
      <c r="I40" s="18">
        <v>40285.747916666667</v>
      </c>
      <c r="J40" s="19">
        <v>40285.581250000003</v>
      </c>
      <c r="K40" t="s">
        <v>161</v>
      </c>
      <c r="L40">
        <v>46.529650189999998</v>
      </c>
      <c r="M40">
        <v>-84.151540890000007</v>
      </c>
      <c r="S40" t="s">
        <v>162</v>
      </c>
      <c r="T40">
        <v>69</v>
      </c>
      <c r="U40">
        <v>109417</v>
      </c>
      <c r="AE40" t="s">
        <v>163</v>
      </c>
      <c r="AF40" t="s">
        <v>108</v>
      </c>
      <c r="AG40" t="s">
        <v>164</v>
      </c>
      <c r="AI40" s="39"/>
    </row>
    <row r="41" spans="1:45" x14ac:dyDescent="0.25">
      <c r="A41" t="s">
        <v>126</v>
      </c>
      <c r="C41" t="s">
        <v>178</v>
      </c>
      <c r="D41">
        <v>1</v>
      </c>
      <c r="I41" s="18">
        <v>40285.756944444445</v>
      </c>
      <c r="J41" s="19">
        <v>40285.590277777781</v>
      </c>
      <c r="K41" t="s">
        <v>161</v>
      </c>
      <c r="L41">
        <v>46.529061319999997</v>
      </c>
      <c r="M41">
        <v>-84.150814359999998</v>
      </c>
      <c r="S41" t="s">
        <v>162</v>
      </c>
      <c r="T41">
        <v>69</v>
      </c>
      <c r="U41">
        <v>109442</v>
      </c>
      <c r="AE41" t="s">
        <v>163</v>
      </c>
      <c r="AF41" t="s">
        <v>108</v>
      </c>
      <c r="AG41" t="s">
        <v>164</v>
      </c>
      <c r="AI41" s="39"/>
    </row>
    <row r="42" spans="1:45" x14ac:dyDescent="0.25">
      <c r="A42" t="s">
        <v>126</v>
      </c>
      <c r="C42" s="39" t="s">
        <v>182</v>
      </c>
      <c r="D42">
        <v>1</v>
      </c>
      <c r="I42" s="18">
        <v>40285.771527777775</v>
      </c>
      <c r="J42" s="19">
        <v>40285.604861111111</v>
      </c>
      <c r="K42" t="s">
        <v>161</v>
      </c>
      <c r="L42">
        <v>46.528091699999997</v>
      </c>
      <c r="M42">
        <v>-84.152590160000003</v>
      </c>
      <c r="S42" t="s">
        <v>162</v>
      </c>
      <c r="T42">
        <v>69</v>
      </c>
      <c r="U42">
        <v>109412</v>
      </c>
      <c r="AE42" t="s">
        <v>163</v>
      </c>
      <c r="AF42" t="s">
        <v>108</v>
      </c>
      <c r="AG42" t="s">
        <v>164</v>
      </c>
      <c r="AI42" s="39"/>
    </row>
    <row r="43" spans="1:45" x14ac:dyDescent="0.25">
      <c r="A43" t="s">
        <v>111</v>
      </c>
      <c r="C43" s="39" t="s">
        <v>178</v>
      </c>
      <c r="D43">
        <v>1</v>
      </c>
      <c r="I43" s="18">
        <v>40285.779861111114</v>
      </c>
      <c r="J43" s="19">
        <v>40285.613194444442</v>
      </c>
      <c r="K43" t="s">
        <v>161</v>
      </c>
      <c r="L43">
        <v>46.53544583</v>
      </c>
      <c r="M43">
        <v>-84.213244439999997</v>
      </c>
      <c r="S43" t="s">
        <v>162</v>
      </c>
      <c r="T43">
        <v>69</v>
      </c>
      <c r="U43">
        <v>109437</v>
      </c>
      <c r="AE43" t="s">
        <v>163</v>
      </c>
      <c r="AF43" t="s">
        <v>108</v>
      </c>
      <c r="AG43" t="s">
        <v>179</v>
      </c>
      <c r="AI43" s="39"/>
      <c r="AJ43" s="39"/>
      <c r="AK43" s="39"/>
      <c r="AL43" s="39"/>
      <c r="AM43" s="39"/>
      <c r="AR43" s="39"/>
      <c r="AS43" s="39"/>
    </row>
    <row r="44" spans="1:45" x14ac:dyDescent="0.25">
      <c r="A44" t="s">
        <v>158</v>
      </c>
      <c r="C44" s="39" t="s">
        <v>178</v>
      </c>
      <c r="D44">
        <v>1</v>
      </c>
      <c r="I44" s="18">
        <v>40286.632638888892</v>
      </c>
      <c r="J44" s="19">
        <v>40286.46597222222</v>
      </c>
      <c r="K44" t="s">
        <v>161</v>
      </c>
      <c r="L44">
        <v>46.285280999999998</v>
      </c>
      <c r="M44">
        <v>-84.211129</v>
      </c>
      <c r="S44" t="s">
        <v>162</v>
      </c>
      <c r="T44">
        <v>69</v>
      </c>
      <c r="U44">
        <v>109424</v>
      </c>
      <c r="AE44" t="s">
        <v>163</v>
      </c>
      <c r="AF44" t="s">
        <v>108</v>
      </c>
      <c r="AG44" t="s">
        <v>164</v>
      </c>
      <c r="AI44" s="39"/>
      <c r="AJ44" s="39"/>
      <c r="AK44" s="39"/>
      <c r="AL44" s="39"/>
      <c r="AM44" s="39"/>
      <c r="AR44" s="39"/>
      <c r="AS44" s="39"/>
    </row>
    <row r="45" spans="1:45" x14ac:dyDescent="0.25">
      <c r="A45" t="s">
        <v>158</v>
      </c>
      <c r="C45" s="39" t="s">
        <v>177</v>
      </c>
      <c r="D45">
        <v>1</v>
      </c>
      <c r="I45" s="18">
        <v>40286.642361111109</v>
      </c>
      <c r="J45" s="19">
        <v>40286.475694444445</v>
      </c>
      <c r="K45" t="s">
        <v>161</v>
      </c>
      <c r="L45">
        <v>46.285469999999997</v>
      </c>
      <c r="M45">
        <v>-84.210693000000006</v>
      </c>
      <c r="S45" t="s">
        <v>162</v>
      </c>
      <c r="T45">
        <v>69</v>
      </c>
      <c r="U45">
        <v>109434</v>
      </c>
      <c r="AE45" t="s">
        <v>163</v>
      </c>
      <c r="AF45" t="s">
        <v>108</v>
      </c>
      <c r="AG45" t="s">
        <v>179</v>
      </c>
      <c r="AI45" s="39"/>
      <c r="AJ45" s="39"/>
      <c r="AK45" s="39"/>
      <c r="AL45" s="39"/>
      <c r="AM45" s="39"/>
      <c r="AR45" s="39"/>
      <c r="AS45" s="39"/>
    </row>
    <row r="46" spans="1:45" x14ac:dyDescent="0.25">
      <c r="A46" t="s">
        <v>158</v>
      </c>
      <c r="C46" t="s">
        <v>176</v>
      </c>
      <c r="D46">
        <v>1</v>
      </c>
      <c r="I46" s="18">
        <v>40286.646527777775</v>
      </c>
      <c r="J46" s="19">
        <v>40286.479861111111</v>
      </c>
      <c r="K46" t="s">
        <v>161</v>
      </c>
      <c r="L46">
        <v>46.286048999999998</v>
      </c>
      <c r="M46">
        <v>-84.210775999999996</v>
      </c>
      <c r="S46" t="s">
        <v>162</v>
      </c>
      <c r="T46">
        <v>69</v>
      </c>
      <c r="U46">
        <v>109423</v>
      </c>
      <c r="AE46" t="s">
        <v>163</v>
      </c>
      <c r="AF46" t="s">
        <v>108</v>
      </c>
      <c r="AG46" t="s">
        <v>164</v>
      </c>
      <c r="AI46" s="39"/>
    </row>
    <row r="47" spans="1:45" x14ac:dyDescent="0.25">
      <c r="A47" t="s">
        <v>158</v>
      </c>
      <c r="C47" t="s">
        <v>183</v>
      </c>
      <c r="D47">
        <v>1</v>
      </c>
      <c r="I47" s="18">
        <v>40286.661111111112</v>
      </c>
      <c r="J47" s="19">
        <v>40286.494444444441</v>
      </c>
      <c r="K47" t="s">
        <v>161</v>
      </c>
      <c r="L47">
        <v>46.286104000000002</v>
      </c>
      <c r="M47">
        <v>-84.211391000000006</v>
      </c>
      <c r="S47" t="s">
        <v>162</v>
      </c>
      <c r="T47">
        <v>69</v>
      </c>
      <c r="U47">
        <v>109432</v>
      </c>
      <c r="AE47" t="s">
        <v>163</v>
      </c>
      <c r="AF47" t="s">
        <v>108</v>
      </c>
      <c r="AG47" t="s">
        <v>164</v>
      </c>
      <c r="AI47" s="39"/>
    </row>
    <row r="48" spans="1:45" x14ac:dyDescent="0.25">
      <c r="A48" t="s">
        <v>134</v>
      </c>
      <c r="C48" s="39" t="s">
        <v>184</v>
      </c>
      <c r="D48">
        <v>1</v>
      </c>
      <c r="I48" s="18">
        <v>40286.677083333336</v>
      </c>
      <c r="J48" s="19">
        <v>40286.510416666664</v>
      </c>
      <c r="K48" t="s">
        <v>161</v>
      </c>
      <c r="L48">
        <v>46.264282000000001</v>
      </c>
      <c r="M48">
        <v>-84.190376999999998</v>
      </c>
      <c r="S48" t="s">
        <v>162</v>
      </c>
      <c r="T48">
        <v>69</v>
      </c>
      <c r="U48">
        <v>109426</v>
      </c>
      <c r="AE48" t="s">
        <v>163</v>
      </c>
      <c r="AF48" t="s">
        <v>108</v>
      </c>
      <c r="AG48" t="s">
        <v>164</v>
      </c>
      <c r="AI48" s="39"/>
      <c r="AR48" s="39"/>
      <c r="AS48" s="39"/>
    </row>
    <row r="49" spans="1:45" x14ac:dyDescent="0.25">
      <c r="A49" t="s">
        <v>134</v>
      </c>
      <c r="C49" t="s">
        <v>178</v>
      </c>
      <c r="D49">
        <v>1</v>
      </c>
      <c r="I49" s="18">
        <v>40286.684027777781</v>
      </c>
      <c r="J49" s="19">
        <v>40286.517361111109</v>
      </c>
      <c r="K49" t="s">
        <v>161</v>
      </c>
      <c r="L49">
        <v>46.263063240000001</v>
      </c>
      <c r="M49">
        <v>-84.189772020000007</v>
      </c>
      <c r="S49" t="s">
        <v>162</v>
      </c>
      <c r="T49">
        <v>69</v>
      </c>
      <c r="U49">
        <v>109436</v>
      </c>
      <c r="AE49" t="s">
        <v>163</v>
      </c>
      <c r="AF49" t="s">
        <v>108</v>
      </c>
      <c r="AG49" t="s">
        <v>164</v>
      </c>
      <c r="AI49" s="39"/>
    </row>
    <row r="50" spans="1:45" x14ac:dyDescent="0.25">
      <c r="A50" t="s">
        <v>134</v>
      </c>
      <c r="C50" s="39" t="s">
        <v>181</v>
      </c>
      <c r="D50">
        <v>1</v>
      </c>
      <c r="I50" s="18">
        <v>40286.692361111112</v>
      </c>
      <c r="J50" s="19">
        <v>40286.525694444441</v>
      </c>
      <c r="K50" t="s">
        <v>161</v>
      </c>
      <c r="L50">
        <v>46.264744</v>
      </c>
      <c r="M50">
        <v>-84.188940000000002</v>
      </c>
      <c r="S50" t="s">
        <v>162</v>
      </c>
      <c r="T50">
        <v>69</v>
      </c>
      <c r="U50">
        <v>109465</v>
      </c>
      <c r="AE50" t="s">
        <v>163</v>
      </c>
      <c r="AF50" t="s">
        <v>108</v>
      </c>
      <c r="AG50" t="s">
        <v>164</v>
      </c>
      <c r="AI50" s="39"/>
      <c r="AR50" s="39"/>
      <c r="AS50" s="39"/>
    </row>
    <row r="51" spans="1:45" x14ac:dyDescent="0.25">
      <c r="A51" t="s">
        <v>134</v>
      </c>
      <c r="C51" s="39" t="s">
        <v>177</v>
      </c>
      <c r="D51">
        <v>1</v>
      </c>
      <c r="I51" s="18">
        <v>40286.700694444444</v>
      </c>
      <c r="J51" s="19">
        <v>40286.53402777778</v>
      </c>
      <c r="K51" t="s">
        <v>161</v>
      </c>
      <c r="L51">
        <v>46.263985380000001</v>
      </c>
      <c r="M51">
        <v>-84.188141099999996</v>
      </c>
      <c r="S51" t="s">
        <v>162</v>
      </c>
      <c r="T51">
        <v>69</v>
      </c>
      <c r="U51">
        <v>109428</v>
      </c>
      <c r="AE51" t="s">
        <v>163</v>
      </c>
      <c r="AF51" t="s">
        <v>108</v>
      </c>
      <c r="AG51" t="s">
        <v>164</v>
      </c>
      <c r="AI51" s="39"/>
      <c r="AR51" s="39"/>
      <c r="AS51" s="39"/>
    </row>
    <row r="52" spans="1:45" x14ac:dyDescent="0.25">
      <c r="A52" t="s">
        <v>156</v>
      </c>
      <c r="C52" t="s">
        <v>177</v>
      </c>
      <c r="D52">
        <v>1</v>
      </c>
      <c r="I52" s="18">
        <v>40286.800694444442</v>
      </c>
      <c r="J52" s="19">
        <v>40286.634027777778</v>
      </c>
      <c r="K52" t="s">
        <v>161</v>
      </c>
      <c r="L52">
        <v>46.318465940000003</v>
      </c>
      <c r="M52">
        <v>-84.111635329999999</v>
      </c>
      <c r="S52" t="s">
        <v>162</v>
      </c>
      <c r="T52">
        <v>69</v>
      </c>
      <c r="U52">
        <v>109431</v>
      </c>
      <c r="AE52" t="s">
        <v>163</v>
      </c>
      <c r="AF52" t="s">
        <v>108</v>
      </c>
      <c r="AG52" t="s">
        <v>179</v>
      </c>
      <c r="AI52" s="39"/>
    </row>
    <row r="53" spans="1:45" x14ac:dyDescent="0.25">
      <c r="A53" t="s">
        <v>156</v>
      </c>
      <c r="C53" s="39" t="s">
        <v>178</v>
      </c>
      <c r="D53">
        <v>1</v>
      </c>
      <c r="I53" s="18">
        <v>40286.818749999999</v>
      </c>
      <c r="J53" s="19">
        <v>40286.652083333334</v>
      </c>
      <c r="K53" t="s">
        <v>161</v>
      </c>
      <c r="L53">
        <v>46.317557890000003</v>
      </c>
      <c r="M53">
        <v>-84.120042979999994</v>
      </c>
      <c r="S53" t="s">
        <v>162</v>
      </c>
      <c r="T53">
        <v>69</v>
      </c>
      <c r="U53">
        <v>109433</v>
      </c>
      <c r="AE53" t="s">
        <v>163</v>
      </c>
      <c r="AF53" t="s">
        <v>108</v>
      </c>
      <c r="AG53" t="s">
        <v>179</v>
      </c>
      <c r="AI53" s="39"/>
      <c r="AR53" s="39"/>
      <c r="AS53" s="39"/>
    </row>
    <row r="54" spans="1:45" x14ac:dyDescent="0.25">
      <c r="A54" t="s">
        <v>146</v>
      </c>
      <c r="C54" t="s">
        <v>181</v>
      </c>
      <c r="D54">
        <v>1</v>
      </c>
      <c r="I54" s="18">
        <v>40286.838194444441</v>
      </c>
      <c r="J54" s="19">
        <v>40286.671527777777</v>
      </c>
      <c r="K54" t="s">
        <v>161</v>
      </c>
      <c r="L54">
        <v>46.253554809999997</v>
      </c>
      <c r="M54">
        <v>-84.102282430000002</v>
      </c>
      <c r="S54" t="s">
        <v>162</v>
      </c>
      <c r="T54">
        <v>69</v>
      </c>
      <c r="U54">
        <v>109464</v>
      </c>
      <c r="AE54" t="s">
        <v>163</v>
      </c>
      <c r="AF54" t="s">
        <v>108</v>
      </c>
      <c r="AG54" t="s">
        <v>164</v>
      </c>
      <c r="AI54" s="39"/>
    </row>
    <row r="55" spans="1:45" x14ac:dyDescent="0.25">
      <c r="A55" t="s">
        <v>146</v>
      </c>
      <c r="C55" t="s">
        <v>178</v>
      </c>
      <c r="D55">
        <v>1</v>
      </c>
      <c r="I55" s="18">
        <v>40286.847222222219</v>
      </c>
      <c r="J55" s="19">
        <v>40286.680555555555</v>
      </c>
      <c r="K55" t="s">
        <v>161</v>
      </c>
      <c r="L55">
        <v>46.252265680000001</v>
      </c>
      <c r="M55">
        <v>-84.102652250000006</v>
      </c>
      <c r="S55" t="s">
        <v>162</v>
      </c>
      <c r="T55">
        <v>69</v>
      </c>
      <c r="U55">
        <v>109410</v>
      </c>
      <c r="AE55" t="s">
        <v>163</v>
      </c>
      <c r="AF55" t="s">
        <v>108</v>
      </c>
      <c r="AG55" t="s">
        <v>164</v>
      </c>
      <c r="AI55" s="39"/>
    </row>
    <row r="56" spans="1:45" x14ac:dyDescent="0.25">
      <c r="A56" t="s">
        <v>146</v>
      </c>
      <c r="C56" t="s">
        <v>177</v>
      </c>
      <c r="D56">
        <v>1</v>
      </c>
      <c r="I56" s="18">
        <v>40286.852777777778</v>
      </c>
      <c r="J56" s="19">
        <v>40286.686111111114</v>
      </c>
      <c r="K56" t="s">
        <v>161</v>
      </c>
      <c r="L56">
        <v>46.252020639999998</v>
      </c>
      <c r="M56">
        <v>-84.100612740000003</v>
      </c>
      <c r="S56" t="s">
        <v>162</v>
      </c>
      <c r="T56">
        <v>69</v>
      </c>
      <c r="U56">
        <v>109421</v>
      </c>
      <c r="AE56" t="s">
        <v>163</v>
      </c>
      <c r="AF56" t="s">
        <v>108</v>
      </c>
      <c r="AG56" t="s">
        <v>164</v>
      </c>
    </row>
    <row r="57" spans="1:45" x14ac:dyDescent="0.25">
      <c r="A57" t="s">
        <v>146</v>
      </c>
      <c r="C57" t="s">
        <v>182</v>
      </c>
      <c r="D57">
        <v>1</v>
      </c>
      <c r="I57" s="18">
        <v>40286.861111111109</v>
      </c>
      <c r="J57" s="19">
        <v>40286.694444444445</v>
      </c>
      <c r="K57" t="s">
        <v>161</v>
      </c>
      <c r="L57">
        <v>46.253214</v>
      </c>
      <c r="M57">
        <v>-84.100049999999996</v>
      </c>
      <c r="S57" t="s">
        <v>162</v>
      </c>
      <c r="T57">
        <v>69</v>
      </c>
      <c r="U57">
        <v>109411</v>
      </c>
      <c r="AE57" t="s">
        <v>163</v>
      </c>
      <c r="AF57" t="s">
        <v>108</v>
      </c>
      <c r="AG57" t="s">
        <v>164</v>
      </c>
      <c r="AI57" s="39"/>
    </row>
    <row r="58" spans="1:45" x14ac:dyDescent="0.25">
      <c r="A58" t="s">
        <v>146</v>
      </c>
      <c r="C58" t="s">
        <v>176</v>
      </c>
      <c r="D58">
        <v>1</v>
      </c>
      <c r="I58" s="18">
        <v>40286.866666666669</v>
      </c>
      <c r="J58" s="19">
        <v>40286.699999999997</v>
      </c>
      <c r="K58" t="s">
        <v>161</v>
      </c>
      <c r="L58">
        <v>46.252538999999999</v>
      </c>
      <c r="M58">
        <v>-84.099208000000004</v>
      </c>
      <c r="S58" t="s">
        <v>162</v>
      </c>
      <c r="T58">
        <v>69</v>
      </c>
      <c r="U58">
        <v>109459</v>
      </c>
      <c r="AE58" t="s">
        <v>163</v>
      </c>
      <c r="AF58" t="s">
        <v>108</v>
      </c>
      <c r="AG58" t="s">
        <v>164</v>
      </c>
    </row>
    <row r="59" spans="1:45" x14ac:dyDescent="0.25">
      <c r="A59" t="s">
        <v>134</v>
      </c>
      <c r="C59" t="s">
        <v>176</v>
      </c>
      <c r="D59">
        <v>1</v>
      </c>
      <c r="I59" s="18">
        <v>40286.887499999997</v>
      </c>
      <c r="J59" s="19">
        <v>40286.720833333333</v>
      </c>
      <c r="K59" t="s">
        <v>161</v>
      </c>
      <c r="L59">
        <v>46.265367359999999</v>
      </c>
      <c r="M59">
        <v>-84.186845000000005</v>
      </c>
      <c r="S59" t="s">
        <v>162</v>
      </c>
      <c r="T59">
        <v>69</v>
      </c>
      <c r="U59">
        <v>109455</v>
      </c>
      <c r="AE59" t="s">
        <v>163</v>
      </c>
      <c r="AF59" t="s">
        <v>108</v>
      </c>
      <c r="AG59" t="s">
        <v>164</v>
      </c>
      <c r="AI59" s="39"/>
    </row>
    <row r="60" spans="1:45" x14ac:dyDescent="0.25">
      <c r="A60" t="s">
        <v>148</v>
      </c>
      <c r="C60" t="s">
        <v>177</v>
      </c>
      <c r="D60">
        <v>1</v>
      </c>
      <c r="I60" s="18">
        <v>40287.591666666667</v>
      </c>
      <c r="J60" s="19">
        <v>40287.425000000003</v>
      </c>
      <c r="K60" t="s">
        <v>161</v>
      </c>
      <c r="L60">
        <v>46.541481789999999</v>
      </c>
      <c r="M60">
        <v>-84.204909420000007</v>
      </c>
      <c r="S60" t="s">
        <v>162</v>
      </c>
      <c r="T60">
        <v>69</v>
      </c>
      <c r="U60">
        <v>109427</v>
      </c>
      <c r="AE60" t="s">
        <v>163</v>
      </c>
      <c r="AF60" t="s">
        <v>108</v>
      </c>
      <c r="AG60" t="s">
        <v>179</v>
      </c>
    </row>
    <row r="61" spans="1:45" x14ac:dyDescent="0.25">
      <c r="A61" t="s">
        <v>148</v>
      </c>
      <c r="C61" t="s">
        <v>178</v>
      </c>
      <c r="D61">
        <v>1</v>
      </c>
      <c r="I61" s="18">
        <v>40287.597222222219</v>
      </c>
      <c r="J61" s="19">
        <v>40287.430555555555</v>
      </c>
      <c r="K61" t="s">
        <v>161</v>
      </c>
      <c r="L61">
        <v>46.542054810000003</v>
      </c>
      <c r="M61">
        <v>-84.202782869999993</v>
      </c>
      <c r="S61" t="s">
        <v>162</v>
      </c>
      <c r="T61">
        <v>69</v>
      </c>
      <c r="U61">
        <v>109422</v>
      </c>
      <c r="AE61" t="s">
        <v>163</v>
      </c>
      <c r="AF61" t="s">
        <v>108</v>
      </c>
      <c r="AG61" t="s">
        <v>179</v>
      </c>
      <c r="AI61" s="39"/>
    </row>
    <row r="62" spans="1:45" x14ac:dyDescent="0.25">
      <c r="A62" t="s">
        <v>142</v>
      </c>
      <c r="C62" t="s">
        <v>178</v>
      </c>
      <c r="D62">
        <v>2</v>
      </c>
      <c r="I62" s="18">
        <v>40287.634027777778</v>
      </c>
      <c r="J62" s="19">
        <v>40287.467361111114</v>
      </c>
      <c r="K62" t="s">
        <v>161</v>
      </c>
      <c r="L62">
        <v>46.52564374</v>
      </c>
      <c r="M62">
        <v>-84.172664339999997</v>
      </c>
      <c r="S62" t="s">
        <v>162</v>
      </c>
      <c r="T62">
        <v>69</v>
      </c>
      <c r="U62">
        <v>109408</v>
      </c>
      <c r="AE62" t="s">
        <v>163</v>
      </c>
      <c r="AF62" t="s">
        <v>108</v>
      </c>
      <c r="AG62" t="s">
        <v>179</v>
      </c>
      <c r="AI62" s="39"/>
    </row>
    <row r="63" spans="1:45" x14ac:dyDescent="0.25">
      <c r="A63" t="s">
        <v>142</v>
      </c>
      <c r="C63" t="s">
        <v>177</v>
      </c>
      <c r="D63">
        <v>1</v>
      </c>
      <c r="I63" s="18">
        <v>40287.638888888891</v>
      </c>
      <c r="J63" s="19">
        <v>40287.472222222219</v>
      </c>
      <c r="K63" t="s">
        <v>161</v>
      </c>
      <c r="L63">
        <v>46.528084620000001</v>
      </c>
      <c r="M63">
        <v>-84.172426909999999</v>
      </c>
      <c r="S63" t="s">
        <v>162</v>
      </c>
      <c r="T63">
        <v>69</v>
      </c>
      <c r="U63">
        <v>109468</v>
      </c>
      <c r="AE63" t="s">
        <v>163</v>
      </c>
      <c r="AF63" t="s">
        <v>108</v>
      </c>
      <c r="AG63" t="s">
        <v>179</v>
      </c>
    </row>
    <row r="64" spans="1:45" x14ac:dyDescent="0.25">
      <c r="A64" t="s">
        <v>120</v>
      </c>
      <c r="C64" t="s">
        <v>177</v>
      </c>
      <c r="D64">
        <v>1</v>
      </c>
      <c r="I64" s="18">
        <v>40287.700694444444</v>
      </c>
      <c r="J64" s="19">
        <v>40287.53402777778</v>
      </c>
      <c r="K64" t="s">
        <v>161</v>
      </c>
      <c r="L64">
        <v>46.36021307</v>
      </c>
      <c r="M64">
        <v>-84.129137839999999</v>
      </c>
      <c r="S64" t="s">
        <v>162</v>
      </c>
      <c r="T64">
        <v>69</v>
      </c>
      <c r="U64">
        <v>109429</v>
      </c>
      <c r="AE64" t="s">
        <v>163</v>
      </c>
      <c r="AF64" t="s">
        <v>108</v>
      </c>
      <c r="AG64" t="s">
        <v>179</v>
      </c>
      <c r="AI64" s="39"/>
    </row>
    <row r="65" spans="1:35" x14ac:dyDescent="0.25">
      <c r="A65" t="s">
        <v>120</v>
      </c>
      <c r="C65" s="39" t="s">
        <v>178</v>
      </c>
      <c r="D65">
        <v>1</v>
      </c>
      <c r="I65" s="18">
        <v>40287.706250000003</v>
      </c>
      <c r="J65" s="19">
        <v>40287.539583333331</v>
      </c>
      <c r="K65" t="s">
        <v>161</v>
      </c>
      <c r="L65">
        <v>46.358779779999999</v>
      </c>
      <c r="M65">
        <v>-84.133405269999997</v>
      </c>
      <c r="S65" t="s">
        <v>162</v>
      </c>
      <c r="T65">
        <v>69</v>
      </c>
      <c r="U65">
        <v>109405</v>
      </c>
      <c r="AE65" t="s">
        <v>163</v>
      </c>
      <c r="AF65" t="s">
        <v>108</v>
      </c>
      <c r="AG65" t="s">
        <v>179</v>
      </c>
      <c r="AI65" s="39"/>
    </row>
    <row r="66" spans="1:35" x14ac:dyDescent="0.25">
      <c r="A66" t="s">
        <v>138</v>
      </c>
      <c r="C66" t="s">
        <v>177</v>
      </c>
      <c r="D66">
        <v>1</v>
      </c>
      <c r="I66" s="18">
        <v>40287.734722222223</v>
      </c>
      <c r="J66" s="19">
        <v>40287.568055555559</v>
      </c>
      <c r="K66" t="s">
        <v>161</v>
      </c>
      <c r="L66">
        <v>46.32627772</v>
      </c>
      <c r="M66">
        <v>-84.157715350000004</v>
      </c>
      <c r="S66" t="s">
        <v>162</v>
      </c>
      <c r="T66">
        <v>69</v>
      </c>
      <c r="U66">
        <v>109441</v>
      </c>
      <c r="AE66" t="s">
        <v>163</v>
      </c>
      <c r="AF66" t="s">
        <v>108</v>
      </c>
      <c r="AG66" t="s">
        <v>179</v>
      </c>
      <c r="AI66" s="39"/>
    </row>
    <row r="67" spans="1:35" x14ac:dyDescent="0.25">
      <c r="A67" t="s">
        <v>138</v>
      </c>
      <c r="C67" s="39" t="s">
        <v>178</v>
      </c>
      <c r="D67">
        <v>1</v>
      </c>
      <c r="I67" s="18">
        <v>40287.744444444441</v>
      </c>
      <c r="J67" s="19">
        <v>40287.577777777777</v>
      </c>
      <c r="K67" t="s">
        <v>161</v>
      </c>
      <c r="L67">
        <v>46.326355939999999</v>
      </c>
      <c r="M67">
        <v>-84.159424400000006</v>
      </c>
      <c r="S67" t="s">
        <v>162</v>
      </c>
      <c r="T67">
        <v>69</v>
      </c>
      <c r="U67">
        <v>109430</v>
      </c>
      <c r="AE67" t="s">
        <v>163</v>
      </c>
      <c r="AF67" t="s">
        <v>108</v>
      </c>
      <c r="AG67" t="s">
        <v>179</v>
      </c>
      <c r="AI67" s="39"/>
    </row>
    <row r="68" spans="1:35" x14ac:dyDescent="0.25">
      <c r="A68" t="s">
        <v>158</v>
      </c>
      <c r="C68" t="s">
        <v>182</v>
      </c>
      <c r="D68">
        <v>1</v>
      </c>
      <c r="I68" s="18">
        <v>40287.771527777775</v>
      </c>
      <c r="J68" s="19">
        <v>40287.604861111111</v>
      </c>
      <c r="K68" t="s">
        <v>161</v>
      </c>
      <c r="L68">
        <v>46.285936999999997</v>
      </c>
      <c r="M68">
        <v>-84.213667000000001</v>
      </c>
      <c r="S68" t="s">
        <v>162</v>
      </c>
      <c r="T68">
        <v>69</v>
      </c>
      <c r="U68">
        <v>109447</v>
      </c>
      <c r="AE68" t="s">
        <v>163</v>
      </c>
      <c r="AF68" t="s">
        <v>108</v>
      </c>
      <c r="AG68" t="s">
        <v>164</v>
      </c>
      <c r="AI68" s="39"/>
    </row>
    <row r="69" spans="1:35" x14ac:dyDescent="0.25">
      <c r="A69" t="s">
        <v>114</v>
      </c>
      <c r="C69" t="s">
        <v>177</v>
      </c>
      <c r="D69">
        <v>1</v>
      </c>
      <c r="I69" s="18">
        <v>40288.620833333334</v>
      </c>
      <c r="J69" s="19">
        <v>40288.45416666667</v>
      </c>
      <c r="K69" t="s">
        <v>161</v>
      </c>
      <c r="L69">
        <v>46.473059079999999</v>
      </c>
      <c r="M69">
        <v>-84.464633059999997</v>
      </c>
      <c r="S69" t="s">
        <v>162</v>
      </c>
      <c r="T69">
        <v>69</v>
      </c>
      <c r="U69">
        <v>109419</v>
      </c>
      <c r="AE69" t="s">
        <v>163</v>
      </c>
      <c r="AF69" t="s">
        <v>108</v>
      </c>
      <c r="AG69" t="s">
        <v>179</v>
      </c>
      <c r="AI69" s="39"/>
    </row>
    <row r="70" spans="1:35" x14ac:dyDescent="0.25">
      <c r="A70" t="s">
        <v>114</v>
      </c>
      <c r="C70" t="s">
        <v>178</v>
      </c>
      <c r="D70">
        <v>1</v>
      </c>
      <c r="I70" s="18">
        <v>40288.629861111112</v>
      </c>
      <c r="J70" s="19">
        <v>40288.463194444441</v>
      </c>
      <c r="K70" t="s">
        <v>161</v>
      </c>
      <c r="L70">
        <v>46.470383669999997</v>
      </c>
      <c r="M70">
        <v>-84.460269690000004</v>
      </c>
      <c r="S70" t="s">
        <v>162</v>
      </c>
      <c r="T70">
        <v>69</v>
      </c>
      <c r="U70">
        <v>109439</v>
      </c>
      <c r="AE70" t="s">
        <v>163</v>
      </c>
      <c r="AF70" t="s">
        <v>108</v>
      </c>
      <c r="AG70" t="s">
        <v>179</v>
      </c>
      <c r="AI70" s="39"/>
    </row>
    <row r="71" spans="1:35" x14ac:dyDescent="0.25">
      <c r="A71" t="s">
        <v>140</v>
      </c>
      <c r="C71" t="s">
        <v>176</v>
      </c>
      <c r="D71">
        <v>1</v>
      </c>
      <c r="I71" s="18">
        <v>40288.648611111108</v>
      </c>
      <c r="J71" s="19">
        <v>40288.481944444444</v>
      </c>
      <c r="K71" t="s">
        <v>161</v>
      </c>
      <c r="L71">
        <v>46.503696730000001</v>
      </c>
      <c r="M71">
        <v>-84.394341580000003</v>
      </c>
      <c r="S71" t="s">
        <v>162</v>
      </c>
      <c r="T71">
        <v>69</v>
      </c>
      <c r="U71">
        <v>109448</v>
      </c>
      <c r="AE71" t="s">
        <v>163</v>
      </c>
      <c r="AF71" t="s">
        <v>108</v>
      </c>
      <c r="AG71" t="s">
        <v>179</v>
      </c>
    </row>
    <row r="72" spans="1:35" x14ac:dyDescent="0.25">
      <c r="A72" t="s">
        <v>140</v>
      </c>
      <c r="C72" t="s">
        <v>177</v>
      </c>
      <c r="D72">
        <v>1</v>
      </c>
      <c r="I72" s="18">
        <v>40288.654166666667</v>
      </c>
      <c r="J72" s="19">
        <v>40288.487500000003</v>
      </c>
      <c r="K72" t="s">
        <v>161</v>
      </c>
      <c r="L72">
        <v>46.50186626</v>
      </c>
      <c r="M72">
        <v>-84.392607139999996</v>
      </c>
      <c r="S72" t="s">
        <v>162</v>
      </c>
      <c r="T72">
        <v>69</v>
      </c>
      <c r="U72">
        <v>109445</v>
      </c>
      <c r="AE72" t="s">
        <v>163</v>
      </c>
      <c r="AF72" t="s">
        <v>108</v>
      </c>
      <c r="AG72" t="s">
        <v>179</v>
      </c>
    </row>
    <row r="73" spans="1:35" x14ac:dyDescent="0.25">
      <c r="A73" t="s">
        <v>140</v>
      </c>
      <c r="C73" t="s">
        <v>178</v>
      </c>
      <c r="D73">
        <v>1</v>
      </c>
      <c r="I73" s="18">
        <v>40288.660416666666</v>
      </c>
      <c r="J73" s="19">
        <v>40288.493750000001</v>
      </c>
      <c r="K73" t="s">
        <v>161</v>
      </c>
      <c r="L73">
        <v>46.497533939999997</v>
      </c>
      <c r="M73">
        <v>-84.389401599999999</v>
      </c>
      <c r="S73" t="s">
        <v>162</v>
      </c>
      <c r="T73">
        <v>69</v>
      </c>
      <c r="U73">
        <v>109449</v>
      </c>
      <c r="AE73" t="s">
        <v>163</v>
      </c>
      <c r="AF73" t="s">
        <v>108</v>
      </c>
      <c r="AG73" t="s">
        <v>179</v>
      </c>
    </row>
    <row r="74" spans="1:35" x14ac:dyDescent="0.25">
      <c r="A74" t="s">
        <v>130</v>
      </c>
      <c r="C74" t="s">
        <v>178</v>
      </c>
      <c r="D74">
        <v>1</v>
      </c>
      <c r="I74" s="18">
        <v>40288.752083333333</v>
      </c>
      <c r="J74" s="19">
        <v>40288.585416666669</v>
      </c>
      <c r="K74" t="s">
        <v>161</v>
      </c>
      <c r="L74">
        <v>46.474378700000003</v>
      </c>
      <c r="M74">
        <v>-84.298694119999993</v>
      </c>
      <c r="S74" t="s">
        <v>162</v>
      </c>
      <c r="T74">
        <v>69</v>
      </c>
      <c r="U74">
        <v>109470</v>
      </c>
      <c r="AE74" t="s">
        <v>163</v>
      </c>
      <c r="AF74" t="s">
        <v>108</v>
      </c>
      <c r="AG74" t="s">
        <v>179</v>
      </c>
      <c r="AI74" s="39"/>
    </row>
    <row r="75" spans="1:35" x14ac:dyDescent="0.25">
      <c r="A75" t="s">
        <v>154</v>
      </c>
      <c r="C75" t="s">
        <v>178</v>
      </c>
      <c r="D75">
        <v>1</v>
      </c>
      <c r="I75" s="18">
        <v>40288.795138888891</v>
      </c>
      <c r="J75" s="19">
        <v>40288.628472222219</v>
      </c>
      <c r="K75" t="s">
        <v>161</v>
      </c>
      <c r="L75">
        <v>46.510379</v>
      </c>
      <c r="M75">
        <v>-84.341211999999999</v>
      </c>
      <c r="S75" t="s">
        <v>162</v>
      </c>
      <c r="T75">
        <v>69</v>
      </c>
      <c r="U75">
        <v>109444</v>
      </c>
      <c r="AE75" t="s">
        <v>163</v>
      </c>
      <c r="AF75" t="s">
        <v>108</v>
      </c>
      <c r="AG75" t="s">
        <v>164</v>
      </c>
    </row>
    <row r="76" spans="1:35" x14ac:dyDescent="0.25">
      <c r="A76" t="s">
        <v>154</v>
      </c>
      <c r="C76" t="s">
        <v>177</v>
      </c>
      <c r="D76">
        <v>1</v>
      </c>
      <c r="I76" s="18">
        <v>40288.803472222222</v>
      </c>
      <c r="J76" s="19">
        <v>40288.636805555558</v>
      </c>
      <c r="K76" t="s">
        <v>161</v>
      </c>
      <c r="L76">
        <v>46.508688999999997</v>
      </c>
      <c r="M76">
        <v>-84.341736999999995</v>
      </c>
      <c r="S76" t="s">
        <v>162</v>
      </c>
      <c r="T76">
        <v>69</v>
      </c>
      <c r="U76">
        <v>109443</v>
      </c>
      <c r="AE76" t="s">
        <v>163</v>
      </c>
      <c r="AF76" t="s">
        <v>108</v>
      </c>
      <c r="AG76" t="s">
        <v>164</v>
      </c>
      <c r="AI76" s="39"/>
    </row>
    <row r="77" spans="1:35" x14ac:dyDescent="0.25">
      <c r="A77" t="s">
        <v>154</v>
      </c>
      <c r="C77" t="s">
        <v>176</v>
      </c>
      <c r="D77">
        <v>1</v>
      </c>
      <c r="I77" s="18">
        <v>40288.811111111114</v>
      </c>
      <c r="J77" s="19">
        <v>40288.644444444442</v>
      </c>
      <c r="K77" t="s">
        <v>161</v>
      </c>
      <c r="L77">
        <v>46.506951000000001</v>
      </c>
      <c r="M77">
        <v>-84.343113000000002</v>
      </c>
      <c r="S77" t="s">
        <v>162</v>
      </c>
      <c r="T77">
        <v>69</v>
      </c>
      <c r="U77">
        <v>109435</v>
      </c>
      <c r="AE77" t="s">
        <v>163</v>
      </c>
      <c r="AF77" t="s">
        <v>108</v>
      </c>
      <c r="AG77" t="s">
        <v>164</v>
      </c>
    </row>
    <row r="78" spans="1:35" x14ac:dyDescent="0.25">
      <c r="A78" t="s">
        <v>132</v>
      </c>
      <c r="C78" t="s">
        <v>178</v>
      </c>
      <c r="D78">
        <v>1</v>
      </c>
      <c r="I78" s="18">
        <v>40294.638888888891</v>
      </c>
      <c r="J78" s="19">
        <v>40294.472222222219</v>
      </c>
      <c r="K78" t="s">
        <v>161</v>
      </c>
      <c r="L78">
        <v>46.228717000000003</v>
      </c>
      <c r="M78">
        <v>-84.289292000000003</v>
      </c>
      <c r="S78" t="s">
        <v>162</v>
      </c>
      <c r="T78">
        <v>69</v>
      </c>
      <c r="U78">
        <v>109467</v>
      </c>
      <c r="AE78" t="s">
        <v>163</v>
      </c>
      <c r="AF78" t="s">
        <v>108</v>
      </c>
      <c r="AG78" t="s">
        <v>179</v>
      </c>
    </row>
    <row r="79" spans="1:35" x14ac:dyDescent="0.25">
      <c r="A79" t="s">
        <v>122</v>
      </c>
      <c r="C79" t="s">
        <v>177</v>
      </c>
      <c r="D79">
        <v>1</v>
      </c>
      <c r="I79" s="18">
        <v>40294.736111111109</v>
      </c>
      <c r="J79" s="19">
        <v>40294.569444444445</v>
      </c>
      <c r="K79" t="s">
        <v>161</v>
      </c>
      <c r="L79">
        <v>46.519894000000001</v>
      </c>
      <c r="M79">
        <v>-84.020224999999996</v>
      </c>
      <c r="S79" t="s">
        <v>162</v>
      </c>
      <c r="T79">
        <v>69</v>
      </c>
      <c r="U79">
        <v>109466</v>
      </c>
      <c r="AE79" t="s">
        <v>163</v>
      </c>
      <c r="AF79" t="s">
        <v>108</v>
      </c>
      <c r="AG79" t="s">
        <v>179</v>
      </c>
    </row>
    <row r="80" spans="1:35" x14ac:dyDescent="0.25">
      <c r="A80" t="s">
        <v>122</v>
      </c>
      <c r="C80" t="s">
        <v>178</v>
      </c>
      <c r="D80">
        <v>1</v>
      </c>
      <c r="I80" s="18">
        <v>40294.763888888891</v>
      </c>
      <c r="J80" s="19">
        <v>40294.597222222219</v>
      </c>
      <c r="K80" t="s">
        <v>161</v>
      </c>
      <c r="L80">
        <v>46.508670000000002</v>
      </c>
      <c r="M80">
        <v>-84.045743999999999</v>
      </c>
      <c r="S80" t="s">
        <v>162</v>
      </c>
      <c r="T80">
        <v>69</v>
      </c>
      <c r="U80">
        <v>109425</v>
      </c>
      <c r="AE80" t="s">
        <v>163</v>
      </c>
      <c r="AF80" t="s">
        <v>108</v>
      </c>
      <c r="AG80" t="s">
        <v>179</v>
      </c>
    </row>
    <row r="81" spans="1:35" x14ac:dyDescent="0.25">
      <c r="A81" t="s">
        <v>126</v>
      </c>
      <c r="C81" t="s">
        <v>177</v>
      </c>
      <c r="D81">
        <v>2</v>
      </c>
      <c r="I81" s="18">
        <v>40294.972916666666</v>
      </c>
      <c r="J81" s="19">
        <v>40294.806250000001</v>
      </c>
      <c r="K81" t="s">
        <v>161</v>
      </c>
      <c r="L81">
        <v>46.529665889999997</v>
      </c>
      <c r="M81">
        <v>-84.151536590000006</v>
      </c>
      <c r="S81" t="s">
        <v>162</v>
      </c>
      <c r="T81">
        <v>69</v>
      </c>
      <c r="U81">
        <v>109417</v>
      </c>
      <c r="AE81" t="s">
        <v>163</v>
      </c>
      <c r="AF81" t="s">
        <v>108</v>
      </c>
      <c r="AG81" t="s">
        <v>164</v>
      </c>
      <c r="AI81" s="39"/>
    </row>
    <row r="82" spans="1:35" x14ac:dyDescent="0.25">
      <c r="A82" t="s">
        <v>134</v>
      </c>
      <c r="C82" s="39" t="s">
        <v>181</v>
      </c>
      <c r="D82">
        <v>2</v>
      </c>
      <c r="I82" s="18">
        <v>40295.628472222219</v>
      </c>
      <c r="J82" s="19">
        <v>40295.461805555555</v>
      </c>
      <c r="K82" t="s">
        <v>161</v>
      </c>
      <c r="L82">
        <v>46.264817489999999</v>
      </c>
      <c r="M82">
        <v>-84.189000980000003</v>
      </c>
      <c r="S82" t="s">
        <v>162</v>
      </c>
      <c r="T82">
        <v>69</v>
      </c>
      <c r="U82">
        <v>109465</v>
      </c>
      <c r="AE82" t="s">
        <v>163</v>
      </c>
      <c r="AF82" t="s">
        <v>108</v>
      </c>
      <c r="AG82" t="s">
        <v>164</v>
      </c>
      <c r="AI82" s="39"/>
    </row>
    <row r="83" spans="1:35" x14ac:dyDescent="0.25">
      <c r="A83" t="s">
        <v>134</v>
      </c>
      <c r="C83" t="s">
        <v>178</v>
      </c>
      <c r="D83">
        <v>2</v>
      </c>
      <c r="I83" s="18">
        <v>40295.655555555553</v>
      </c>
      <c r="J83" s="19">
        <v>40295.488888888889</v>
      </c>
      <c r="K83" t="s">
        <v>161</v>
      </c>
      <c r="L83">
        <v>46.263167899999999</v>
      </c>
      <c r="M83">
        <v>-84.189633220000005</v>
      </c>
      <c r="S83" t="s">
        <v>162</v>
      </c>
      <c r="T83">
        <v>69</v>
      </c>
      <c r="U83">
        <v>109436</v>
      </c>
      <c r="AE83" t="s">
        <v>163</v>
      </c>
      <c r="AF83" t="s">
        <v>108</v>
      </c>
      <c r="AG83" t="s">
        <v>164</v>
      </c>
      <c r="AI83" s="39"/>
    </row>
    <row r="84" spans="1:35" x14ac:dyDescent="0.25">
      <c r="A84" t="s">
        <v>146</v>
      </c>
      <c r="C84" s="39" t="s">
        <v>181</v>
      </c>
      <c r="D84">
        <v>2</v>
      </c>
      <c r="I84" s="18">
        <v>40295.720833333333</v>
      </c>
      <c r="J84" s="19">
        <v>40295.554166666669</v>
      </c>
      <c r="K84" t="s">
        <v>161</v>
      </c>
      <c r="L84">
        <v>46.253550570000002</v>
      </c>
      <c r="M84">
        <v>-84.102302190000003</v>
      </c>
      <c r="S84" t="s">
        <v>162</v>
      </c>
      <c r="T84">
        <v>69</v>
      </c>
      <c r="U84">
        <v>109464</v>
      </c>
      <c r="AE84" t="s">
        <v>163</v>
      </c>
      <c r="AF84" t="s">
        <v>108</v>
      </c>
      <c r="AG84" t="s">
        <v>164</v>
      </c>
      <c r="AI84" s="39"/>
    </row>
    <row r="85" spans="1:35" x14ac:dyDescent="0.25">
      <c r="A85" t="s">
        <v>146</v>
      </c>
      <c r="C85" t="s">
        <v>178</v>
      </c>
      <c r="D85">
        <v>2</v>
      </c>
      <c r="I85" s="18">
        <v>40295.740277777775</v>
      </c>
      <c r="J85" s="19">
        <v>40295.573611111111</v>
      </c>
      <c r="K85" t="s">
        <v>161</v>
      </c>
      <c r="L85">
        <v>46.252220000000001</v>
      </c>
      <c r="M85">
        <v>-84.102676000000002</v>
      </c>
      <c r="S85" t="s">
        <v>162</v>
      </c>
      <c r="T85">
        <v>69</v>
      </c>
      <c r="U85">
        <v>109410</v>
      </c>
      <c r="AE85" t="s">
        <v>163</v>
      </c>
      <c r="AF85" t="s">
        <v>108</v>
      </c>
      <c r="AG85" t="s">
        <v>164</v>
      </c>
    </row>
    <row r="86" spans="1:35" x14ac:dyDescent="0.25">
      <c r="A86" t="s">
        <v>146</v>
      </c>
      <c r="C86" t="s">
        <v>177</v>
      </c>
      <c r="D86">
        <v>2</v>
      </c>
      <c r="I86" s="18">
        <v>40295.758333333331</v>
      </c>
      <c r="J86" s="19">
        <v>40295.591666666667</v>
      </c>
      <c r="K86" t="s">
        <v>161</v>
      </c>
      <c r="L86">
        <v>46.251899999999999</v>
      </c>
      <c r="M86">
        <v>-84.100868000000006</v>
      </c>
      <c r="S86" t="s">
        <v>162</v>
      </c>
      <c r="T86">
        <v>69</v>
      </c>
      <c r="U86">
        <v>109421</v>
      </c>
      <c r="AE86" t="s">
        <v>163</v>
      </c>
      <c r="AF86" t="s">
        <v>108</v>
      </c>
      <c r="AG86" t="s">
        <v>164</v>
      </c>
      <c r="AI86" s="39"/>
    </row>
    <row r="87" spans="1:35" x14ac:dyDescent="0.25">
      <c r="A87" t="s">
        <v>126</v>
      </c>
      <c r="C87" t="s">
        <v>178</v>
      </c>
      <c r="D87">
        <v>2</v>
      </c>
      <c r="I87" s="18">
        <v>40295.847222222219</v>
      </c>
      <c r="J87" s="19">
        <v>40295.680555555555</v>
      </c>
      <c r="K87" t="s">
        <v>161</v>
      </c>
      <c r="L87">
        <v>46.529044919999997</v>
      </c>
      <c r="M87">
        <v>-84.150789059999994</v>
      </c>
      <c r="S87" t="s">
        <v>162</v>
      </c>
      <c r="T87">
        <v>69</v>
      </c>
      <c r="U87">
        <v>109442</v>
      </c>
      <c r="AE87" t="s">
        <v>163</v>
      </c>
      <c r="AF87" t="s">
        <v>108</v>
      </c>
      <c r="AG87" t="s">
        <v>164</v>
      </c>
    </row>
    <row r="88" spans="1:35" x14ac:dyDescent="0.25">
      <c r="A88" t="s">
        <v>118</v>
      </c>
      <c r="C88" t="s">
        <v>183</v>
      </c>
      <c r="D88">
        <v>2</v>
      </c>
      <c r="I88" s="18">
        <v>40296.51458333333</v>
      </c>
      <c r="J88" s="19">
        <v>40296.347916666666</v>
      </c>
      <c r="K88" t="s">
        <v>161</v>
      </c>
      <c r="L88">
        <v>46.494581820000001</v>
      </c>
      <c r="M88">
        <v>-84.272276300000001</v>
      </c>
      <c r="S88" t="s">
        <v>162</v>
      </c>
      <c r="T88">
        <v>69</v>
      </c>
      <c r="U88">
        <v>109457</v>
      </c>
      <c r="AE88" t="s">
        <v>163</v>
      </c>
      <c r="AF88" t="s">
        <v>108</v>
      </c>
      <c r="AG88" t="s">
        <v>164</v>
      </c>
      <c r="AI88" s="39"/>
    </row>
    <row r="89" spans="1:35" x14ac:dyDescent="0.25">
      <c r="A89" t="s">
        <v>118</v>
      </c>
      <c r="C89" t="s">
        <v>178</v>
      </c>
      <c r="D89">
        <v>2</v>
      </c>
      <c r="I89" s="18">
        <v>40296.541666666664</v>
      </c>
      <c r="J89" s="19">
        <v>40296.375</v>
      </c>
      <c r="K89" t="s">
        <v>161</v>
      </c>
      <c r="L89">
        <v>46.494950230000001</v>
      </c>
      <c r="M89">
        <v>-84.269372430000004</v>
      </c>
      <c r="S89" t="s">
        <v>162</v>
      </c>
      <c r="T89">
        <v>69</v>
      </c>
      <c r="U89">
        <v>109450</v>
      </c>
      <c r="AE89" t="s">
        <v>163</v>
      </c>
      <c r="AF89" t="s">
        <v>108</v>
      </c>
      <c r="AG89" t="s">
        <v>164</v>
      </c>
    </row>
    <row r="90" spans="1:35" x14ac:dyDescent="0.25">
      <c r="A90" t="s">
        <v>118</v>
      </c>
      <c r="C90" t="s">
        <v>183</v>
      </c>
      <c r="D90">
        <v>3</v>
      </c>
      <c r="I90" s="18">
        <v>40296.552777777775</v>
      </c>
      <c r="J90" s="19">
        <v>40296.386111111111</v>
      </c>
      <c r="K90" t="s">
        <v>161</v>
      </c>
      <c r="L90">
        <v>46.494635649999999</v>
      </c>
      <c r="M90">
        <v>-84.272263330000001</v>
      </c>
      <c r="S90" t="s">
        <v>162</v>
      </c>
      <c r="T90">
        <v>69</v>
      </c>
      <c r="U90">
        <v>109457</v>
      </c>
      <c r="AE90" t="s">
        <v>163</v>
      </c>
      <c r="AF90" t="s">
        <v>108</v>
      </c>
      <c r="AG90" t="s">
        <v>164</v>
      </c>
      <c r="AI90" s="39"/>
    </row>
    <row r="91" spans="1:35" x14ac:dyDescent="0.25">
      <c r="A91" t="s">
        <v>118</v>
      </c>
      <c r="C91" t="s">
        <v>177</v>
      </c>
      <c r="D91">
        <v>2</v>
      </c>
      <c r="I91" s="18">
        <v>40296.570138888892</v>
      </c>
      <c r="J91" s="19">
        <v>40296.40347222222</v>
      </c>
      <c r="K91" t="s">
        <v>161</v>
      </c>
      <c r="L91">
        <v>46.496539749999997</v>
      </c>
      <c r="M91">
        <v>-84.269329170000006</v>
      </c>
      <c r="S91" t="s">
        <v>162</v>
      </c>
      <c r="T91">
        <v>69</v>
      </c>
      <c r="U91">
        <v>109409</v>
      </c>
      <c r="AE91" t="s">
        <v>163</v>
      </c>
      <c r="AF91" t="s">
        <v>108</v>
      </c>
      <c r="AG91" t="s">
        <v>164</v>
      </c>
    </row>
    <row r="92" spans="1:35" x14ac:dyDescent="0.25">
      <c r="A92" t="s">
        <v>118</v>
      </c>
      <c r="C92" t="s">
        <v>182</v>
      </c>
      <c r="D92">
        <v>2</v>
      </c>
      <c r="I92" s="18">
        <v>40296.580555555556</v>
      </c>
      <c r="J92" s="19">
        <v>40296.413888888892</v>
      </c>
      <c r="K92" t="s">
        <v>161</v>
      </c>
      <c r="L92">
        <v>46.495940330000003</v>
      </c>
      <c r="M92">
        <v>-84.273063059999998</v>
      </c>
      <c r="S92" t="s">
        <v>162</v>
      </c>
      <c r="T92">
        <v>69</v>
      </c>
      <c r="U92">
        <v>109440</v>
      </c>
      <c r="AE92" t="s">
        <v>163</v>
      </c>
      <c r="AF92" t="s">
        <v>108</v>
      </c>
      <c r="AG92" t="s">
        <v>164</v>
      </c>
      <c r="AI92" s="39"/>
    </row>
    <row r="93" spans="1:35" x14ac:dyDescent="0.25">
      <c r="A93" t="s">
        <v>126</v>
      </c>
      <c r="C93" t="s">
        <v>178</v>
      </c>
      <c r="D93">
        <v>3</v>
      </c>
      <c r="I93" s="18">
        <v>40311.839583333334</v>
      </c>
      <c r="J93" s="19">
        <v>40311.67291666667</v>
      </c>
      <c r="K93" t="s">
        <v>161</v>
      </c>
      <c r="L93">
        <v>46.528861149999997</v>
      </c>
      <c r="M93">
        <v>-84.151038549999996</v>
      </c>
      <c r="S93" t="s">
        <v>162</v>
      </c>
      <c r="T93">
        <v>69</v>
      </c>
      <c r="U93">
        <v>109442</v>
      </c>
      <c r="AE93" t="s">
        <v>163</v>
      </c>
      <c r="AF93" t="s">
        <v>108</v>
      </c>
      <c r="AG93" t="s">
        <v>164</v>
      </c>
    </row>
    <row r="94" spans="1:35" x14ac:dyDescent="0.25">
      <c r="A94" t="s">
        <v>126</v>
      </c>
      <c r="C94" t="s">
        <v>177</v>
      </c>
      <c r="D94">
        <v>3</v>
      </c>
      <c r="I94" s="18">
        <v>40311.871527777781</v>
      </c>
      <c r="J94" s="19">
        <v>40311.704861111109</v>
      </c>
      <c r="K94" t="s">
        <v>161</v>
      </c>
      <c r="L94">
        <v>46.529735670000001</v>
      </c>
      <c r="M94">
        <v>-84.151652650000003</v>
      </c>
      <c r="S94" t="s">
        <v>162</v>
      </c>
      <c r="T94">
        <v>69</v>
      </c>
      <c r="U94">
        <v>109417</v>
      </c>
      <c r="AE94" t="s">
        <v>163</v>
      </c>
      <c r="AF94" t="s">
        <v>108</v>
      </c>
      <c r="AG94" t="s">
        <v>164</v>
      </c>
    </row>
    <row r="95" spans="1:35" x14ac:dyDescent="0.25">
      <c r="A95" t="s">
        <v>126</v>
      </c>
      <c r="C95" t="s">
        <v>183</v>
      </c>
      <c r="D95">
        <v>1</v>
      </c>
      <c r="I95" s="18">
        <v>40311.884722222225</v>
      </c>
      <c r="J95" s="19">
        <v>40311.718055555553</v>
      </c>
      <c r="K95" t="s">
        <v>161</v>
      </c>
      <c r="L95">
        <v>46.529385769999998</v>
      </c>
      <c r="M95">
        <v>-84.152358109999994</v>
      </c>
      <c r="S95" t="s">
        <v>162</v>
      </c>
      <c r="T95">
        <v>69</v>
      </c>
      <c r="U95">
        <v>109469</v>
      </c>
      <c r="AE95" t="s">
        <v>163</v>
      </c>
      <c r="AF95" t="s">
        <v>108</v>
      </c>
      <c r="AG95" t="s">
        <v>164</v>
      </c>
      <c r="AI95" s="39"/>
    </row>
    <row r="96" spans="1:35" x14ac:dyDescent="0.25">
      <c r="A96" t="s">
        <v>126</v>
      </c>
      <c r="C96" t="s">
        <v>182</v>
      </c>
      <c r="D96">
        <v>2</v>
      </c>
      <c r="I96" s="18">
        <v>40311.899305555555</v>
      </c>
      <c r="J96" s="19">
        <v>40311.732638888891</v>
      </c>
      <c r="K96" t="s">
        <v>161</v>
      </c>
      <c r="L96">
        <v>46.528054330000003</v>
      </c>
      <c r="M96">
        <v>-84.152590360000005</v>
      </c>
      <c r="S96" t="s">
        <v>162</v>
      </c>
      <c r="T96">
        <v>69</v>
      </c>
      <c r="U96">
        <v>109412</v>
      </c>
      <c r="AE96" t="s">
        <v>163</v>
      </c>
      <c r="AF96" t="s">
        <v>108</v>
      </c>
      <c r="AG96" t="s">
        <v>164</v>
      </c>
    </row>
    <row r="97" spans="1:35" x14ac:dyDescent="0.25">
      <c r="A97" t="s">
        <v>126</v>
      </c>
      <c r="C97" t="s">
        <v>181</v>
      </c>
      <c r="D97">
        <v>2</v>
      </c>
      <c r="I97" s="18">
        <v>40311.921527777777</v>
      </c>
      <c r="J97" s="19">
        <v>40311.754861111112</v>
      </c>
      <c r="K97" t="s">
        <v>161</v>
      </c>
      <c r="L97">
        <v>46.52890403</v>
      </c>
      <c r="M97">
        <v>-84.153111100000004</v>
      </c>
      <c r="S97" t="s">
        <v>162</v>
      </c>
      <c r="T97">
        <v>69</v>
      </c>
      <c r="U97">
        <v>109462</v>
      </c>
      <c r="AE97" t="s">
        <v>163</v>
      </c>
      <c r="AF97" t="s">
        <v>108</v>
      </c>
      <c r="AG97" t="s">
        <v>164</v>
      </c>
      <c r="AI97" s="39"/>
    </row>
    <row r="98" spans="1:35" x14ac:dyDescent="0.25">
      <c r="A98" t="s">
        <v>126</v>
      </c>
      <c r="C98" t="s">
        <v>176</v>
      </c>
      <c r="D98">
        <v>1</v>
      </c>
      <c r="I98" s="18">
        <v>40311.926388888889</v>
      </c>
      <c r="J98" s="19">
        <v>40311.759722222225</v>
      </c>
      <c r="K98" t="s">
        <v>161</v>
      </c>
      <c r="L98">
        <v>46.528435709999997</v>
      </c>
      <c r="M98">
        <v>-84.151970739999996</v>
      </c>
      <c r="S98" t="s">
        <v>162</v>
      </c>
      <c r="T98">
        <v>69</v>
      </c>
      <c r="U98">
        <v>106328</v>
      </c>
      <c r="AE98" t="s">
        <v>163</v>
      </c>
      <c r="AF98" t="s">
        <v>108</v>
      </c>
      <c r="AG98" t="s">
        <v>164</v>
      </c>
    </row>
    <row r="99" spans="1:35" x14ac:dyDescent="0.25">
      <c r="A99" t="s">
        <v>118</v>
      </c>
      <c r="C99" t="s">
        <v>176</v>
      </c>
      <c r="D99">
        <v>1</v>
      </c>
      <c r="I99" s="18">
        <v>40317.804861111108</v>
      </c>
      <c r="J99" s="19">
        <v>40317.638194444444</v>
      </c>
      <c r="K99" t="s">
        <v>161</v>
      </c>
      <c r="L99">
        <v>46.495613030000001</v>
      </c>
      <c r="M99">
        <v>-84.270815220000003</v>
      </c>
      <c r="S99" t="s">
        <v>162</v>
      </c>
      <c r="T99">
        <v>69</v>
      </c>
      <c r="U99">
        <v>109973</v>
      </c>
      <c r="AE99" t="s">
        <v>163</v>
      </c>
      <c r="AF99" t="s">
        <v>108</v>
      </c>
      <c r="AG99" t="s">
        <v>164</v>
      </c>
    </row>
    <row r="100" spans="1:35" x14ac:dyDescent="0.25">
      <c r="A100" t="s">
        <v>134</v>
      </c>
      <c r="C100" t="s">
        <v>182</v>
      </c>
      <c r="D100">
        <v>1</v>
      </c>
      <c r="I100" s="18">
        <v>40318.532638888886</v>
      </c>
      <c r="J100" s="19">
        <v>40318.365972222222</v>
      </c>
      <c r="K100" t="s">
        <v>161</v>
      </c>
      <c r="L100">
        <v>46.263851989999999</v>
      </c>
      <c r="M100">
        <v>-84.189931310000006</v>
      </c>
      <c r="S100" t="s">
        <v>162</v>
      </c>
      <c r="T100">
        <v>69</v>
      </c>
      <c r="U100">
        <v>109931</v>
      </c>
      <c r="AE100" t="s">
        <v>163</v>
      </c>
      <c r="AF100" t="s">
        <v>108</v>
      </c>
      <c r="AG100" t="s">
        <v>164</v>
      </c>
      <c r="AI100" s="39"/>
    </row>
    <row r="101" spans="1:35" x14ac:dyDescent="0.25">
      <c r="A101" t="s">
        <v>134</v>
      </c>
      <c r="C101" t="s">
        <v>183</v>
      </c>
      <c r="D101">
        <v>1</v>
      </c>
      <c r="I101" s="18">
        <v>40318.540277777778</v>
      </c>
      <c r="J101" s="19">
        <v>40318.373611111114</v>
      </c>
      <c r="K101" t="s">
        <v>161</v>
      </c>
      <c r="L101">
        <v>46.264417629999997</v>
      </c>
      <c r="M101">
        <v>-84.18865126</v>
      </c>
      <c r="S101" t="s">
        <v>162</v>
      </c>
      <c r="T101">
        <v>69</v>
      </c>
      <c r="U101">
        <v>106785</v>
      </c>
      <c r="AE101" t="s">
        <v>163</v>
      </c>
      <c r="AF101" t="s">
        <v>108</v>
      </c>
      <c r="AG101" t="s">
        <v>164</v>
      </c>
      <c r="AI101" s="39"/>
    </row>
    <row r="102" spans="1:35" x14ac:dyDescent="0.25">
      <c r="A102" t="s">
        <v>146</v>
      </c>
      <c r="C102" s="39" t="s">
        <v>183</v>
      </c>
      <c r="D102">
        <v>1</v>
      </c>
      <c r="I102" s="18">
        <v>40318.561805555553</v>
      </c>
      <c r="J102" s="19">
        <v>40318.395138888889</v>
      </c>
      <c r="K102" t="s">
        <v>161</v>
      </c>
      <c r="L102">
        <v>46.252642999999999</v>
      </c>
      <c r="M102">
        <v>-84.100371999999993</v>
      </c>
      <c r="S102" t="s">
        <v>162</v>
      </c>
      <c r="T102">
        <v>69</v>
      </c>
      <c r="U102">
        <v>106784</v>
      </c>
      <c r="AE102" t="s">
        <v>163</v>
      </c>
      <c r="AF102" t="s">
        <v>108</v>
      </c>
      <c r="AG102" t="s">
        <v>164</v>
      </c>
      <c r="AI102" s="39"/>
    </row>
    <row r="103" spans="1:35" x14ac:dyDescent="0.25">
      <c r="A103" t="s">
        <v>126</v>
      </c>
      <c r="C103" t="s">
        <v>177</v>
      </c>
      <c r="D103">
        <v>4</v>
      </c>
      <c r="I103" s="18">
        <v>40324.97152777778</v>
      </c>
      <c r="J103" s="19">
        <v>40324.804861111108</v>
      </c>
      <c r="K103" t="s">
        <v>161</v>
      </c>
      <c r="L103">
        <v>46.529910200000003</v>
      </c>
      <c r="M103">
        <v>-84.151472659999996</v>
      </c>
      <c r="S103" t="s">
        <v>162</v>
      </c>
      <c r="T103">
        <v>69</v>
      </c>
      <c r="U103">
        <v>109417</v>
      </c>
      <c r="AE103" t="s">
        <v>163</v>
      </c>
      <c r="AF103" t="s">
        <v>108</v>
      </c>
      <c r="AG103" t="s">
        <v>164</v>
      </c>
      <c r="AI103" s="39"/>
    </row>
    <row r="104" spans="1:35" x14ac:dyDescent="0.25">
      <c r="A104" t="s">
        <v>154</v>
      </c>
      <c r="C104" s="39" t="s">
        <v>183</v>
      </c>
      <c r="D104">
        <v>2</v>
      </c>
      <c r="I104" s="18">
        <v>40331.753472222219</v>
      </c>
      <c r="J104" s="19">
        <v>40331.586805555555</v>
      </c>
      <c r="K104" t="s">
        <v>161</v>
      </c>
      <c r="L104">
        <v>46.500500389999999</v>
      </c>
      <c r="M104">
        <v>-84.337566269999996</v>
      </c>
      <c r="S104" t="s">
        <v>162</v>
      </c>
      <c r="T104">
        <v>69</v>
      </c>
      <c r="U104">
        <v>109416</v>
      </c>
      <c r="AE104" t="s">
        <v>163</v>
      </c>
      <c r="AF104" t="s">
        <v>108</v>
      </c>
      <c r="AG104" t="s">
        <v>179</v>
      </c>
      <c r="AI104" s="39"/>
    </row>
    <row r="105" spans="1:35" x14ac:dyDescent="0.25">
      <c r="A105" t="s">
        <v>144</v>
      </c>
      <c r="C105" t="s">
        <v>178</v>
      </c>
      <c r="D105">
        <v>2</v>
      </c>
      <c r="I105" s="18">
        <v>40332.652777777781</v>
      </c>
      <c r="J105" s="19">
        <v>40332.486111111109</v>
      </c>
      <c r="K105" t="s">
        <v>161</v>
      </c>
      <c r="L105">
        <v>46.505623</v>
      </c>
      <c r="M105">
        <v>-84.350060999999997</v>
      </c>
      <c r="S105" t="s">
        <v>162</v>
      </c>
      <c r="T105">
        <v>69</v>
      </c>
      <c r="U105">
        <v>109461</v>
      </c>
      <c r="AE105" t="s">
        <v>163</v>
      </c>
      <c r="AF105" t="s">
        <v>108</v>
      </c>
      <c r="AG105" t="s">
        <v>179</v>
      </c>
      <c r="AI105" s="39"/>
    </row>
    <row r="106" spans="1:35" x14ac:dyDescent="0.25">
      <c r="A106" t="s">
        <v>144</v>
      </c>
      <c r="C106" t="s">
        <v>177</v>
      </c>
      <c r="D106">
        <v>2</v>
      </c>
      <c r="I106" s="18">
        <v>40332.668749999997</v>
      </c>
      <c r="J106" s="19">
        <v>40332.502083333333</v>
      </c>
      <c r="K106" t="s">
        <v>161</v>
      </c>
      <c r="L106">
        <v>46.505186999999999</v>
      </c>
      <c r="M106">
        <v>-84.352709000000004</v>
      </c>
      <c r="S106" t="s">
        <v>162</v>
      </c>
      <c r="T106">
        <v>69</v>
      </c>
      <c r="U106">
        <v>109418</v>
      </c>
      <c r="AE106" t="s">
        <v>163</v>
      </c>
      <c r="AF106" t="s">
        <v>108</v>
      </c>
      <c r="AG106" t="s">
        <v>179</v>
      </c>
    </row>
    <row r="107" spans="1:35" x14ac:dyDescent="0.25">
      <c r="A107" t="s">
        <v>128</v>
      </c>
      <c r="C107" t="s">
        <v>178</v>
      </c>
      <c r="D107">
        <v>2</v>
      </c>
      <c r="I107" s="18">
        <v>40332.828472222223</v>
      </c>
      <c r="J107" s="19">
        <v>40332.661805555559</v>
      </c>
      <c r="K107" t="s">
        <v>161</v>
      </c>
      <c r="L107">
        <v>46.477103739999997</v>
      </c>
      <c r="M107">
        <v>-84.295257660000004</v>
      </c>
      <c r="S107" t="s">
        <v>162</v>
      </c>
      <c r="T107">
        <v>69</v>
      </c>
      <c r="U107">
        <v>109458</v>
      </c>
      <c r="AE107" t="s">
        <v>163</v>
      </c>
      <c r="AF107" t="s">
        <v>108</v>
      </c>
      <c r="AG107" t="s">
        <v>179</v>
      </c>
      <c r="AI107" s="39"/>
    </row>
    <row r="108" spans="1:35" x14ac:dyDescent="0.25">
      <c r="A108" t="s">
        <v>126</v>
      </c>
      <c r="C108" t="s">
        <v>181</v>
      </c>
      <c r="D108">
        <v>3</v>
      </c>
      <c r="I108" s="18">
        <v>40350.776388888888</v>
      </c>
      <c r="J108" s="19">
        <v>40350.609722222223</v>
      </c>
      <c r="K108" t="s">
        <v>161</v>
      </c>
      <c r="L108">
        <v>46.528967880000003</v>
      </c>
      <c r="M108">
        <v>-84.152935990000003</v>
      </c>
      <c r="S108" t="s">
        <v>162</v>
      </c>
      <c r="T108">
        <v>69</v>
      </c>
      <c r="U108">
        <v>109462</v>
      </c>
      <c r="AE108" t="s">
        <v>163</v>
      </c>
      <c r="AF108" t="s">
        <v>108</v>
      </c>
      <c r="AG108" t="s">
        <v>164</v>
      </c>
      <c r="AI108" s="39"/>
    </row>
    <row r="109" spans="1:35" x14ac:dyDescent="0.25">
      <c r="A109" t="s">
        <v>126</v>
      </c>
      <c r="C109" s="39" t="s">
        <v>183</v>
      </c>
      <c r="D109">
        <v>2</v>
      </c>
      <c r="I109" s="18">
        <v>40350.793749999997</v>
      </c>
      <c r="J109" s="19">
        <v>40350.627083333333</v>
      </c>
      <c r="K109" t="s">
        <v>161</v>
      </c>
      <c r="L109">
        <v>46.529347020000003</v>
      </c>
      <c r="M109">
        <v>-84.152386680000006</v>
      </c>
      <c r="S109" t="s">
        <v>162</v>
      </c>
      <c r="T109">
        <v>69</v>
      </c>
      <c r="U109">
        <v>109469</v>
      </c>
      <c r="AE109" t="s">
        <v>163</v>
      </c>
      <c r="AF109" t="s">
        <v>108</v>
      </c>
      <c r="AG109" t="s">
        <v>164</v>
      </c>
      <c r="AI109" s="39"/>
    </row>
    <row r="110" spans="1:35" x14ac:dyDescent="0.25">
      <c r="A110" t="s">
        <v>126</v>
      </c>
      <c r="C110" t="s">
        <v>177</v>
      </c>
      <c r="D110">
        <v>5</v>
      </c>
      <c r="I110" s="18">
        <v>40350.822916666664</v>
      </c>
      <c r="J110" s="19">
        <v>40350.65625</v>
      </c>
      <c r="K110" t="s">
        <v>161</v>
      </c>
      <c r="L110">
        <v>46.529789170000001</v>
      </c>
      <c r="M110">
        <v>-84.151452829999997</v>
      </c>
      <c r="S110" t="s">
        <v>162</v>
      </c>
      <c r="T110">
        <v>69</v>
      </c>
      <c r="U110">
        <v>109417</v>
      </c>
      <c r="AE110" t="s">
        <v>163</v>
      </c>
      <c r="AF110" t="s">
        <v>108</v>
      </c>
      <c r="AG110" t="s">
        <v>164</v>
      </c>
      <c r="AI110" s="39"/>
    </row>
    <row r="111" spans="1:35" x14ac:dyDescent="0.25">
      <c r="A111" t="s">
        <v>126</v>
      </c>
      <c r="C111" s="39" t="s">
        <v>178</v>
      </c>
      <c r="D111">
        <v>4</v>
      </c>
      <c r="I111" s="18">
        <v>40350.840277777781</v>
      </c>
      <c r="J111" s="19">
        <v>40350.673611111109</v>
      </c>
      <c r="K111" t="s">
        <v>161</v>
      </c>
      <c r="L111">
        <v>46.528899639999999</v>
      </c>
      <c r="M111">
        <v>-84.151045850000003</v>
      </c>
      <c r="S111" t="s">
        <v>162</v>
      </c>
      <c r="T111">
        <v>69</v>
      </c>
      <c r="U111">
        <v>109442</v>
      </c>
      <c r="AE111" t="s">
        <v>163</v>
      </c>
      <c r="AF111" t="s">
        <v>108</v>
      </c>
      <c r="AG111" t="s">
        <v>164</v>
      </c>
      <c r="AI111" s="39"/>
    </row>
    <row r="112" spans="1:35" x14ac:dyDescent="0.25">
      <c r="A112" t="s">
        <v>126</v>
      </c>
      <c r="C112" s="39" t="s">
        <v>182</v>
      </c>
      <c r="D112">
        <v>3</v>
      </c>
      <c r="I112" s="18">
        <v>40350.867361111108</v>
      </c>
      <c r="J112" s="19">
        <v>40350.700694444444</v>
      </c>
      <c r="K112" t="s">
        <v>161</v>
      </c>
      <c r="L112">
        <v>46.528053929999999</v>
      </c>
      <c r="M112">
        <v>-84.152601910000001</v>
      </c>
      <c r="S112" t="s">
        <v>162</v>
      </c>
      <c r="T112">
        <v>69</v>
      </c>
      <c r="U112">
        <v>109412</v>
      </c>
      <c r="AE112" t="s">
        <v>163</v>
      </c>
      <c r="AF112" t="s">
        <v>108</v>
      </c>
      <c r="AG112" t="s">
        <v>164</v>
      </c>
      <c r="AI112" s="39"/>
    </row>
    <row r="113" spans="1:35" x14ac:dyDescent="0.25">
      <c r="A113" t="s">
        <v>126</v>
      </c>
      <c r="C113" s="39" t="s">
        <v>176</v>
      </c>
      <c r="D113">
        <v>2</v>
      </c>
      <c r="I113" s="18">
        <v>40350.893750000003</v>
      </c>
      <c r="J113" s="19">
        <v>40350.727083333331</v>
      </c>
      <c r="K113" t="s">
        <v>161</v>
      </c>
      <c r="L113">
        <v>46.528413299999997</v>
      </c>
      <c r="M113">
        <v>-84.151887239999994</v>
      </c>
      <c r="S113" t="s">
        <v>162</v>
      </c>
      <c r="T113">
        <v>69</v>
      </c>
      <c r="U113">
        <v>106328</v>
      </c>
      <c r="AE113" t="s">
        <v>163</v>
      </c>
      <c r="AF113" t="s">
        <v>108</v>
      </c>
      <c r="AG113" t="s">
        <v>164</v>
      </c>
      <c r="AI113" s="39"/>
    </row>
    <row r="114" spans="1:35" x14ac:dyDescent="0.25">
      <c r="A114" t="s">
        <v>146</v>
      </c>
      <c r="C114" s="39" t="s">
        <v>181</v>
      </c>
      <c r="D114">
        <v>3</v>
      </c>
      <c r="I114" s="18">
        <v>40351.604166666664</v>
      </c>
      <c r="J114" s="19">
        <v>40351.4375</v>
      </c>
      <c r="K114" t="s">
        <v>161</v>
      </c>
      <c r="L114">
        <v>46.253560309999997</v>
      </c>
      <c r="M114">
        <v>-84.102282209999998</v>
      </c>
      <c r="S114" t="s">
        <v>162</v>
      </c>
      <c r="T114">
        <v>69</v>
      </c>
      <c r="U114">
        <v>109464</v>
      </c>
      <c r="AE114" t="s">
        <v>163</v>
      </c>
      <c r="AF114" t="s">
        <v>108</v>
      </c>
      <c r="AG114" t="s">
        <v>164</v>
      </c>
      <c r="AI114" s="39"/>
    </row>
    <row r="115" spans="1:35" x14ac:dyDescent="0.25">
      <c r="A115" t="s">
        <v>146</v>
      </c>
      <c r="C115" s="39" t="s">
        <v>178</v>
      </c>
      <c r="D115">
        <v>3</v>
      </c>
      <c r="I115" s="18">
        <v>40351.624305555553</v>
      </c>
      <c r="J115" s="19">
        <v>40351.457638888889</v>
      </c>
      <c r="K115" t="s">
        <v>161</v>
      </c>
      <c r="L115">
        <v>46.252274999999997</v>
      </c>
      <c r="M115">
        <v>-84.102722</v>
      </c>
      <c r="S115" t="s">
        <v>162</v>
      </c>
      <c r="T115">
        <v>69</v>
      </c>
      <c r="U115">
        <v>109410</v>
      </c>
      <c r="AE115" t="s">
        <v>163</v>
      </c>
      <c r="AF115" t="s">
        <v>108</v>
      </c>
      <c r="AG115" t="s">
        <v>164</v>
      </c>
      <c r="AI115" s="39"/>
    </row>
    <row r="116" spans="1:35" x14ac:dyDescent="0.25">
      <c r="A116" t="s">
        <v>146</v>
      </c>
      <c r="C116" s="39" t="s">
        <v>176</v>
      </c>
      <c r="D116">
        <v>2</v>
      </c>
      <c r="I116" s="18">
        <v>40351.668055555558</v>
      </c>
      <c r="J116" s="19">
        <v>40351.501388888886</v>
      </c>
      <c r="K116" t="s">
        <v>161</v>
      </c>
      <c r="L116">
        <v>46.252330000000001</v>
      </c>
      <c r="M116">
        <v>-84.099016000000006</v>
      </c>
      <c r="S116" t="s">
        <v>162</v>
      </c>
      <c r="T116">
        <v>69</v>
      </c>
      <c r="U116">
        <v>109459</v>
      </c>
      <c r="AE116" t="s">
        <v>163</v>
      </c>
      <c r="AF116" t="s">
        <v>108</v>
      </c>
      <c r="AG116" t="s">
        <v>164</v>
      </c>
      <c r="AI116" s="39"/>
    </row>
    <row r="117" spans="1:35" x14ac:dyDescent="0.25">
      <c r="A117" t="s">
        <v>134</v>
      </c>
      <c r="C117" s="39" t="s">
        <v>176</v>
      </c>
      <c r="D117">
        <v>2</v>
      </c>
      <c r="I117" s="18">
        <v>40351.831944444442</v>
      </c>
      <c r="J117" s="19">
        <v>40351.665277777778</v>
      </c>
      <c r="K117" t="s">
        <v>161</v>
      </c>
      <c r="L117">
        <v>46.265403509999999</v>
      </c>
      <c r="M117">
        <v>-84.186886909999998</v>
      </c>
      <c r="S117" t="s">
        <v>162</v>
      </c>
      <c r="T117">
        <v>69</v>
      </c>
      <c r="U117">
        <v>109455</v>
      </c>
      <c r="AE117" t="s">
        <v>163</v>
      </c>
      <c r="AF117" t="s">
        <v>108</v>
      </c>
      <c r="AG117" t="s">
        <v>164</v>
      </c>
      <c r="AI117" s="39"/>
    </row>
    <row r="118" spans="1:35" x14ac:dyDescent="0.25">
      <c r="A118" t="s">
        <v>120</v>
      </c>
      <c r="C118" s="39" t="s">
        <v>177</v>
      </c>
      <c r="D118">
        <v>2</v>
      </c>
      <c r="I118" s="18">
        <v>40352.786111111112</v>
      </c>
      <c r="J118" s="19">
        <v>40352.619444444441</v>
      </c>
      <c r="K118" t="s">
        <v>161</v>
      </c>
      <c r="L118">
        <v>46.360176359999997</v>
      </c>
      <c r="M118">
        <v>-84.129123989999997</v>
      </c>
      <c r="S118" t="s">
        <v>162</v>
      </c>
      <c r="T118">
        <v>69</v>
      </c>
      <c r="U118">
        <v>109429</v>
      </c>
      <c r="AE118" t="s">
        <v>163</v>
      </c>
      <c r="AF118" t="s">
        <v>108</v>
      </c>
      <c r="AG118" t="s">
        <v>179</v>
      </c>
      <c r="AI118" s="39"/>
    </row>
    <row r="119" spans="1:35" x14ac:dyDescent="0.25">
      <c r="A119" t="s">
        <v>138</v>
      </c>
      <c r="C119" s="39" t="s">
        <v>178</v>
      </c>
      <c r="D119">
        <v>2</v>
      </c>
      <c r="I119" s="18">
        <v>40352.85</v>
      </c>
      <c r="J119" s="19">
        <v>40352.683333333334</v>
      </c>
      <c r="K119" t="s">
        <v>161</v>
      </c>
      <c r="L119">
        <v>46.326355939999999</v>
      </c>
      <c r="M119">
        <v>-84.159424400000006</v>
      </c>
      <c r="S119" t="s">
        <v>162</v>
      </c>
      <c r="T119">
        <v>69</v>
      </c>
      <c r="U119">
        <v>109430</v>
      </c>
      <c r="AE119" t="s">
        <v>163</v>
      </c>
      <c r="AF119" t="s">
        <v>108</v>
      </c>
      <c r="AG119" t="s">
        <v>179</v>
      </c>
      <c r="AI119" s="39"/>
    </row>
    <row r="120" spans="1:35" x14ac:dyDescent="0.25">
      <c r="A120" t="s">
        <v>154</v>
      </c>
      <c r="C120" t="s">
        <v>160</v>
      </c>
      <c r="D120">
        <v>3</v>
      </c>
      <c r="I120" s="18">
        <v>40353.521527777775</v>
      </c>
      <c r="J120" s="19">
        <v>40353.354861111111</v>
      </c>
      <c r="K120" t="s">
        <v>161</v>
      </c>
      <c r="L120">
        <v>46.512854480000001</v>
      </c>
      <c r="M120">
        <v>-84.344177520000002</v>
      </c>
      <c r="S120" t="s">
        <v>162</v>
      </c>
      <c r="T120">
        <v>69</v>
      </c>
      <c r="U120">
        <v>109125</v>
      </c>
      <c r="AE120" t="s">
        <v>163</v>
      </c>
      <c r="AF120" t="s">
        <v>108</v>
      </c>
      <c r="AG120" t="s">
        <v>164</v>
      </c>
      <c r="AI120" s="39"/>
    </row>
    <row r="121" spans="1:35" x14ac:dyDescent="0.25">
      <c r="A121" t="s">
        <v>154</v>
      </c>
      <c r="C121" s="39" t="s">
        <v>166</v>
      </c>
      <c r="D121">
        <v>3</v>
      </c>
      <c r="I121" s="18">
        <v>40353.551388888889</v>
      </c>
      <c r="J121" s="19">
        <v>40353.384722222225</v>
      </c>
      <c r="K121" t="s">
        <v>161</v>
      </c>
      <c r="L121">
        <v>46.51118761</v>
      </c>
      <c r="M121">
        <v>-84.342805600000005</v>
      </c>
      <c r="S121" t="s">
        <v>162</v>
      </c>
      <c r="T121">
        <v>69</v>
      </c>
      <c r="U121">
        <v>109121</v>
      </c>
      <c r="AE121" t="s">
        <v>163</v>
      </c>
      <c r="AF121" t="s">
        <v>108</v>
      </c>
      <c r="AG121" t="s">
        <v>164</v>
      </c>
      <c r="AI121" s="39"/>
    </row>
    <row r="122" spans="1:35" x14ac:dyDescent="0.25">
      <c r="A122" t="s">
        <v>154</v>
      </c>
      <c r="C122" s="39" t="s">
        <v>168</v>
      </c>
      <c r="D122">
        <v>2</v>
      </c>
      <c r="I122" s="18">
        <v>40353.568749999999</v>
      </c>
      <c r="J122" s="19">
        <v>40353.402083333334</v>
      </c>
      <c r="K122" t="s">
        <v>161</v>
      </c>
      <c r="L122">
        <v>46.509540700000002</v>
      </c>
      <c r="M122">
        <v>-84.342695539999994</v>
      </c>
      <c r="S122" t="s">
        <v>162</v>
      </c>
      <c r="T122">
        <v>69</v>
      </c>
      <c r="U122">
        <v>109460</v>
      </c>
      <c r="AE122" t="s">
        <v>163</v>
      </c>
      <c r="AF122" t="s">
        <v>108</v>
      </c>
      <c r="AG122" t="s">
        <v>164</v>
      </c>
      <c r="AI122" s="39"/>
    </row>
    <row r="123" spans="1:35" x14ac:dyDescent="0.25">
      <c r="A123" t="s">
        <v>154</v>
      </c>
      <c r="C123" s="39" t="s">
        <v>172</v>
      </c>
      <c r="D123">
        <v>2</v>
      </c>
      <c r="I123" s="18">
        <v>40353.589583333334</v>
      </c>
      <c r="J123" s="19">
        <v>40353.42291666667</v>
      </c>
      <c r="K123" t="s">
        <v>161</v>
      </c>
      <c r="L123">
        <v>46.507199</v>
      </c>
      <c r="M123">
        <v>-84.343577999999994</v>
      </c>
      <c r="S123" t="s">
        <v>162</v>
      </c>
      <c r="T123">
        <v>69</v>
      </c>
      <c r="U123">
        <v>109124</v>
      </c>
      <c r="AE123" t="s">
        <v>163</v>
      </c>
      <c r="AF123" t="s">
        <v>108</v>
      </c>
      <c r="AG123" t="s">
        <v>164</v>
      </c>
      <c r="AI123" s="39"/>
    </row>
    <row r="124" spans="1:35" x14ac:dyDescent="0.25">
      <c r="A124" t="s">
        <v>154</v>
      </c>
      <c r="C124" s="39" t="s">
        <v>181</v>
      </c>
      <c r="D124">
        <v>2</v>
      </c>
      <c r="I124" s="18">
        <v>40353.607638888891</v>
      </c>
      <c r="J124" s="19">
        <v>40353.440972222219</v>
      </c>
      <c r="K124" t="s">
        <v>161</v>
      </c>
      <c r="L124">
        <v>46.505501690000003</v>
      </c>
      <c r="M124">
        <v>-84.33990842</v>
      </c>
      <c r="S124" t="s">
        <v>162</v>
      </c>
      <c r="T124">
        <v>69</v>
      </c>
      <c r="U124">
        <v>109123</v>
      </c>
      <c r="AE124" t="s">
        <v>163</v>
      </c>
      <c r="AF124" t="s">
        <v>108</v>
      </c>
      <c r="AG124" t="s">
        <v>164</v>
      </c>
      <c r="AI124" s="39"/>
    </row>
    <row r="125" spans="1:35" x14ac:dyDescent="0.25">
      <c r="A125" t="s">
        <v>124</v>
      </c>
      <c r="C125" s="39" t="s">
        <v>177</v>
      </c>
      <c r="D125">
        <v>2</v>
      </c>
      <c r="I125" s="18">
        <v>40353.642361111109</v>
      </c>
      <c r="J125" s="19">
        <v>40353.475694444445</v>
      </c>
      <c r="K125" t="s">
        <v>161</v>
      </c>
      <c r="L125">
        <v>46.498871309999998</v>
      </c>
      <c r="M125">
        <v>-84.333877099999995</v>
      </c>
      <c r="S125" t="s">
        <v>162</v>
      </c>
      <c r="T125">
        <v>69</v>
      </c>
      <c r="U125">
        <v>109463</v>
      </c>
      <c r="AE125" t="s">
        <v>163</v>
      </c>
      <c r="AF125" t="s">
        <v>108</v>
      </c>
      <c r="AG125" t="s">
        <v>164</v>
      </c>
      <c r="AI125" s="39"/>
    </row>
    <row r="126" spans="1:35" x14ac:dyDescent="0.25">
      <c r="A126" t="s">
        <v>140</v>
      </c>
      <c r="C126" s="39" t="s">
        <v>177</v>
      </c>
      <c r="D126">
        <v>2</v>
      </c>
      <c r="I126" s="18">
        <v>40353.680555555555</v>
      </c>
      <c r="J126" s="19">
        <v>40353.513888888891</v>
      </c>
      <c r="K126" t="s">
        <v>161</v>
      </c>
      <c r="L126">
        <v>46.501936520000001</v>
      </c>
      <c r="M126">
        <v>-84.392528369999994</v>
      </c>
      <c r="S126" t="s">
        <v>162</v>
      </c>
      <c r="T126">
        <v>69</v>
      </c>
      <c r="U126">
        <v>109445</v>
      </c>
      <c r="AE126" t="s">
        <v>163</v>
      </c>
      <c r="AF126" t="s">
        <v>108</v>
      </c>
      <c r="AG126" t="s">
        <v>179</v>
      </c>
      <c r="AI126" s="39"/>
    </row>
    <row r="127" spans="1:35" x14ac:dyDescent="0.25">
      <c r="A127" t="s">
        <v>118</v>
      </c>
      <c r="C127" t="s">
        <v>177</v>
      </c>
      <c r="D127">
        <v>3</v>
      </c>
      <c r="I127" s="18">
        <v>40353.750694444447</v>
      </c>
      <c r="J127" s="19">
        <v>40353.584027777775</v>
      </c>
      <c r="K127" t="s">
        <v>161</v>
      </c>
      <c r="L127">
        <v>46.496627660000001</v>
      </c>
      <c r="M127">
        <v>-84.269326770000006</v>
      </c>
      <c r="S127" t="s">
        <v>162</v>
      </c>
      <c r="T127">
        <v>69</v>
      </c>
      <c r="U127">
        <v>109409</v>
      </c>
      <c r="AE127" t="s">
        <v>163</v>
      </c>
      <c r="AF127" t="s">
        <v>108</v>
      </c>
      <c r="AG127" t="s">
        <v>164</v>
      </c>
    </row>
    <row r="128" spans="1:35" x14ac:dyDescent="0.25">
      <c r="A128" t="s">
        <v>118</v>
      </c>
      <c r="C128" t="s">
        <v>178</v>
      </c>
      <c r="D128">
        <v>3</v>
      </c>
      <c r="I128" s="18">
        <v>40353.767361111109</v>
      </c>
      <c r="J128" s="19">
        <v>40353.600694444445</v>
      </c>
      <c r="K128" t="s">
        <v>161</v>
      </c>
      <c r="L128">
        <v>46.494984950000003</v>
      </c>
      <c r="M128">
        <v>-84.26923524</v>
      </c>
      <c r="S128" t="s">
        <v>162</v>
      </c>
      <c r="T128">
        <v>69</v>
      </c>
      <c r="U128">
        <v>109450</v>
      </c>
      <c r="AE128" t="s">
        <v>163</v>
      </c>
      <c r="AF128" t="s">
        <v>108</v>
      </c>
      <c r="AG128" t="s">
        <v>164</v>
      </c>
    </row>
    <row r="129" spans="1:35" x14ac:dyDescent="0.25">
      <c r="A129" t="s">
        <v>128</v>
      </c>
      <c r="C129" t="s">
        <v>183</v>
      </c>
      <c r="D129">
        <v>2</v>
      </c>
      <c r="I129" s="18">
        <v>40353.788194444445</v>
      </c>
      <c r="J129" s="19">
        <v>40353.621527777781</v>
      </c>
      <c r="K129" t="s">
        <v>161</v>
      </c>
      <c r="L129">
        <v>46.483155490000001</v>
      </c>
      <c r="M129">
        <v>-84.299581309999994</v>
      </c>
      <c r="S129" t="s">
        <v>162</v>
      </c>
      <c r="T129">
        <v>69</v>
      </c>
      <c r="U129">
        <v>109407</v>
      </c>
      <c r="AE129" t="s">
        <v>163</v>
      </c>
      <c r="AF129" t="s">
        <v>108</v>
      </c>
      <c r="AG129" t="s">
        <v>179</v>
      </c>
      <c r="AI129" s="39"/>
    </row>
    <row r="130" spans="1:35" x14ac:dyDescent="0.25">
      <c r="A130" t="s">
        <v>138</v>
      </c>
      <c r="C130" t="s">
        <v>178</v>
      </c>
      <c r="D130">
        <v>3</v>
      </c>
      <c r="I130" s="18">
        <v>40658.709027777775</v>
      </c>
      <c r="J130" s="19">
        <v>40658.542361111111</v>
      </c>
      <c r="K130" t="s">
        <v>161</v>
      </c>
      <c r="L130">
        <v>46.326327829999997</v>
      </c>
      <c r="M130">
        <v>-84.159316610000005</v>
      </c>
      <c r="S130" t="s">
        <v>162</v>
      </c>
      <c r="T130">
        <v>69</v>
      </c>
      <c r="U130">
        <v>113221</v>
      </c>
      <c r="AE130" t="s">
        <v>163</v>
      </c>
      <c r="AF130" t="s">
        <v>108</v>
      </c>
      <c r="AG130" t="s">
        <v>164</v>
      </c>
    </row>
    <row r="131" spans="1:35" x14ac:dyDescent="0.25">
      <c r="A131" t="s">
        <v>138</v>
      </c>
      <c r="C131" t="s">
        <v>182</v>
      </c>
      <c r="D131">
        <v>1</v>
      </c>
      <c r="I131" s="18">
        <v>40658.719444444447</v>
      </c>
      <c r="J131" s="19">
        <v>40658.552777777775</v>
      </c>
      <c r="K131" t="s">
        <v>161</v>
      </c>
      <c r="L131">
        <v>46.325895269999997</v>
      </c>
      <c r="M131">
        <v>-84.157639700000004</v>
      </c>
      <c r="S131" t="s">
        <v>162</v>
      </c>
      <c r="T131">
        <v>69</v>
      </c>
      <c r="U131">
        <v>113230</v>
      </c>
      <c r="AE131" t="s">
        <v>163</v>
      </c>
      <c r="AF131" t="s">
        <v>108</v>
      </c>
      <c r="AG131" t="s">
        <v>164</v>
      </c>
      <c r="AI131" s="39"/>
    </row>
    <row r="132" spans="1:35" x14ac:dyDescent="0.25">
      <c r="A132" t="s">
        <v>138</v>
      </c>
      <c r="C132" t="s">
        <v>183</v>
      </c>
      <c r="D132">
        <v>1</v>
      </c>
      <c r="I132" s="18">
        <v>40658.728472222225</v>
      </c>
      <c r="J132" s="19">
        <v>40658.561805555553</v>
      </c>
      <c r="K132" t="s">
        <v>161</v>
      </c>
      <c r="L132">
        <v>46.324313359999998</v>
      </c>
      <c r="M132">
        <v>-84.157469370000001</v>
      </c>
      <c r="S132" t="s">
        <v>162</v>
      </c>
      <c r="T132">
        <v>69</v>
      </c>
      <c r="U132">
        <v>113223</v>
      </c>
      <c r="AE132" t="s">
        <v>163</v>
      </c>
      <c r="AF132" t="s">
        <v>108</v>
      </c>
      <c r="AG132" t="s">
        <v>164</v>
      </c>
    </row>
    <row r="133" spans="1:35" x14ac:dyDescent="0.25">
      <c r="A133" t="s">
        <v>138</v>
      </c>
      <c r="C133" t="s">
        <v>176</v>
      </c>
      <c r="D133">
        <v>1</v>
      </c>
      <c r="I133" s="18">
        <v>40658.734027777777</v>
      </c>
      <c r="J133" s="19">
        <v>40658.567361111112</v>
      </c>
      <c r="K133" t="s">
        <v>161</v>
      </c>
      <c r="L133">
        <v>46.324963410000002</v>
      </c>
      <c r="M133">
        <v>-84.159780690000005</v>
      </c>
      <c r="S133" t="s">
        <v>162</v>
      </c>
      <c r="T133">
        <v>69</v>
      </c>
      <c r="U133">
        <v>113213</v>
      </c>
      <c r="AE133" t="s">
        <v>163</v>
      </c>
      <c r="AF133" t="s">
        <v>108</v>
      </c>
      <c r="AG133" t="s">
        <v>164</v>
      </c>
    </row>
    <row r="134" spans="1:35" x14ac:dyDescent="0.25">
      <c r="A134" t="s">
        <v>138</v>
      </c>
      <c r="C134" t="s">
        <v>177</v>
      </c>
      <c r="D134">
        <v>2</v>
      </c>
      <c r="I134" s="18">
        <v>40658.740972222222</v>
      </c>
      <c r="J134" s="19">
        <v>40658.574305555558</v>
      </c>
      <c r="K134" t="s">
        <v>161</v>
      </c>
      <c r="L134">
        <v>46.326308249999997</v>
      </c>
      <c r="M134">
        <v>-84.157793870000006</v>
      </c>
      <c r="S134" t="s">
        <v>162</v>
      </c>
      <c r="T134">
        <v>69</v>
      </c>
      <c r="U134">
        <v>109936</v>
      </c>
      <c r="AE134" t="s">
        <v>163</v>
      </c>
      <c r="AF134" t="s">
        <v>108</v>
      </c>
      <c r="AG134" t="s">
        <v>179</v>
      </c>
      <c r="AI134" s="39"/>
    </row>
    <row r="135" spans="1:35" x14ac:dyDescent="0.25">
      <c r="A135" t="s">
        <v>158</v>
      </c>
      <c r="C135" t="s">
        <v>183</v>
      </c>
      <c r="D135">
        <v>2</v>
      </c>
      <c r="I135" s="18">
        <v>40658.776388888888</v>
      </c>
      <c r="J135" s="19">
        <v>40658.609722222223</v>
      </c>
      <c r="K135" t="s">
        <v>161</v>
      </c>
      <c r="L135">
        <v>46.286399889999998</v>
      </c>
      <c r="M135">
        <v>-84.211568940000006</v>
      </c>
      <c r="S135" t="s">
        <v>162</v>
      </c>
      <c r="T135">
        <v>69</v>
      </c>
      <c r="U135">
        <v>113210</v>
      </c>
      <c r="AE135" t="s">
        <v>163</v>
      </c>
      <c r="AF135" t="s">
        <v>108</v>
      </c>
      <c r="AG135" t="s">
        <v>179</v>
      </c>
    </row>
    <row r="136" spans="1:35" x14ac:dyDescent="0.25">
      <c r="A136" t="s">
        <v>134</v>
      </c>
      <c r="C136" t="s">
        <v>178</v>
      </c>
      <c r="D136">
        <v>3</v>
      </c>
      <c r="I136" s="18">
        <v>40658.786111111112</v>
      </c>
      <c r="J136" s="19">
        <v>40658.619444444441</v>
      </c>
      <c r="K136" t="s">
        <v>161</v>
      </c>
      <c r="L136">
        <v>46.263044870000002</v>
      </c>
      <c r="M136">
        <v>-84.189528980000006</v>
      </c>
      <c r="S136" t="s">
        <v>162</v>
      </c>
      <c r="T136">
        <v>69</v>
      </c>
      <c r="U136">
        <v>113214</v>
      </c>
      <c r="AE136" t="s">
        <v>163</v>
      </c>
      <c r="AF136" t="s">
        <v>108</v>
      </c>
      <c r="AG136" t="s">
        <v>164</v>
      </c>
      <c r="AI136" s="39"/>
    </row>
    <row r="137" spans="1:35" x14ac:dyDescent="0.25">
      <c r="A137" t="s">
        <v>134</v>
      </c>
      <c r="C137" t="s">
        <v>182</v>
      </c>
      <c r="D137">
        <v>2</v>
      </c>
      <c r="I137" s="18">
        <v>40658.793749999997</v>
      </c>
      <c r="J137" s="19">
        <v>40658.627083333333</v>
      </c>
      <c r="K137" t="s">
        <v>161</v>
      </c>
      <c r="L137">
        <v>46.263537460000002</v>
      </c>
      <c r="M137">
        <v>-84.189973960000003</v>
      </c>
      <c r="S137" t="s">
        <v>162</v>
      </c>
      <c r="T137">
        <v>69</v>
      </c>
      <c r="U137">
        <v>109991</v>
      </c>
      <c r="AE137" t="s">
        <v>163</v>
      </c>
      <c r="AF137" t="s">
        <v>108</v>
      </c>
      <c r="AG137" t="s">
        <v>164</v>
      </c>
      <c r="AI137" s="39"/>
    </row>
    <row r="138" spans="1:35" x14ac:dyDescent="0.25">
      <c r="A138" t="s">
        <v>134</v>
      </c>
      <c r="C138" t="s">
        <v>184</v>
      </c>
      <c r="D138">
        <v>2</v>
      </c>
      <c r="I138" s="18">
        <v>40658.800694444442</v>
      </c>
      <c r="J138" s="19">
        <v>40658.634027777778</v>
      </c>
      <c r="K138" t="s">
        <v>161</v>
      </c>
      <c r="L138">
        <v>46.264152209999999</v>
      </c>
      <c r="M138">
        <v>-84.190481320000004</v>
      </c>
      <c r="S138" t="s">
        <v>162</v>
      </c>
      <c r="T138">
        <v>69</v>
      </c>
      <c r="U138">
        <v>113209</v>
      </c>
      <c r="AE138" t="s">
        <v>163</v>
      </c>
      <c r="AF138" t="s">
        <v>108</v>
      </c>
      <c r="AG138" t="s">
        <v>164</v>
      </c>
      <c r="AI138" s="39"/>
    </row>
    <row r="139" spans="1:35" x14ac:dyDescent="0.25">
      <c r="A139" t="s">
        <v>134</v>
      </c>
      <c r="C139" t="s">
        <v>177</v>
      </c>
      <c r="D139">
        <v>2</v>
      </c>
      <c r="I139" s="18">
        <v>40658.806250000001</v>
      </c>
      <c r="J139" s="19">
        <v>40658.63958333333</v>
      </c>
      <c r="K139" t="s">
        <v>161</v>
      </c>
      <c r="L139">
        <v>46.263620299999999</v>
      </c>
      <c r="M139">
        <v>-84.187579920000005</v>
      </c>
      <c r="S139" t="s">
        <v>162</v>
      </c>
      <c r="T139">
        <v>69</v>
      </c>
      <c r="U139">
        <v>109946</v>
      </c>
      <c r="AE139" t="s">
        <v>163</v>
      </c>
      <c r="AF139" t="s">
        <v>108</v>
      </c>
      <c r="AG139" t="s">
        <v>164</v>
      </c>
      <c r="AI139" s="39"/>
    </row>
    <row r="140" spans="1:35" x14ac:dyDescent="0.25">
      <c r="A140" t="s">
        <v>134</v>
      </c>
      <c r="C140" t="s">
        <v>183</v>
      </c>
      <c r="D140">
        <v>2</v>
      </c>
      <c r="I140" s="18">
        <v>40658.820138888892</v>
      </c>
      <c r="J140" s="19">
        <v>40658.65347222222</v>
      </c>
      <c r="K140" t="s">
        <v>161</v>
      </c>
      <c r="L140">
        <v>46.264203340000002</v>
      </c>
      <c r="M140">
        <v>-84.188402760000002</v>
      </c>
      <c r="S140" t="s">
        <v>162</v>
      </c>
      <c r="T140">
        <v>69</v>
      </c>
      <c r="U140">
        <v>109999</v>
      </c>
      <c r="AE140" t="s">
        <v>163</v>
      </c>
      <c r="AF140" t="s">
        <v>108</v>
      </c>
      <c r="AG140" t="s">
        <v>164</v>
      </c>
    </row>
    <row r="141" spans="1:35" x14ac:dyDescent="0.25">
      <c r="A141" t="s">
        <v>134</v>
      </c>
      <c r="C141" t="s">
        <v>181</v>
      </c>
      <c r="D141">
        <v>3</v>
      </c>
      <c r="I141" s="18">
        <v>40658.825694444444</v>
      </c>
      <c r="J141" s="19">
        <v>40658.65902777778</v>
      </c>
      <c r="K141" t="s">
        <v>161</v>
      </c>
      <c r="L141">
        <v>46.264764200000002</v>
      </c>
      <c r="M141">
        <v>-84.188800619999995</v>
      </c>
      <c r="S141" t="s">
        <v>162</v>
      </c>
      <c r="T141">
        <v>69</v>
      </c>
      <c r="U141">
        <v>109947</v>
      </c>
      <c r="AE141" t="s">
        <v>163</v>
      </c>
      <c r="AF141" t="s">
        <v>108</v>
      </c>
      <c r="AG141" t="s">
        <v>164</v>
      </c>
    </row>
    <row r="142" spans="1:35" x14ac:dyDescent="0.25">
      <c r="A142" t="s">
        <v>134</v>
      </c>
      <c r="C142" t="s">
        <v>176</v>
      </c>
      <c r="D142">
        <v>3</v>
      </c>
      <c r="I142" s="18">
        <v>40658.829861111109</v>
      </c>
      <c r="J142" s="19">
        <v>40658.663194444445</v>
      </c>
      <c r="K142" t="s">
        <v>161</v>
      </c>
      <c r="L142">
        <v>46.265098360000003</v>
      </c>
      <c r="M142">
        <v>-84.186576990000006</v>
      </c>
      <c r="S142" t="s">
        <v>162</v>
      </c>
      <c r="T142">
        <v>69</v>
      </c>
      <c r="U142">
        <v>113222</v>
      </c>
      <c r="AE142" t="s">
        <v>163</v>
      </c>
      <c r="AF142" t="s">
        <v>108</v>
      </c>
      <c r="AG142" t="s">
        <v>164</v>
      </c>
      <c r="AI142" s="39"/>
    </row>
    <row r="143" spans="1:35" x14ac:dyDescent="0.25">
      <c r="A143" t="s">
        <v>146</v>
      </c>
      <c r="C143" t="s">
        <v>176</v>
      </c>
      <c r="D143">
        <v>3</v>
      </c>
      <c r="I143" s="18">
        <v>40658.861805555556</v>
      </c>
      <c r="J143" s="19">
        <v>40658.695138888892</v>
      </c>
      <c r="K143" t="s">
        <v>161</v>
      </c>
      <c r="L143">
        <v>46.252462000000001</v>
      </c>
      <c r="M143">
        <v>-84.098864669999998</v>
      </c>
      <c r="S143" t="s">
        <v>162</v>
      </c>
      <c r="T143">
        <v>69</v>
      </c>
      <c r="U143">
        <v>113227</v>
      </c>
      <c r="AE143" t="s">
        <v>163</v>
      </c>
      <c r="AF143" t="s">
        <v>108</v>
      </c>
      <c r="AG143" t="s">
        <v>179</v>
      </c>
    </row>
    <row r="144" spans="1:35" x14ac:dyDescent="0.25">
      <c r="A144" t="s">
        <v>146</v>
      </c>
      <c r="C144" t="s">
        <v>181</v>
      </c>
      <c r="D144">
        <v>4</v>
      </c>
      <c r="I144" s="18">
        <v>40658.868055555555</v>
      </c>
      <c r="J144" s="19">
        <v>40658.701388888891</v>
      </c>
      <c r="K144" t="s">
        <v>161</v>
      </c>
      <c r="L144">
        <v>46.25359967</v>
      </c>
      <c r="M144">
        <v>-84.102293880000005</v>
      </c>
      <c r="S144" t="s">
        <v>162</v>
      </c>
      <c r="T144">
        <v>69</v>
      </c>
      <c r="U144">
        <v>113228</v>
      </c>
      <c r="AE144" t="s">
        <v>163</v>
      </c>
      <c r="AF144" t="s">
        <v>108</v>
      </c>
      <c r="AG144" t="s">
        <v>179</v>
      </c>
      <c r="AI144" s="39"/>
    </row>
    <row r="145" spans="1:45" x14ac:dyDescent="0.25">
      <c r="A145" t="s">
        <v>156</v>
      </c>
      <c r="C145" t="s">
        <v>178</v>
      </c>
      <c r="D145">
        <v>2</v>
      </c>
      <c r="I145" s="18">
        <v>40658.88958333333</v>
      </c>
      <c r="J145" s="19">
        <v>40658.722916666666</v>
      </c>
      <c r="K145" t="s">
        <v>161</v>
      </c>
      <c r="L145">
        <v>46.317325619999998</v>
      </c>
      <c r="M145">
        <v>-84.119048809999995</v>
      </c>
      <c r="S145" t="s">
        <v>162</v>
      </c>
      <c r="T145">
        <v>69</v>
      </c>
      <c r="U145">
        <v>113217</v>
      </c>
      <c r="AE145" t="s">
        <v>163</v>
      </c>
      <c r="AF145" t="s">
        <v>108</v>
      </c>
      <c r="AG145" t="s">
        <v>179</v>
      </c>
      <c r="AI145" s="39"/>
    </row>
    <row r="146" spans="1:45" x14ac:dyDescent="0.25">
      <c r="A146" t="s">
        <v>156</v>
      </c>
      <c r="C146" t="s">
        <v>177</v>
      </c>
      <c r="D146">
        <v>2</v>
      </c>
      <c r="I146" s="18">
        <v>40658.895138888889</v>
      </c>
      <c r="J146" s="19">
        <v>40658.728472222225</v>
      </c>
      <c r="K146" t="s">
        <v>161</v>
      </c>
      <c r="L146">
        <v>46.318748599999999</v>
      </c>
      <c r="M146">
        <v>-84.111879430000002</v>
      </c>
      <c r="S146" t="s">
        <v>162</v>
      </c>
      <c r="T146">
        <v>69</v>
      </c>
      <c r="U146">
        <v>109875</v>
      </c>
      <c r="AE146" t="s">
        <v>163</v>
      </c>
      <c r="AF146" t="s">
        <v>108</v>
      </c>
      <c r="AG146" t="s">
        <v>179</v>
      </c>
    </row>
    <row r="147" spans="1:45" x14ac:dyDescent="0.25">
      <c r="A147" t="s">
        <v>120</v>
      </c>
      <c r="C147" t="s">
        <v>178</v>
      </c>
      <c r="D147">
        <v>2</v>
      </c>
      <c r="I147" s="18">
        <v>40658.906944444447</v>
      </c>
      <c r="J147" s="19">
        <v>40658.740277777775</v>
      </c>
      <c r="K147" t="s">
        <v>161</v>
      </c>
      <c r="L147">
        <v>46.358164860000002</v>
      </c>
      <c r="M147">
        <v>-84.135103839999999</v>
      </c>
      <c r="S147" t="s">
        <v>162</v>
      </c>
      <c r="T147">
        <v>69</v>
      </c>
      <c r="U147">
        <v>113212</v>
      </c>
      <c r="AE147" t="s">
        <v>163</v>
      </c>
      <c r="AF147" t="s">
        <v>108</v>
      </c>
      <c r="AG147" t="s">
        <v>179</v>
      </c>
      <c r="AI147" s="39"/>
    </row>
    <row r="148" spans="1:45" x14ac:dyDescent="0.25">
      <c r="A148" t="s">
        <v>120</v>
      </c>
      <c r="C148" t="s">
        <v>177</v>
      </c>
      <c r="D148">
        <v>3</v>
      </c>
      <c r="I148" s="18">
        <v>40658.912499999999</v>
      </c>
      <c r="J148" s="19">
        <v>40658.745833333334</v>
      </c>
      <c r="K148" t="s">
        <v>161</v>
      </c>
      <c r="L148">
        <v>46.360304749999997</v>
      </c>
      <c r="M148">
        <v>-84.129109779999993</v>
      </c>
      <c r="S148" t="s">
        <v>162</v>
      </c>
      <c r="T148">
        <v>69</v>
      </c>
      <c r="U148">
        <v>109970</v>
      </c>
      <c r="AE148" t="s">
        <v>163</v>
      </c>
      <c r="AF148" t="s">
        <v>108</v>
      </c>
      <c r="AG148" t="s">
        <v>179</v>
      </c>
    </row>
    <row r="149" spans="1:45" x14ac:dyDescent="0.25">
      <c r="A149" t="s">
        <v>152</v>
      </c>
      <c r="C149" t="s">
        <v>176</v>
      </c>
      <c r="D149">
        <v>1</v>
      </c>
      <c r="I149" s="18">
        <v>40658.950694444444</v>
      </c>
      <c r="J149" s="19">
        <v>40658.78402777778</v>
      </c>
      <c r="K149" t="s">
        <v>161</v>
      </c>
      <c r="L149">
        <v>46.512733760000003</v>
      </c>
      <c r="M149">
        <v>-84.115914540000006</v>
      </c>
      <c r="S149" t="s">
        <v>162</v>
      </c>
      <c r="T149">
        <v>69</v>
      </c>
      <c r="U149">
        <v>113216</v>
      </c>
      <c r="AE149" t="s">
        <v>163</v>
      </c>
      <c r="AF149" t="s">
        <v>108</v>
      </c>
      <c r="AG149" t="s">
        <v>164</v>
      </c>
      <c r="AI149" s="39"/>
    </row>
    <row r="150" spans="1:45" x14ac:dyDescent="0.25">
      <c r="A150" t="s">
        <v>152</v>
      </c>
      <c r="C150" t="s">
        <v>183</v>
      </c>
      <c r="D150">
        <v>1</v>
      </c>
      <c r="I150" s="18">
        <v>40658.95416666667</v>
      </c>
      <c r="J150" s="19">
        <v>40658.787499999999</v>
      </c>
      <c r="K150" t="s">
        <v>161</v>
      </c>
      <c r="L150">
        <v>46.513942229999998</v>
      </c>
      <c r="M150">
        <v>-84.113974870000007</v>
      </c>
      <c r="S150" t="s">
        <v>162</v>
      </c>
      <c r="T150">
        <v>69</v>
      </c>
      <c r="U150">
        <v>113224</v>
      </c>
      <c r="AE150" t="s">
        <v>163</v>
      </c>
      <c r="AF150" t="s">
        <v>108</v>
      </c>
      <c r="AG150" t="s">
        <v>164</v>
      </c>
    </row>
    <row r="151" spans="1:45" x14ac:dyDescent="0.25">
      <c r="A151" t="s">
        <v>152</v>
      </c>
      <c r="C151" t="s">
        <v>178</v>
      </c>
      <c r="D151">
        <v>1</v>
      </c>
      <c r="I151" s="18">
        <v>40658.961111111108</v>
      </c>
      <c r="J151" s="19">
        <v>40658.794444444444</v>
      </c>
      <c r="K151" t="s">
        <v>161</v>
      </c>
      <c r="L151">
        <v>46.514517869999999</v>
      </c>
      <c r="M151">
        <v>-84.115852169999997</v>
      </c>
      <c r="S151" t="s">
        <v>162</v>
      </c>
      <c r="T151">
        <v>69</v>
      </c>
      <c r="U151">
        <v>113215</v>
      </c>
      <c r="AE151" t="s">
        <v>163</v>
      </c>
      <c r="AF151" t="s">
        <v>108</v>
      </c>
      <c r="AG151" t="s">
        <v>164</v>
      </c>
      <c r="AI151" s="39"/>
    </row>
    <row r="152" spans="1:45" x14ac:dyDescent="0.25">
      <c r="A152" t="s">
        <v>152</v>
      </c>
      <c r="C152" t="s">
        <v>177</v>
      </c>
      <c r="D152">
        <v>1</v>
      </c>
      <c r="I152" s="18">
        <v>40658.966666666667</v>
      </c>
      <c r="J152" s="19">
        <v>40658.800000000003</v>
      </c>
      <c r="K152" t="s">
        <v>161</v>
      </c>
      <c r="L152">
        <v>46.513627980000003</v>
      </c>
      <c r="M152">
        <v>-84.117640550000004</v>
      </c>
      <c r="S152" t="s">
        <v>162</v>
      </c>
      <c r="T152">
        <v>69</v>
      </c>
      <c r="U152">
        <v>113211</v>
      </c>
      <c r="AE152" t="s">
        <v>163</v>
      </c>
      <c r="AF152" t="s">
        <v>108</v>
      </c>
      <c r="AG152" t="s">
        <v>164</v>
      </c>
      <c r="AI152" s="39"/>
    </row>
    <row r="153" spans="1:45" x14ac:dyDescent="0.25">
      <c r="A153" t="s">
        <v>126</v>
      </c>
      <c r="C153" s="39" t="s">
        <v>178</v>
      </c>
      <c r="D153">
        <v>5</v>
      </c>
      <c r="I153" s="18">
        <v>40658.981944444444</v>
      </c>
      <c r="J153" s="19">
        <v>40658.81527777778</v>
      </c>
      <c r="K153" t="s">
        <v>161</v>
      </c>
      <c r="L153">
        <v>46.529087019999999</v>
      </c>
      <c r="M153">
        <v>-84.150706260000007</v>
      </c>
      <c r="S153" t="s">
        <v>162</v>
      </c>
      <c r="T153">
        <v>69</v>
      </c>
      <c r="U153">
        <v>109997</v>
      </c>
      <c r="AE153" t="s">
        <v>163</v>
      </c>
      <c r="AF153" t="s">
        <v>108</v>
      </c>
      <c r="AG153" t="s">
        <v>164</v>
      </c>
      <c r="AI153" s="39"/>
    </row>
    <row r="154" spans="1:45" x14ac:dyDescent="0.25">
      <c r="A154" t="s">
        <v>126</v>
      </c>
      <c r="C154" s="39" t="s">
        <v>177</v>
      </c>
      <c r="D154">
        <v>6</v>
      </c>
      <c r="I154" s="18">
        <v>40658.986111111109</v>
      </c>
      <c r="J154" s="19">
        <v>40658.819444444445</v>
      </c>
      <c r="K154" t="s">
        <v>161</v>
      </c>
      <c r="L154">
        <v>46.529775890000003</v>
      </c>
      <c r="M154">
        <v>-84.151589150000007</v>
      </c>
      <c r="S154" t="s">
        <v>162</v>
      </c>
      <c r="T154">
        <v>69</v>
      </c>
      <c r="U154">
        <v>109953</v>
      </c>
      <c r="AE154" t="s">
        <v>163</v>
      </c>
      <c r="AF154" t="s">
        <v>108</v>
      </c>
      <c r="AG154" t="s">
        <v>164</v>
      </c>
      <c r="AI154" s="39"/>
      <c r="AJ154" s="39"/>
      <c r="AK154" s="39"/>
      <c r="AL154" s="39"/>
      <c r="AM154" s="39"/>
      <c r="AR154" s="39"/>
      <c r="AS154" s="39"/>
    </row>
    <row r="155" spans="1:45" x14ac:dyDescent="0.25">
      <c r="A155" t="s">
        <v>126</v>
      </c>
      <c r="C155" s="39" t="s">
        <v>183</v>
      </c>
      <c r="D155">
        <v>3</v>
      </c>
      <c r="I155" s="18">
        <v>40658.990277777775</v>
      </c>
      <c r="J155" s="19">
        <v>40658.823611111111</v>
      </c>
      <c r="K155" t="s">
        <v>161</v>
      </c>
      <c r="L155">
        <v>46.529358999999999</v>
      </c>
      <c r="M155">
        <v>-84.152078660000001</v>
      </c>
      <c r="S155" t="s">
        <v>162</v>
      </c>
      <c r="T155">
        <v>69</v>
      </c>
      <c r="U155">
        <v>113225</v>
      </c>
      <c r="AE155" t="s">
        <v>163</v>
      </c>
      <c r="AF155" t="s">
        <v>108</v>
      </c>
      <c r="AG155" t="s">
        <v>164</v>
      </c>
      <c r="AI155" s="39"/>
    </row>
    <row r="156" spans="1:45" x14ac:dyDescent="0.25">
      <c r="A156" t="s">
        <v>126</v>
      </c>
      <c r="C156" s="39" t="s">
        <v>176</v>
      </c>
      <c r="D156">
        <v>3</v>
      </c>
      <c r="I156" s="18">
        <v>40658.993750000001</v>
      </c>
      <c r="J156" s="19">
        <v>40658.82708333333</v>
      </c>
      <c r="K156" t="s">
        <v>161</v>
      </c>
      <c r="L156">
        <v>46.528650300000002</v>
      </c>
      <c r="M156">
        <v>-84.151528580000004</v>
      </c>
      <c r="S156" t="s">
        <v>162</v>
      </c>
      <c r="T156">
        <v>69</v>
      </c>
      <c r="U156">
        <v>113219</v>
      </c>
      <c r="AE156" t="s">
        <v>163</v>
      </c>
      <c r="AF156" t="s">
        <v>108</v>
      </c>
      <c r="AG156" t="s">
        <v>164</v>
      </c>
      <c r="AI156" s="39"/>
      <c r="AJ156" s="39"/>
      <c r="AK156" s="39"/>
      <c r="AL156" s="39"/>
      <c r="AM156" s="39"/>
      <c r="AR156" s="39"/>
      <c r="AS156" s="39"/>
    </row>
    <row r="157" spans="1:45" x14ac:dyDescent="0.25">
      <c r="A157" t="s">
        <v>126</v>
      </c>
      <c r="C157" s="39" t="s">
        <v>182</v>
      </c>
      <c r="D157">
        <v>4</v>
      </c>
      <c r="I157" s="18">
        <v>40658.997916666667</v>
      </c>
      <c r="J157" s="19">
        <v>40658.831250000003</v>
      </c>
      <c r="K157" t="s">
        <v>161</v>
      </c>
      <c r="L157">
        <v>46.528194310000003</v>
      </c>
      <c r="M157">
        <v>-84.152561719999994</v>
      </c>
      <c r="S157" t="s">
        <v>162</v>
      </c>
      <c r="T157">
        <v>69</v>
      </c>
      <c r="U157">
        <v>113229</v>
      </c>
      <c r="AE157" t="s">
        <v>163</v>
      </c>
      <c r="AF157" t="s">
        <v>108</v>
      </c>
      <c r="AG157" t="s">
        <v>164</v>
      </c>
      <c r="AI157" s="39"/>
      <c r="AJ157" s="39"/>
      <c r="AK157" s="39"/>
      <c r="AL157" s="39"/>
      <c r="AM157" s="39"/>
      <c r="AR157" s="39"/>
      <c r="AS157" s="39"/>
    </row>
    <row r="158" spans="1:45" x14ac:dyDescent="0.25">
      <c r="A158" t="s">
        <v>126</v>
      </c>
      <c r="C158" t="s">
        <v>181</v>
      </c>
      <c r="D158">
        <v>4</v>
      </c>
      <c r="I158" s="18">
        <v>40659.001388888886</v>
      </c>
      <c r="J158" s="19">
        <v>40658.834722222222</v>
      </c>
      <c r="K158" t="s">
        <v>161</v>
      </c>
      <c r="L158">
        <v>46.528854299999999</v>
      </c>
      <c r="M158">
        <v>-84.153265849999997</v>
      </c>
      <c r="S158" t="s">
        <v>162</v>
      </c>
      <c r="T158">
        <v>69</v>
      </c>
      <c r="U158">
        <v>113220</v>
      </c>
      <c r="AE158" t="s">
        <v>163</v>
      </c>
      <c r="AF158" t="s">
        <v>108</v>
      </c>
      <c r="AG158" t="s">
        <v>164</v>
      </c>
    </row>
    <row r="159" spans="1:45" x14ac:dyDescent="0.25">
      <c r="A159" t="s">
        <v>118</v>
      </c>
      <c r="C159" t="s">
        <v>182</v>
      </c>
      <c r="D159">
        <v>3</v>
      </c>
      <c r="I159" s="18">
        <v>40659.56527777778</v>
      </c>
      <c r="J159" s="19">
        <v>40659.398611111108</v>
      </c>
      <c r="K159" t="s">
        <v>161</v>
      </c>
      <c r="L159">
        <v>46.49596657</v>
      </c>
      <c r="M159">
        <v>-84.273411949999996</v>
      </c>
      <c r="S159" t="s">
        <v>162</v>
      </c>
      <c r="T159">
        <v>69</v>
      </c>
      <c r="U159">
        <v>109897</v>
      </c>
      <c r="AE159" t="s">
        <v>163</v>
      </c>
      <c r="AF159" t="s">
        <v>108</v>
      </c>
      <c r="AG159" t="s">
        <v>164</v>
      </c>
    </row>
    <row r="160" spans="1:45" x14ac:dyDescent="0.25">
      <c r="A160" t="s">
        <v>118</v>
      </c>
      <c r="C160" t="s">
        <v>183</v>
      </c>
      <c r="D160">
        <v>4</v>
      </c>
      <c r="I160" s="18">
        <v>40659.578472222223</v>
      </c>
      <c r="J160" s="19">
        <v>40659.411805555559</v>
      </c>
      <c r="K160" t="s">
        <v>161</v>
      </c>
      <c r="L160">
        <v>46.494599639999997</v>
      </c>
      <c r="M160">
        <v>-84.2726088</v>
      </c>
      <c r="S160" t="s">
        <v>162</v>
      </c>
      <c r="T160">
        <v>69</v>
      </c>
      <c r="U160">
        <v>109914</v>
      </c>
      <c r="AE160" t="s">
        <v>163</v>
      </c>
      <c r="AF160" t="s">
        <v>108</v>
      </c>
      <c r="AG160" t="s">
        <v>164</v>
      </c>
      <c r="AI160" s="39"/>
    </row>
    <row r="161" spans="1:35" x14ac:dyDescent="0.25">
      <c r="A161" t="s">
        <v>118</v>
      </c>
      <c r="C161" t="s">
        <v>176</v>
      </c>
      <c r="D161">
        <v>2</v>
      </c>
      <c r="I161" s="18">
        <v>40659.588194444441</v>
      </c>
      <c r="J161" s="19">
        <v>40659.421527777777</v>
      </c>
      <c r="K161" t="s">
        <v>161</v>
      </c>
      <c r="L161">
        <v>46.495640569999999</v>
      </c>
      <c r="M161">
        <v>-84.270876119999997</v>
      </c>
      <c r="S161" t="s">
        <v>162</v>
      </c>
      <c r="T161">
        <v>69</v>
      </c>
      <c r="U161">
        <v>109934</v>
      </c>
      <c r="AE161" t="s">
        <v>163</v>
      </c>
      <c r="AF161" t="s">
        <v>108</v>
      </c>
      <c r="AG161" t="s">
        <v>164</v>
      </c>
      <c r="AI161" s="39"/>
    </row>
    <row r="162" spans="1:35" x14ac:dyDescent="0.25">
      <c r="A162" t="s">
        <v>118</v>
      </c>
      <c r="C162" t="s">
        <v>178</v>
      </c>
      <c r="D162">
        <v>4</v>
      </c>
      <c r="I162" s="18">
        <v>40659.595138888886</v>
      </c>
      <c r="J162" s="19">
        <v>40659.428472222222</v>
      </c>
      <c r="K162" t="s">
        <v>161</v>
      </c>
      <c r="L162">
        <v>46.495108170000002</v>
      </c>
      <c r="M162">
        <v>-84.268281189999996</v>
      </c>
      <c r="S162" t="s">
        <v>162</v>
      </c>
      <c r="T162">
        <v>69</v>
      </c>
      <c r="U162">
        <v>110004</v>
      </c>
      <c r="AE162" t="s">
        <v>163</v>
      </c>
      <c r="AF162" t="s">
        <v>108</v>
      </c>
      <c r="AG162" t="s">
        <v>164</v>
      </c>
    </row>
    <row r="163" spans="1:35" x14ac:dyDescent="0.25">
      <c r="A163" t="s">
        <v>111</v>
      </c>
      <c r="C163" t="s">
        <v>178</v>
      </c>
      <c r="D163">
        <v>2</v>
      </c>
      <c r="I163" s="18">
        <v>40659.629861111112</v>
      </c>
      <c r="J163" s="19">
        <v>40659.463194444441</v>
      </c>
      <c r="K163" t="s">
        <v>161</v>
      </c>
      <c r="L163">
        <v>46.535480229999997</v>
      </c>
      <c r="M163">
        <v>-84.2133453</v>
      </c>
      <c r="S163" t="s">
        <v>162</v>
      </c>
      <c r="T163">
        <v>69</v>
      </c>
      <c r="U163">
        <v>109879</v>
      </c>
      <c r="AE163" t="s">
        <v>163</v>
      </c>
      <c r="AF163" t="s">
        <v>108</v>
      </c>
      <c r="AG163" t="s">
        <v>179</v>
      </c>
    </row>
    <row r="164" spans="1:35" x14ac:dyDescent="0.25">
      <c r="A164" t="s">
        <v>142</v>
      </c>
      <c r="C164" t="s">
        <v>178</v>
      </c>
      <c r="D164">
        <v>3</v>
      </c>
      <c r="I164" s="18">
        <v>40659.643055555556</v>
      </c>
      <c r="J164" s="19">
        <v>40659.476388888892</v>
      </c>
      <c r="K164" t="s">
        <v>161</v>
      </c>
      <c r="L164">
        <v>46.525685350000003</v>
      </c>
      <c r="M164">
        <v>-84.172603030000005</v>
      </c>
      <c r="S164" t="s">
        <v>162</v>
      </c>
      <c r="T164">
        <v>69</v>
      </c>
      <c r="U164">
        <v>109889</v>
      </c>
      <c r="AE164" t="s">
        <v>163</v>
      </c>
      <c r="AF164" t="s">
        <v>108</v>
      </c>
      <c r="AG164" t="s">
        <v>179</v>
      </c>
      <c r="AI164" s="39"/>
    </row>
    <row r="165" spans="1:35" x14ac:dyDescent="0.25">
      <c r="A165" t="s">
        <v>142</v>
      </c>
      <c r="C165" t="s">
        <v>177</v>
      </c>
      <c r="D165">
        <v>2</v>
      </c>
      <c r="I165" s="18">
        <v>40659.65</v>
      </c>
      <c r="J165" s="19">
        <v>40659.48333333333</v>
      </c>
      <c r="K165" t="s">
        <v>161</v>
      </c>
      <c r="L165">
        <v>46.527942680000002</v>
      </c>
      <c r="M165">
        <v>-84.172444290000001</v>
      </c>
      <c r="S165" t="s">
        <v>162</v>
      </c>
      <c r="T165">
        <v>69</v>
      </c>
      <c r="U165">
        <v>109927</v>
      </c>
      <c r="AE165" t="s">
        <v>163</v>
      </c>
      <c r="AF165" t="s">
        <v>108</v>
      </c>
      <c r="AG165" t="s">
        <v>179</v>
      </c>
    </row>
    <row r="166" spans="1:35" x14ac:dyDescent="0.25">
      <c r="A166" t="s">
        <v>116</v>
      </c>
      <c r="C166" t="s">
        <v>178</v>
      </c>
      <c r="D166">
        <v>1</v>
      </c>
      <c r="I166" s="18">
        <v>40659.833333333336</v>
      </c>
      <c r="J166" s="19">
        <v>40659.666666666664</v>
      </c>
      <c r="K166" t="s">
        <v>161</v>
      </c>
      <c r="L166">
        <v>46.323869799999997</v>
      </c>
      <c r="M166">
        <v>-84.234881229999999</v>
      </c>
      <c r="S166" t="s">
        <v>162</v>
      </c>
      <c r="T166">
        <v>69</v>
      </c>
      <c r="U166">
        <v>109909</v>
      </c>
      <c r="AE166" t="s">
        <v>163</v>
      </c>
      <c r="AF166" t="s">
        <v>108</v>
      </c>
      <c r="AG166" t="s">
        <v>179</v>
      </c>
    </row>
    <row r="167" spans="1:35" x14ac:dyDescent="0.25">
      <c r="A167" t="s">
        <v>114</v>
      </c>
      <c r="C167" t="s">
        <v>177</v>
      </c>
      <c r="D167">
        <v>2</v>
      </c>
      <c r="I167" s="18">
        <v>40660.548611111109</v>
      </c>
      <c r="J167" s="19">
        <v>40660.381944444445</v>
      </c>
      <c r="K167" t="s">
        <v>161</v>
      </c>
      <c r="L167">
        <v>46.4731472</v>
      </c>
      <c r="M167">
        <v>-84.464747860000003</v>
      </c>
      <c r="S167" t="s">
        <v>162</v>
      </c>
      <c r="T167">
        <v>69</v>
      </c>
      <c r="U167">
        <v>109890</v>
      </c>
      <c r="AE167" t="s">
        <v>163</v>
      </c>
      <c r="AF167" t="s">
        <v>108</v>
      </c>
      <c r="AG167" t="s">
        <v>179</v>
      </c>
      <c r="AI167" s="39"/>
    </row>
    <row r="168" spans="1:35" x14ac:dyDescent="0.25">
      <c r="A168" t="s">
        <v>114</v>
      </c>
      <c r="C168" t="s">
        <v>178</v>
      </c>
      <c r="D168">
        <v>2</v>
      </c>
      <c r="I168" s="18">
        <v>40660.557638888888</v>
      </c>
      <c r="J168" s="19">
        <v>40660.390972222223</v>
      </c>
      <c r="K168" t="s">
        <v>161</v>
      </c>
      <c r="L168">
        <v>46.47056181</v>
      </c>
      <c r="M168">
        <v>-84.460095199999998</v>
      </c>
      <c r="S168" t="s">
        <v>162</v>
      </c>
      <c r="T168">
        <v>69</v>
      </c>
      <c r="U168">
        <v>109888</v>
      </c>
      <c r="AE168" t="s">
        <v>163</v>
      </c>
      <c r="AF168" t="s">
        <v>108</v>
      </c>
      <c r="AG168" t="s">
        <v>179</v>
      </c>
      <c r="AI168" s="39"/>
    </row>
    <row r="169" spans="1:35" x14ac:dyDescent="0.25">
      <c r="A169" t="s">
        <v>140</v>
      </c>
      <c r="C169" t="s">
        <v>178</v>
      </c>
      <c r="D169">
        <v>2</v>
      </c>
      <c r="I169" s="18">
        <v>40660.574305555558</v>
      </c>
      <c r="J169" s="19">
        <v>40660.407638888886</v>
      </c>
      <c r="K169" t="s">
        <v>161</v>
      </c>
      <c r="L169">
        <v>46.497665900000001</v>
      </c>
      <c r="M169">
        <v>-84.389454850000007</v>
      </c>
      <c r="S169" t="s">
        <v>162</v>
      </c>
      <c r="T169">
        <v>69</v>
      </c>
      <c r="U169">
        <v>109930</v>
      </c>
      <c r="AE169" t="s">
        <v>163</v>
      </c>
      <c r="AF169" t="s">
        <v>108</v>
      </c>
      <c r="AG169" t="s">
        <v>179</v>
      </c>
    </row>
    <row r="170" spans="1:35" x14ac:dyDescent="0.25">
      <c r="A170" t="s">
        <v>140</v>
      </c>
      <c r="C170" t="s">
        <v>177</v>
      </c>
      <c r="D170">
        <v>3</v>
      </c>
      <c r="I170" s="18">
        <v>40660.580555555556</v>
      </c>
      <c r="J170" s="19">
        <v>40660.413888888892</v>
      </c>
      <c r="K170" t="s">
        <v>161</v>
      </c>
      <c r="L170">
        <v>46.502060960000001</v>
      </c>
      <c r="M170">
        <v>-84.392325959999994</v>
      </c>
      <c r="S170" t="s">
        <v>162</v>
      </c>
      <c r="T170">
        <v>69</v>
      </c>
      <c r="U170">
        <v>109995</v>
      </c>
      <c r="AE170" t="s">
        <v>163</v>
      </c>
      <c r="AF170" t="s">
        <v>108</v>
      </c>
      <c r="AG170" t="s">
        <v>179</v>
      </c>
      <c r="AI170" s="39"/>
    </row>
    <row r="171" spans="1:35" x14ac:dyDescent="0.25">
      <c r="A171" t="s">
        <v>140</v>
      </c>
      <c r="C171" t="s">
        <v>176</v>
      </c>
      <c r="D171">
        <v>2</v>
      </c>
      <c r="I171" s="18">
        <v>40660.586805555555</v>
      </c>
      <c r="J171" s="19">
        <v>40660.420138888891</v>
      </c>
      <c r="K171" t="s">
        <v>161</v>
      </c>
      <c r="L171">
        <v>46.503668339999997</v>
      </c>
      <c r="M171">
        <v>-84.394175770000004</v>
      </c>
      <c r="S171" t="s">
        <v>162</v>
      </c>
      <c r="T171">
        <v>69</v>
      </c>
      <c r="U171">
        <v>109971</v>
      </c>
      <c r="AE171" t="s">
        <v>163</v>
      </c>
      <c r="AF171" t="s">
        <v>108</v>
      </c>
      <c r="AG171" t="s">
        <v>179</v>
      </c>
      <c r="AI171" s="39"/>
    </row>
    <row r="172" spans="1:35" x14ac:dyDescent="0.25">
      <c r="A172" t="s">
        <v>128</v>
      </c>
      <c r="C172" t="s">
        <v>183</v>
      </c>
      <c r="D172">
        <v>3</v>
      </c>
      <c r="I172" s="18">
        <v>40660.628472222219</v>
      </c>
      <c r="J172" s="19">
        <v>40660.461805555555</v>
      </c>
      <c r="K172" t="s">
        <v>161</v>
      </c>
      <c r="L172">
        <v>46.481427549999999</v>
      </c>
      <c r="M172">
        <v>-84.298310650000005</v>
      </c>
      <c r="S172" t="s">
        <v>162</v>
      </c>
      <c r="T172">
        <v>69</v>
      </c>
      <c r="U172">
        <v>109996</v>
      </c>
      <c r="AE172" t="s">
        <v>163</v>
      </c>
      <c r="AF172" t="s">
        <v>108</v>
      </c>
      <c r="AG172" t="s">
        <v>179</v>
      </c>
      <c r="AI172" s="39"/>
    </row>
    <row r="173" spans="1:35" x14ac:dyDescent="0.25">
      <c r="A173" t="s">
        <v>128</v>
      </c>
      <c r="C173" t="s">
        <v>177</v>
      </c>
      <c r="D173">
        <v>2</v>
      </c>
      <c r="I173" s="18">
        <v>40660.635416666664</v>
      </c>
      <c r="J173" s="19">
        <v>40660.46875</v>
      </c>
      <c r="K173" t="s">
        <v>161</v>
      </c>
      <c r="L173">
        <v>46.478025459999998</v>
      </c>
      <c r="M173">
        <v>-84.292743799999997</v>
      </c>
      <c r="S173" t="s">
        <v>162</v>
      </c>
      <c r="T173">
        <v>69</v>
      </c>
      <c r="U173">
        <v>113218</v>
      </c>
      <c r="AE173" t="s">
        <v>163</v>
      </c>
      <c r="AF173" t="s">
        <v>108</v>
      </c>
      <c r="AG173" t="s">
        <v>179</v>
      </c>
    </row>
    <row r="174" spans="1:35" x14ac:dyDescent="0.25">
      <c r="A174" t="s">
        <v>136</v>
      </c>
      <c r="C174" t="s">
        <v>178</v>
      </c>
      <c r="D174">
        <v>2</v>
      </c>
      <c r="I174" s="18">
        <v>40660.652083333334</v>
      </c>
      <c r="J174" s="19">
        <v>40660.48541666667</v>
      </c>
      <c r="K174" t="s">
        <v>161</v>
      </c>
      <c r="L174">
        <v>46.480112230000003</v>
      </c>
      <c r="M174">
        <v>-84.287794669999997</v>
      </c>
      <c r="S174" t="s">
        <v>162</v>
      </c>
      <c r="T174">
        <v>69</v>
      </c>
      <c r="U174">
        <v>109886</v>
      </c>
      <c r="AE174" t="s">
        <v>163</v>
      </c>
      <c r="AF174" t="s">
        <v>108</v>
      </c>
      <c r="AG174" t="s">
        <v>179</v>
      </c>
    </row>
    <row r="175" spans="1:35" x14ac:dyDescent="0.25">
      <c r="A175" t="s">
        <v>150</v>
      </c>
      <c r="C175" t="s">
        <v>178</v>
      </c>
      <c r="D175">
        <v>2</v>
      </c>
      <c r="I175" s="18">
        <v>40660.665972222225</v>
      </c>
      <c r="J175" s="19">
        <v>40660.499305555553</v>
      </c>
      <c r="K175" t="s">
        <v>161</v>
      </c>
      <c r="L175">
        <v>46.466817200000001</v>
      </c>
      <c r="M175">
        <v>-84.292651109999994</v>
      </c>
      <c r="S175" t="s">
        <v>162</v>
      </c>
      <c r="T175">
        <v>69</v>
      </c>
      <c r="U175">
        <v>113226</v>
      </c>
      <c r="AE175" t="s">
        <v>163</v>
      </c>
      <c r="AF175" t="s">
        <v>108</v>
      </c>
      <c r="AG175" t="s">
        <v>179</v>
      </c>
      <c r="AI175" s="39"/>
    </row>
    <row r="176" spans="1:35" x14ac:dyDescent="0.25">
      <c r="A176" t="s">
        <v>150</v>
      </c>
      <c r="C176" t="s">
        <v>177</v>
      </c>
      <c r="D176">
        <v>2</v>
      </c>
      <c r="I176" s="18">
        <v>40660.677083333336</v>
      </c>
      <c r="J176" s="19">
        <v>40660.510416666664</v>
      </c>
      <c r="K176" t="s">
        <v>161</v>
      </c>
      <c r="L176">
        <v>46.476212609999997</v>
      </c>
      <c r="M176">
        <v>-84.302291319999995</v>
      </c>
      <c r="S176" t="s">
        <v>162</v>
      </c>
      <c r="T176">
        <v>69</v>
      </c>
      <c r="U176">
        <v>110011</v>
      </c>
      <c r="AE176" t="s">
        <v>163</v>
      </c>
      <c r="AF176" t="s">
        <v>108</v>
      </c>
      <c r="AG176" t="s">
        <v>179</v>
      </c>
    </row>
    <row r="177" spans="1:45" x14ac:dyDescent="0.25">
      <c r="A177" t="s">
        <v>124</v>
      </c>
      <c r="C177" t="s">
        <v>176</v>
      </c>
      <c r="D177">
        <v>2</v>
      </c>
      <c r="I177" s="18">
        <v>40665.638194444444</v>
      </c>
      <c r="J177" s="19">
        <v>40665.47152777778</v>
      </c>
      <c r="K177" t="s">
        <v>161</v>
      </c>
      <c r="L177">
        <v>46.49855719</v>
      </c>
      <c r="M177">
        <v>-84.334162710000001</v>
      </c>
      <c r="S177" t="s">
        <v>162</v>
      </c>
      <c r="T177">
        <v>69</v>
      </c>
      <c r="U177">
        <v>113233</v>
      </c>
      <c r="AE177" t="s">
        <v>163</v>
      </c>
      <c r="AF177" t="s">
        <v>108</v>
      </c>
      <c r="AG177" t="s">
        <v>164</v>
      </c>
      <c r="AI177" s="39"/>
    </row>
    <row r="178" spans="1:45" x14ac:dyDescent="0.25">
      <c r="A178" t="s">
        <v>124</v>
      </c>
      <c r="C178" t="s">
        <v>178</v>
      </c>
      <c r="D178">
        <v>2</v>
      </c>
      <c r="I178" s="18">
        <v>40665.654861111114</v>
      </c>
      <c r="J178" s="19">
        <v>40665.488194444442</v>
      </c>
      <c r="K178" t="s">
        <v>161</v>
      </c>
      <c r="L178">
        <v>46.498591500000003</v>
      </c>
      <c r="M178">
        <v>-84.3334385</v>
      </c>
      <c r="S178" t="s">
        <v>162</v>
      </c>
      <c r="T178">
        <v>69</v>
      </c>
      <c r="U178">
        <v>109960</v>
      </c>
      <c r="AE178" t="s">
        <v>163</v>
      </c>
      <c r="AF178" t="s">
        <v>108</v>
      </c>
      <c r="AG178" t="s">
        <v>164</v>
      </c>
      <c r="AI178" s="39"/>
    </row>
    <row r="179" spans="1:45" x14ac:dyDescent="0.25">
      <c r="A179" t="s">
        <v>124</v>
      </c>
      <c r="C179" t="s">
        <v>183</v>
      </c>
      <c r="D179">
        <v>1</v>
      </c>
      <c r="I179" s="18">
        <v>40665.660416666666</v>
      </c>
      <c r="J179" s="19">
        <v>40665.493750000001</v>
      </c>
      <c r="K179" t="s">
        <v>161</v>
      </c>
      <c r="L179">
        <v>46.498318159999997</v>
      </c>
      <c r="M179">
        <v>-84.333597999999995</v>
      </c>
      <c r="S179" t="s">
        <v>162</v>
      </c>
      <c r="T179">
        <v>69</v>
      </c>
      <c r="U179">
        <v>109902</v>
      </c>
      <c r="AE179" t="s">
        <v>163</v>
      </c>
      <c r="AF179" t="s">
        <v>108</v>
      </c>
      <c r="AG179" t="s">
        <v>164</v>
      </c>
      <c r="AI179" s="39"/>
    </row>
    <row r="180" spans="1:45" x14ac:dyDescent="0.25">
      <c r="A180" t="s">
        <v>124</v>
      </c>
      <c r="C180" t="s">
        <v>177</v>
      </c>
      <c r="D180">
        <v>3</v>
      </c>
      <c r="I180" s="18">
        <v>40665.668055555558</v>
      </c>
      <c r="J180" s="19">
        <v>40665.501388888886</v>
      </c>
      <c r="K180" t="s">
        <v>161</v>
      </c>
      <c r="L180">
        <v>46.498794609999997</v>
      </c>
      <c r="M180">
        <v>-84.333895130000002</v>
      </c>
      <c r="S180" t="s">
        <v>162</v>
      </c>
      <c r="T180">
        <v>69</v>
      </c>
      <c r="U180">
        <v>109975</v>
      </c>
      <c r="AE180" t="s">
        <v>163</v>
      </c>
      <c r="AF180" t="s">
        <v>108</v>
      </c>
      <c r="AG180" t="s">
        <v>164</v>
      </c>
      <c r="AI180" s="39"/>
    </row>
    <row r="181" spans="1:45" x14ac:dyDescent="0.25">
      <c r="A181" t="s">
        <v>154</v>
      </c>
      <c r="C181" t="s">
        <v>183</v>
      </c>
      <c r="D181">
        <v>3</v>
      </c>
      <c r="I181" s="18">
        <v>40665.672222222223</v>
      </c>
      <c r="J181" s="19">
        <v>40665.505555555559</v>
      </c>
      <c r="K181" t="s">
        <v>161</v>
      </c>
      <c r="L181">
        <v>46.500498620000002</v>
      </c>
      <c r="M181">
        <v>-84.337549929999994</v>
      </c>
      <c r="S181" t="s">
        <v>162</v>
      </c>
      <c r="T181">
        <v>69</v>
      </c>
      <c r="U181">
        <v>109877</v>
      </c>
      <c r="AE181" t="s">
        <v>163</v>
      </c>
      <c r="AF181" t="s">
        <v>108</v>
      </c>
      <c r="AG181" t="s">
        <v>179</v>
      </c>
      <c r="AI181" s="39"/>
    </row>
    <row r="182" spans="1:45" x14ac:dyDescent="0.25">
      <c r="A182" t="s">
        <v>154</v>
      </c>
      <c r="C182" s="39" t="s">
        <v>160</v>
      </c>
      <c r="D182">
        <v>4</v>
      </c>
      <c r="I182" s="18">
        <v>40665.689583333333</v>
      </c>
      <c r="J182" s="19">
        <v>40665.522916666669</v>
      </c>
      <c r="K182" t="s">
        <v>161</v>
      </c>
      <c r="L182">
        <v>46.51284879</v>
      </c>
      <c r="M182">
        <v>-84.344103820000001</v>
      </c>
      <c r="S182" t="s">
        <v>162</v>
      </c>
      <c r="T182">
        <v>69</v>
      </c>
      <c r="U182">
        <v>106326</v>
      </c>
      <c r="AE182" t="s">
        <v>163</v>
      </c>
      <c r="AF182" t="s">
        <v>108</v>
      </c>
      <c r="AG182" t="s">
        <v>164</v>
      </c>
      <c r="AI182" s="39"/>
      <c r="AJ182" s="39"/>
      <c r="AK182" s="39"/>
      <c r="AL182" s="39"/>
      <c r="AM182" s="39"/>
      <c r="AR182" s="39"/>
      <c r="AS182" s="39"/>
    </row>
    <row r="183" spans="1:45" x14ac:dyDescent="0.25">
      <c r="A183" t="s">
        <v>154</v>
      </c>
      <c r="C183" s="39" t="s">
        <v>165</v>
      </c>
      <c r="D183">
        <v>3</v>
      </c>
      <c r="I183" s="18">
        <v>40665.72152777778</v>
      </c>
      <c r="J183" s="19">
        <v>40665.554861111108</v>
      </c>
      <c r="K183" t="s">
        <v>161</v>
      </c>
      <c r="L183">
        <v>46.51307474</v>
      </c>
      <c r="M183">
        <v>-84.341931340000002</v>
      </c>
      <c r="S183" t="s">
        <v>162</v>
      </c>
      <c r="T183">
        <v>69</v>
      </c>
      <c r="U183">
        <v>109883</v>
      </c>
      <c r="AE183" t="s">
        <v>163</v>
      </c>
      <c r="AF183" t="s">
        <v>108</v>
      </c>
      <c r="AG183" t="s">
        <v>164</v>
      </c>
      <c r="AI183" s="39"/>
      <c r="AJ183" s="39"/>
      <c r="AK183" s="39"/>
      <c r="AL183" s="39"/>
      <c r="AM183" s="39"/>
      <c r="AR183" s="39"/>
      <c r="AS183" s="39"/>
    </row>
    <row r="184" spans="1:45" x14ac:dyDescent="0.25">
      <c r="A184" t="s">
        <v>154</v>
      </c>
      <c r="C184" t="s">
        <v>166</v>
      </c>
      <c r="D184">
        <v>4</v>
      </c>
      <c r="I184" s="18">
        <v>40665.734027777777</v>
      </c>
      <c r="J184" s="19">
        <v>40665.567361111112</v>
      </c>
      <c r="K184" t="s">
        <v>161</v>
      </c>
      <c r="L184">
        <v>46.511145800000001</v>
      </c>
      <c r="M184">
        <v>-84.342830169999999</v>
      </c>
      <c r="S184" t="s">
        <v>162</v>
      </c>
      <c r="T184">
        <v>69</v>
      </c>
      <c r="U184">
        <v>109990</v>
      </c>
      <c r="AE184" t="s">
        <v>163</v>
      </c>
      <c r="AF184" t="s">
        <v>108</v>
      </c>
      <c r="AG184" t="s">
        <v>164</v>
      </c>
      <c r="AI184" s="39"/>
    </row>
    <row r="185" spans="1:45" x14ac:dyDescent="0.25">
      <c r="A185" t="s">
        <v>154</v>
      </c>
      <c r="C185" s="39" t="s">
        <v>175</v>
      </c>
      <c r="D185">
        <v>2</v>
      </c>
      <c r="I185" s="18">
        <v>40665.738194444442</v>
      </c>
      <c r="J185" s="19">
        <v>40665.571527777778</v>
      </c>
      <c r="K185" t="s">
        <v>161</v>
      </c>
      <c r="L185">
        <v>46.511629990000003</v>
      </c>
      <c r="M185">
        <v>-84.340456979999999</v>
      </c>
      <c r="S185" t="s">
        <v>162</v>
      </c>
      <c r="T185">
        <v>69</v>
      </c>
      <c r="U185">
        <v>109921</v>
      </c>
      <c r="AE185" t="s">
        <v>163</v>
      </c>
      <c r="AF185" t="s">
        <v>108</v>
      </c>
      <c r="AG185" t="s">
        <v>164</v>
      </c>
      <c r="AI185" s="39"/>
      <c r="AJ185" s="39"/>
      <c r="AK185" s="39"/>
      <c r="AL185" s="39"/>
      <c r="AM185" s="39"/>
      <c r="AR185" s="39"/>
      <c r="AS185" s="39"/>
    </row>
    <row r="186" spans="1:45" x14ac:dyDescent="0.25">
      <c r="A186" t="s">
        <v>154</v>
      </c>
      <c r="C186" s="39" t="s">
        <v>178</v>
      </c>
      <c r="D186">
        <v>2</v>
      </c>
      <c r="I186" s="18">
        <v>40665.744444444441</v>
      </c>
      <c r="J186" s="19">
        <v>40665.577777777777</v>
      </c>
      <c r="K186" t="s">
        <v>161</v>
      </c>
      <c r="L186">
        <v>46.510202700000001</v>
      </c>
      <c r="M186">
        <v>-84.341059630000004</v>
      </c>
      <c r="S186" t="s">
        <v>162</v>
      </c>
      <c r="T186">
        <v>69</v>
      </c>
      <c r="U186">
        <v>109983</v>
      </c>
      <c r="AE186" t="s">
        <v>163</v>
      </c>
      <c r="AF186" t="s">
        <v>108</v>
      </c>
      <c r="AG186" t="s">
        <v>164</v>
      </c>
      <c r="AI186" s="39"/>
      <c r="AJ186" s="39"/>
      <c r="AK186" s="39"/>
      <c r="AL186" s="39"/>
      <c r="AM186" s="39"/>
      <c r="AR186" s="39"/>
      <c r="AS186" s="39"/>
    </row>
    <row r="187" spans="1:45" x14ac:dyDescent="0.25">
      <c r="A187" t="s">
        <v>154</v>
      </c>
      <c r="C187" s="39" t="s">
        <v>167</v>
      </c>
      <c r="D187">
        <v>2</v>
      </c>
      <c r="I187" s="18">
        <v>40665.75</v>
      </c>
      <c r="J187" s="19">
        <v>40665.583333333336</v>
      </c>
      <c r="K187" t="s">
        <v>161</v>
      </c>
      <c r="L187">
        <v>46.5096518</v>
      </c>
      <c r="M187">
        <v>-84.339303340000001</v>
      </c>
      <c r="S187" t="s">
        <v>162</v>
      </c>
      <c r="T187">
        <v>69</v>
      </c>
      <c r="U187">
        <v>109945</v>
      </c>
      <c r="AE187" t="s">
        <v>163</v>
      </c>
      <c r="AF187" t="s">
        <v>108</v>
      </c>
      <c r="AG187" t="s">
        <v>164</v>
      </c>
      <c r="AI187" s="39"/>
      <c r="AJ187" s="39"/>
      <c r="AK187" s="39"/>
      <c r="AL187" s="39"/>
      <c r="AM187" s="39"/>
      <c r="AR187" s="39"/>
      <c r="AS187" s="39"/>
    </row>
    <row r="188" spans="1:45" x14ac:dyDescent="0.25">
      <c r="A188" t="s">
        <v>154</v>
      </c>
      <c r="C188" s="39" t="s">
        <v>168</v>
      </c>
      <c r="D188">
        <v>3</v>
      </c>
      <c r="I188" s="18">
        <v>40665.759027777778</v>
      </c>
      <c r="J188" s="19">
        <v>40665.592361111114</v>
      </c>
      <c r="K188" t="s">
        <v>161</v>
      </c>
      <c r="L188">
        <v>46.509538749999997</v>
      </c>
      <c r="M188">
        <v>-84.342761190000004</v>
      </c>
      <c r="S188" t="s">
        <v>162</v>
      </c>
      <c r="T188">
        <v>69</v>
      </c>
      <c r="U188">
        <v>109942</v>
      </c>
      <c r="AE188" t="s">
        <v>163</v>
      </c>
      <c r="AF188" t="s">
        <v>108</v>
      </c>
      <c r="AG188" t="s">
        <v>164</v>
      </c>
      <c r="AI188" s="39"/>
      <c r="AJ188" s="39"/>
      <c r="AK188" s="39"/>
      <c r="AL188" s="39"/>
      <c r="AM188" s="39"/>
      <c r="AR188" s="39"/>
      <c r="AS188" s="39"/>
    </row>
    <row r="189" spans="1:45" x14ac:dyDescent="0.25">
      <c r="A189" t="s">
        <v>154</v>
      </c>
      <c r="C189" t="s">
        <v>177</v>
      </c>
      <c r="D189">
        <v>2</v>
      </c>
      <c r="I189" s="18">
        <v>40665.76458333333</v>
      </c>
      <c r="J189" s="19">
        <v>40665.597916666666</v>
      </c>
      <c r="K189" t="s">
        <v>161</v>
      </c>
      <c r="L189">
        <v>46.508932719999997</v>
      </c>
      <c r="M189">
        <v>-84.341586509999999</v>
      </c>
      <c r="S189" t="s">
        <v>162</v>
      </c>
      <c r="T189">
        <v>69</v>
      </c>
      <c r="U189">
        <v>109892</v>
      </c>
      <c r="AE189" t="s">
        <v>163</v>
      </c>
      <c r="AF189" t="s">
        <v>108</v>
      </c>
      <c r="AG189" t="s">
        <v>164</v>
      </c>
      <c r="AI189" s="39"/>
    </row>
    <row r="190" spans="1:45" x14ac:dyDescent="0.25">
      <c r="A190" t="s">
        <v>154</v>
      </c>
      <c r="C190" t="s">
        <v>170</v>
      </c>
      <c r="D190">
        <v>2</v>
      </c>
      <c r="I190" s="18">
        <v>40665.769444444442</v>
      </c>
      <c r="J190" s="19">
        <v>40665.602777777778</v>
      </c>
      <c r="K190" t="s">
        <v>161</v>
      </c>
      <c r="L190">
        <v>46.50850586</v>
      </c>
      <c r="M190">
        <v>-84.343197829999994</v>
      </c>
      <c r="S190" t="s">
        <v>162</v>
      </c>
      <c r="T190">
        <v>69</v>
      </c>
      <c r="U190">
        <v>109911</v>
      </c>
      <c r="AE190" t="s">
        <v>163</v>
      </c>
      <c r="AF190" t="s">
        <v>108</v>
      </c>
      <c r="AG190" t="s">
        <v>164</v>
      </c>
      <c r="AI190" s="39"/>
    </row>
    <row r="191" spans="1:45" x14ac:dyDescent="0.25">
      <c r="A191" t="s">
        <v>154</v>
      </c>
      <c r="C191" t="s">
        <v>171</v>
      </c>
      <c r="D191">
        <v>2</v>
      </c>
      <c r="I191" s="18">
        <v>40665.776388888888</v>
      </c>
      <c r="J191" s="19">
        <v>40665.609722222223</v>
      </c>
      <c r="K191" t="s">
        <v>161</v>
      </c>
      <c r="L191">
        <v>46.50816184</v>
      </c>
      <c r="M191">
        <v>-84.345283670000001</v>
      </c>
      <c r="S191" t="s">
        <v>162</v>
      </c>
      <c r="T191">
        <v>69</v>
      </c>
      <c r="U191">
        <v>109514</v>
      </c>
      <c r="AE191" t="s">
        <v>163</v>
      </c>
      <c r="AF191" t="s">
        <v>108</v>
      </c>
      <c r="AG191" t="s">
        <v>164</v>
      </c>
    </row>
    <row r="192" spans="1:45" x14ac:dyDescent="0.25">
      <c r="A192" t="s">
        <v>154</v>
      </c>
      <c r="C192" t="s">
        <v>169</v>
      </c>
      <c r="D192">
        <v>2</v>
      </c>
      <c r="I192" s="18">
        <v>40665.783333333333</v>
      </c>
      <c r="J192" s="19">
        <v>40665.616666666669</v>
      </c>
      <c r="K192" t="s">
        <v>161</v>
      </c>
      <c r="L192">
        <v>46.507802130000002</v>
      </c>
      <c r="M192">
        <v>-84.341886340000002</v>
      </c>
      <c r="S192" t="s">
        <v>162</v>
      </c>
      <c r="T192">
        <v>69</v>
      </c>
      <c r="U192">
        <v>109420</v>
      </c>
      <c r="AE192" t="s">
        <v>163</v>
      </c>
      <c r="AF192" t="s">
        <v>108</v>
      </c>
      <c r="AG192" t="s">
        <v>164</v>
      </c>
      <c r="AI192" s="39"/>
    </row>
    <row r="193" spans="1:52" x14ac:dyDescent="0.25">
      <c r="A193" t="s">
        <v>154</v>
      </c>
      <c r="C193" t="s">
        <v>185</v>
      </c>
      <c r="D193">
        <v>1</v>
      </c>
      <c r="I193" s="18">
        <v>40665.789583333331</v>
      </c>
      <c r="J193" s="19">
        <v>40665.622916666667</v>
      </c>
      <c r="K193" t="s">
        <v>161</v>
      </c>
      <c r="L193">
        <v>46.507301910000002</v>
      </c>
      <c r="M193">
        <v>-84.339477520000003</v>
      </c>
      <c r="S193" t="s">
        <v>162</v>
      </c>
      <c r="T193">
        <v>69</v>
      </c>
      <c r="U193">
        <v>109901</v>
      </c>
      <c r="AE193" t="s">
        <v>163</v>
      </c>
      <c r="AF193" t="s">
        <v>108</v>
      </c>
      <c r="AG193" t="s">
        <v>164</v>
      </c>
      <c r="AI193" s="39"/>
    </row>
    <row r="194" spans="1:52" x14ac:dyDescent="0.25">
      <c r="A194" t="str">
        <f>LEFT(AM194,3)</f>
        <v>ECH</v>
      </c>
      <c r="C194" s="41" t="str">
        <f>RIGHT(AM194,3)</f>
        <v>001</v>
      </c>
      <c r="D194">
        <v>2</v>
      </c>
      <c r="I194" s="18">
        <v>40667.510416666664</v>
      </c>
      <c r="J194" s="19">
        <f>AS194</f>
        <v>40667.34375</v>
      </c>
      <c r="K194" t="s">
        <v>161</v>
      </c>
      <c r="L194">
        <f>AT194</f>
        <v>46.517677999999997</v>
      </c>
      <c r="M194">
        <f>AU194</f>
        <v>-84.021989000000005</v>
      </c>
      <c r="N194">
        <f>AV194*0.3048</f>
        <v>0.9144000000000001</v>
      </c>
      <c r="O194">
        <v>0.3</v>
      </c>
      <c r="P194">
        <f>N194-O194</f>
        <v>0.61440000000000006</v>
      </c>
      <c r="S194" t="s">
        <v>162</v>
      </c>
      <c r="T194">
        <v>69</v>
      </c>
      <c r="U194">
        <f>AO194</f>
        <v>109968</v>
      </c>
      <c r="AE194" t="s">
        <v>163</v>
      </c>
      <c r="AF194" t="s">
        <v>108</v>
      </c>
      <c r="AG194" t="s">
        <v>179</v>
      </c>
      <c r="AH194" s="21" t="s">
        <v>432</v>
      </c>
      <c r="AI194" s="32">
        <v>40667</v>
      </c>
      <c r="AJ194" t="s">
        <v>235</v>
      </c>
      <c r="AK194" t="s">
        <v>235</v>
      </c>
      <c r="AL194" t="s">
        <v>361</v>
      </c>
      <c r="AM194" t="s">
        <v>270</v>
      </c>
      <c r="AN194" t="s">
        <v>380</v>
      </c>
      <c r="AO194">
        <v>109968</v>
      </c>
      <c r="AP194" t="s">
        <v>235</v>
      </c>
      <c r="AQ194" t="s">
        <v>389</v>
      </c>
      <c r="AR194" s="33">
        <v>0.34375</v>
      </c>
      <c r="AS194" s="40">
        <f>AI194+AR194</f>
        <v>40667.34375</v>
      </c>
      <c r="AT194" s="35">
        <v>46.517677999999997</v>
      </c>
      <c r="AU194" s="35">
        <v>-84.021989000000005</v>
      </c>
      <c r="AV194">
        <v>3</v>
      </c>
      <c r="AW194" t="s">
        <v>390</v>
      </c>
      <c r="AX194" t="s">
        <v>235</v>
      </c>
      <c r="AY194" t="s">
        <v>235</v>
      </c>
      <c r="AZ194" t="s">
        <v>235</v>
      </c>
    </row>
    <row r="195" spans="1:52" x14ac:dyDescent="0.25">
      <c r="A195" t="str">
        <f>LEFT(AM195,3)</f>
        <v>ECH</v>
      </c>
      <c r="C195" s="41" t="str">
        <f>RIGHT(AM195,3)</f>
        <v>002</v>
      </c>
      <c r="D195">
        <v>2</v>
      </c>
      <c r="I195" s="18">
        <v>40667.517361111109</v>
      </c>
      <c r="J195" s="19">
        <f>AS195</f>
        <v>40667.350694444445</v>
      </c>
      <c r="K195" t="s">
        <v>161</v>
      </c>
      <c r="L195">
        <f>AT195</f>
        <v>46.520367999999998</v>
      </c>
      <c r="M195">
        <f>AU195</f>
        <v>-84.019886</v>
      </c>
      <c r="N195">
        <f>AV195*0.3048</f>
        <v>0.9144000000000001</v>
      </c>
      <c r="O195">
        <v>0.3</v>
      </c>
      <c r="P195">
        <f>N195-O195</f>
        <v>0.61440000000000006</v>
      </c>
      <c r="S195" t="s">
        <v>162</v>
      </c>
      <c r="T195">
        <v>69</v>
      </c>
      <c r="U195">
        <f>AO195</f>
        <v>109905</v>
      </c>
      <c r="AE195" t="s">
        <v>163</v>
      </c>
      <c r="AF195" t="s">
        <v>108</v>
      </c>
      <c r="AG195" t="s">
        <v>179</v>
      </c>
      <c r="AH195" s="21" t="s">
        <v>432</v>
      </c>
      <c r="AI195" s="32">
        <v>40667</v>
      </c>
      <c r="AJ195" t="s">
        <v>235</v>
      </c>
      <c r="AK195" t="s">
        <v>235</v>
      </c>
      <c r="AL195" t="s">
        <v>361</v>
      </c>
      <c r="AM195" t="s">
        <v>269</v>
      </c>
      <c r="AN195" t="s">
        <v>380</v>
      </c>
      <c r="AO195">
        <v>109905</v>
      </c>
      <c r="AP195" t="s">
        <v>235</v>
      </c>
      <c r="AQ195" t="s">
        <v>389</v>
      </c>
      <c r="AR195" s="33">
        <v>0.35069444444444442</v>
      </c>
      <c r="AS195" s="40">
        <f>AI195+AR195</f>
        <v>40667.350694444445</v>
      </c>
      <c r="AT195" s="35">
        <v>46.520367999999998</v>
      </c>
      <c r="AU195" s="35">
        <v>-84.019886</v>
      </c>
      <c r="AV195">
        <v>3</v>
      </c>
      <c r="AW195" t="s">
        <v>390</v>
      </c>
      <c r="AX195" t="s">
        <v>235</v>
      </c>
      <c r="AY195" t="s">
        <v>235</v>
      </c>
      <c r="AZ195" t="s">
        <v>235</v>
      </c>
    </row>
    <row r="196" spans="1:52" x14ac:dyDescent="0.25">
      <c r="A196" t="s">
        <v>154</v>
      </c>
      <c r="C196" t="s">
        <v>181</v>
      </c>
      <c r="D196">
        <v>3</v>
      </c>
      <c r="I196" s="18">
        <v>40674.545138888891</v>
      </c>
      <c r="J196" s="19">
        <v>40674.378472222219</v>
      </c>
      <c r="K196" t="s">
        <v>161</v>
      </c>
      <c r="L196">
        <v>46.505532170000002</v>
      </c>
      <c r="M196">
        <v>-84.339947390000006</v>
      </c>
      <c r="S196" t="s">
        <v>162</v>
      </c>
      <c r="T196">
        <v>69</v>
      </c>
      <c r="U196">
        <v>109880</v>
      </c>
      <c r="AE196" t="s">
        <v>163</v>
      </c>
      <c r="AF196" t="s">
        <v>108</v>
      </c>
      <c r="AG196" t="s">
        <v>164</v>
      </c>
    </row>
    <row r="197" spans="1:52" x14ac:dyDescent="0.25">
      <c r="A197" t="s">
        <v>154</v>
      </c>
      <c r="C197" t="s">
        <v>176</v>
      </c>
      <c r="D197">
        <v>2</v>
      </c>
      <c r="I197" s="18">
        <v>40674.561111111114</v>
      </c>
      <c r="J197" s="19">
        <v>40674.394444444442</v>
      </c>
      <c r="K197" t="s">
        <v>161</v>
      </c>
      <c r="L197">
        <v>46.506919750000002</v>
      </c>
      <c r="M197">
        <v>-84.341659699999994</v>
      </c>
      <c r="S197" t="s">
        <v>162</v>
      </c>
      <c r="T197">
        <v>69</v>
      </c>
      <c r="U197">
        <v>109984</v>
      </c>
      <c r="AE197" t="s">
        <v>163</v>
      </c>
      <c r="AF197" t="s">
        <v>108</v>
      </c>
      <c r="AG197" t="s">
        <v>164</v>
      </c>
      <c r="AI197" s="39"/>
    </row>
    <row r="198" spans="1:52" x14ac:dyDescent="0.25">
      <c r="A198" t="s">
        <v>154</v>
      </c>
      <c r="C198" t="s">
        <v>174</v>
      </c>
      <c r="D198">
        <v>2</v>
      </c>
      <c r="I198" s="18">
        <v>40674.575694444444</v>
      </c>
      <c r="J198" s="19">
        <v>40674.40902777778</v>
      </c>
      <c r="K198" t="s">
        <v>161</v>
      </c>
      <c r="L198">
        <v>46.506192820000003</v>
      </c>
      <c r="M198">
        <v>-84.342086850000001</v>
      </c>
      <c r="S198" t="s">
        <v>162</v>
      </c>
      <c r="T198">
        <v>69</v>
      </c>
      <c r="U198">
        <v>109878</v>
      </c>
      <c r="AE198" t="s">
        <v>163</v>
      </c>
      <c r="AF198" t="s">
        <v>108</v>
      </c>
      <c r="AG198" t="s">
        <v>164</v>
      </c>
    </row>
    <row r="199" spans="1:52" x14ac:dyDescent="0.25">
      <c r="A199" t="s">
        <v>154</v>
      </c>
      <c r="C199" t="s">
        <v>173</v>
      </c>
      <c r="D199">
        <v>2</v>
      </c>
      <c r="I199" s="18">
        <v>40674.6875</v>
      </c>
      <c r="J199" s="19">
        <v>40674.520833333336</v>
      </c>
      <c r="K199" t="s">
        <v>161</v>
      </c>
      <c r="L199">
        <v>46.505881180000003</v>
      </c>
      <c r="M199">
        <v>-84.344700489999994</v>
      </c>
      <c r="S199" t="s">
        <v>162</v>
      </c>
      <c r="T199">
        <v>69</v>
      </c>
      <c r="U199">
        <v>109957</v>
      </c>
      <c r="AE199" t="s">
        <v>163</v>
      </c>
      <c r="AF199" t="s">
        <v>108</v>
      </c>
      <c r="AG199" t="s">
        <v>164</v>
      </c>
      <c r="AI199" s="39"/>
    </row>
    <row r="200" spans="1:52" x14ac:dyDescent="0.25">
      <c r="A200" t="s">
        <v>154</v>
      </c>
      <c r="C200" t="s">
        <v>172</v>
      </c>
      <c r="D200">
        <v>3</v>
      </c>
      <c r="I200" s="18">
        <v>40674.697222222225</v>
      </c>
      <c r="J200" s="19">
        <v>40674.530555555553</v>
      </c>
      <c r="K200" t="s">
        <v>161</v>
      </c>
      <c r="L200">
        <v>46.506951489999999</v>
      </c>
      <c r="M200">
        <v>-84.343770899999996</v>
      </c>
      <c r="S200" t="s">
        <v>162</v>
      </c>
      <c r="T200">
        <v>69</v>
      </c>
      <c r="U200">
        <v>110007</v>
      </c>
      <c r="AE200" t="s">
        <v>163</v>
      </c>
      <c r="AF200" t="s">
        <v>108</v>
      </c>
      <c r="AG200" t="s">
        <v>164</v>
      </c>
      <c r="AI200" s="39"/>
    </row>
    <row r="201" spans="1:52" x14ac:dyDescent="0.25">
      <c r="A201" t="s">
        <v>118</v>
      </c>
      <c r="C201" t="s">
        <v>177</v>
      </c>
      <c r="D201">
        <v>4</v>
      </c>
      <c r="I201" s="18">
        <v>40674.728472222225</v>
      </c>
      <c r="J201" s="19">
        <v>40674.561805555553</v>
      </c>
      <c r="K201" t="s">
        <v>161</v>
      </c>
      <c r="L201">
        <v>46.496637819999997</v>
      </c>
      <c r="M201">
        <v>-84.269228490000003</v>
      </c>
      <c r="S201" t="s">
        <v>162</v>
      </c>
      <c r="T201">
        <v>69</v>
      </c>
      <c r="U201">
        <v>109500</v>
      </c>
      <c r="AE201" t="s">
        <v>163</v>
      </c>
      <c r="AF201" t="s">
        <v>108</v>
      </c>
      <c r="AG201" t="s">
        <v>164</v>
      </c>
    </row>
    <row r="202" spans="1:52" x14ac:dyDescent="0.25">
      <c r="A202" t="s">
        <v>148</v>
      </c>
      <c r="C202" t="s">
        <v>177</v>
      </c>
      <c r="D202">
        <v>2</v>
      </c>
      <c r="I202" s="18">
        <v>40681.836805555555</v>
      </c>
      <c r="J202" s="19">
        <v>40681.670138888891</v>
      </c>
      <c r="K202" t="s">
        <v>161</v>
      </c>
      <c r="L202">
        <v>46.542745310000001</v>
      </c>
      <c r="M202">
        <v>-84.215960499999994</v>
      </c>
      <c r="S202" t="s">
        <v>162</v>
      </c>
      <c r="T202">
        <v>69</v>
      </c>
      <c r="U202">
        <v>109896</v>
      </c>
      <c r="AE202" t="s">
        <v>163</v>
      </c>
      <c r="AF202" t="s">
        <v>108</v>
      </c>
      <c r="AG202" t="s">
        <v>179</v>
      </c>
    </row>
    <row r="203" spans="1:52" x14ac:dyDescent="0.25">
      <c r="A203" t="s">
        <v>148</v>
      </c>
      <c r="C203" t="s">
        <v>178</v>
      </c>
      <c r="D203">
        <v>2</v>
      </c>
      <c r="I203" s="18">
        <v>40681.844444444447</v>
      </c>
      <c r="J203" s="19">
        <v>40681.677777777775</v>
      </c>
      <c r="K203" t="s">
        <v>161</v>
      </c>
      <c r="L203">
        <v>46.54233095</v>
      </c>
      <c r="M203">
        <v>-84.212718039999999</v>
      </c>
      <c r="S203" t="s">
        <v>162</v>
      </c>
      <c r="T203">
        <v>69</v>
      </c>
      <c r="U203">
        <v>110005</v>
      </c>
      <c r="AE203" t="s">
        <v>163</v>
      </c>
      <c r="AF203" t="s">
        <v>108</v>
      </c>
      <c r="AG203" t="s">
        <v>179</v>
      </c>
    </row>
    <row r="204" spans="1:52" x14ac:dyDescent="0.25">
      <c r="A204" t="s">
        <v>126</v>
      </c>
      <c r="C204" t="s">
        <v>172</v>
      </c>
      <c r="D204">
        <v>1</v>
      </c>
      <c r="I204" s="18">
        <v>40681.885416666664</v>
      </c>
      <c r="J204" s="19">
        <v>40681.71875</v>
      </c>
      <c r="K204" t="s">
        <v>161</v>
      </c>
      <c r="L204">
        <v>46.5332133</v>
      </c>
      <c r="M204">
        <v>-84.159232689999996</v>
      </c>
      <c r="S204" t="s">
        <v>162</v>
      </c>
      <c r="T204">
        <v>69</v>
      </c>
      <c r="U204">
        <v>109913</v>
      </c>
      <c r="AE204" t="s">
        <v>163</v>
      </c>
      <c r="AF204" t="s">
        <v>108</v>
      </c>
      <c r="AG204" t="s">
        <v>179</v>
      </c>
      <c r="AI204" s="39"/>
    </row>
    <row r="205" spans="1:52" x14ac:dyDescent="0.25">
      <c r="A205" t="s">
        <v>126</v>
      </c>
      <c r="C205" t="s">
        <v>169</v>
      </c>
      <c r="D205">
        <v>1</v>
      </c>
      <c r="I205" s="18">
        <v>40681.895138888889</v>
      </c>
      <c r="J205" s="19">
        <v>40681.728472222225</v>
      </c>
      <c r="K205" t="s">
        <v>161</v>
      </c>
      <c r="L205">
        <v>46.534020589999997</v>
      </c>
      <c r="M205">
        <v>-84.153111359999997</v>
      </c>
      <c r="S205" t="s">
        <v>162</v>
      </c>
      <c r="T205">
        <v>69</v>
      </c>
      <c r="U205">
        <v>109981</v>
      </c>
      <c r="AE205" t="s">
        <v>163</v>
      </c>
      <c r="AF205" t="s">
        <v>108</v>
      </c>
      <c r="AG205" t="s">
        <v>179</v>
      </c>
      <c r="AI205" s="39"/>
    </row>
    <row r="206" spans="1:52" x14ac:dyDescent="0.25">
      <c r="A206" t="s">
        <v>144</v>
      </c>
      <c r="C206" t="s">
        <v>178</v>
      </c>
      <c r="D206">
        <v>3</v>
      </c>
      <c r="I206" s="18">
        <v>40688.640972222223</v>
      </c>
      <c r="J206" s="19">
        <v>40688.474305555559</v>
      </c>
      <c r="K206" t="s">
        <v>161</v>
      </c>
      <c r="L206">
        <v>46.505389770000001</v>
      </c>
      <c r="M206">
        <v>-84.351306570000006</v>
      </c>
      <c r="S206" t="s">
        <v>162</v>
      </c>
      <c r="T206">
        <v>69</v>
      </c>
      <c r="U206">
        <v>109876</v>
      </c>
      <c r="AE206" t="s">
        <v>163</v>
      </c>
      <c r="AF206" t="s">
        <v>108</v>
      </c>
      <c r="AG206" t="s">
        <v>179</v>
      </c>
      <c r="AI206" s="39"/>
    </row>
    <row r="207" spans="1:52" x14ac:dyDescent="0.25">
      <c r="A207" t="s">
        <v>144</v>
      </c>
      <c r="C207" t="s">
        <v>177</v>
      </c>
      <c r="D207">
        <v>3</v>
      </c>
      <c r="I207" s="18">
        <v>40688.652083333334</v>
      </c>
      <c r="J207" s="19">
        <v>40688.48541666667</v>
      </c>
      <c r="K207" t="s">
        <v>161</v>
      </c>
      <c r="L207">
        <v>46.505084629999999</v>
      </c>
      <c r="M207">
        <v>-84.353002439999997</v>
      </c>
      <c r="S207" t="s">
        <v>162</v>
      </c>
      <c r="T207">
        <v>69</v>
      </c>
      <c r="U207">
        <v>109951</v>
      </c>
      <c r="AE207" t="s">
        <v>163</v>
      </c>
      <c r="AF207" t="s">
        <v>108</v>
      </c>
      <c r="AG207" t="s">
        <v>179</v>
      </c>
      <c r="AI207" s="39"/>
    </row>
    <row r="208" spans="1:52" x14ac:dyDescent="0.25">
      <c r="A208" t="str">
        <f t="shared" ref="A208:A239" si="0">LEFT(AM208,3)</f>
        <v>RVR</v>
      </c>
      <c r="C208" t="str">
        <f t="shared" ref="C208:C239" si="1">RIGHT(AM208,3)</f>
        <v>002</v>
      </c>
      <c r="D208">
        <v>3</v>
      </c>
      <c r="I208" s="18">
        <v>41011.731249999997</v>
      </c>
      <c r="J208" s="19">
        <f t="shared" ref="J208:J239" si="2">AS208</f>
        <v>41011.564583333333</v>
      </c>
      <c r="K208" t="s">
        <v>161</v>
      </c>
      <c r="L208">
        <f t="shared" ref="L208:L239" si="3">AT208</f>
        <v>46.476239999999997</v>
      </c>
      <c r="M208">
        <f t="shared" ref="M208:M239" si="4">AU208</f>
        <v>-84.302279999999996</v>
      </c>
      <c r="N208">
        <f t="shared" ref="N208:N239" si="5">AV208*0.3048</f>
        <v>3.3528000000000002</v>
      </c>
      <c r="O208">
        <f t="shared" ref="O208:O239" si="6">AY208*0.3048</f>
        <v>0.9144000000000001</v>
      </c>
      <c r="P208">
        <f t="shared" ref="P208:P239" si="7">N208-O208</f>
        <v>2.4384000000000001</v>
      </c>
      <c r="S208" t="s">
        <v>162</v>
      </c>
      <c r="T208">
        <v>69</v>
      </c>
      <c r="U208">
        <f t="shared" ref="U208:U239" si="8">AO208</f>
        <v>109920</v>
      </c>
      <c r="AE208" t="s">
        <v>163</v>
      </c>
      <c r="AF208" t="s">
        <v>108</v>
      </c>
      <c r="AG208" t="s">
        <v>179</v>
      </c>
      <c r="AH208" s="21" t="s">
        <v>108</v>
      </c>
      <c r="AI208" s="32">
        <v>41011</v>
      </c>
      <c r="AJ208" t="s">
        <v>388</v>
      </c>
      <c r="AK208" t="s">
        <v>188</v>
      </c>
      <c r="AL208" t="s">
        <v>361</v>
      </c>
      <c r="AM208" t="s">
        <v>186</v>
      </c>
      <c r="AN208" t="s">
        <v>380</v>
      </c>
      <c r="AO208">
        <v>109920</v>
      </c>
      <c r="AP208" t="s">
        <v>235</v>
      </c>
      <c r="AQ208" t="s">
        <v>389</v>
      </c>
      <c r="AR208">
        <v>0.56458333333333333</v>
      </c>
      <c r="AS208">
        <v>41011.564583333333</v>
      </c>
      <c r="AT208" s="35">
        <v>46.476239999999997</v>
      </c>
      <c r="AU208" s="35">
        <v>-84.302279999999996</v>
      </c>
      <c r="AV208">
        <v>11</v>
      </c>
      <c r="AW208" t="s">
        <v>390</v>
      </c>
      <c r="AX208">
        <v>2.4367999999999999</v>
      </c>
      <c r="AY208">
        <v>3</v>
      </c>
      <c r="AZ208" t="s">
        <v>187</v>
      </c>
    </row>
    <row r="209" spans="1:52" x14ac:dyDescent="0.25">
      <c r="A209" t="str">
        <f t="shared" si="0"/>
        <v>IS1</v>
      </c>
      <c r="C209" t="str">
        <f t="shared" si="1"/>
        <v>004</v>
      </c>
      <c r="D209">
        <v>4</v>
      </c>
      <c r="I209" s="18">
        <v>41011.745833333334</v>
      </c>
      <c r="J209" s="19">
        <f t="shared" si="2"/>
        <v>41011.57916666667</v>
      </c>
      <c r="K209" t="s">
        <v>161</v>
      </c>
      <c r="L209">
        <f t="shared" si="3"/>
        <v>46.481380000000001</v>
      </c>
      <c r="M209">
        <f t="shared" si="4"/>
        <v>-84.298310000000001</v>
      </c>
      <c r="N209">
        <f t="shared" si="5"/>
        <v>4.1452800000000005</v>
      </c>
      <c r="O209">
        <f t="shared" si="6"/>
        <v>1.2192000000000001</v>
      </c>
      <c r="P209">
        <f t="shared" si="7"/>
        <v>2.9260800000000007</v>
      </c>
      <c r="S209" t="s">
        <v>162</v>
      </c>
      <c r="T209">
        <v>69</v>
      </c>
      <c r="U209">
        <f t="shared" si="8"/>
        <v>109424</v>
      </c>
      <c r="AE209" t="s">
        <v>163</v>
      </c>
      <c r="AF209" t="s">
        <v>108</v>
      </c>
      <c r="AG209" t="s">
        <v>179</v>
      </c>
      <c r="AH209" s="21" t="s">
        <v>108</v>
      </c>
      <c r="AI209" s="32">
        <v>41011</v>
      </c>
      <c r="AJ209" t="s">
        <v>388</v>
      </c>
      <c r="AK209" t="s">
        <v>188</v>
      </c>
      <c r="AL209" t="s">
        <v>361</v>
      </c>
      <c r="AM209" t="s">
        <v>189</v>
      </c>
      <c r="AN209" t="s">
        <v>380</v>
      </c>
      <c r="AO209">
        <v>109424</v>
      </c>
      <c r="AP209" t="s">
        <v>235</v>
      </c>
      <c r="AQ209" t="s">
        <v>389</v>
      </c>
      <c r="AR209">
        <v>0.57916666666666672</v>
      </c>
      <c r="AS209">
        <v>41011.57916666667</v>
      </c>
      <c r="AT209" s="35">
        <v>46.481380000000001</v>
      </c>
      <c r="AU209" s="35">
        <v>-84.298310000000001</v>
      </c>
      <c r="AV209">
        <v>13.6</v>
      </c>
      <c r="AW209" t="s">
        <v>390</v>
      </c>
      <c r="AX209">
        <v>2.9241599999999996</v>
      </c>
      <c r="AY209">
        <v>4</v>
      </c>
      <c r="AZ209" t="s">
        <v>190</v>
      </c>
    </row>
    <row r="210" spans="1:52" x14ac:dyDescent="0.25">
      <c r="A210" t="str">
        <f t="shared" si="0"/>
        <v>BLC</v>
      </c>
      <c r="C210" t="str">
        <f t="shared" si="1"/>
        <v>001</v>
      </c>
      <c r="D210">
        <v>1</v>
      </c>
      <c r="I210" s="18">
        <v>41011.756249999999</v>
      </c>
      <c r="J210" s="19">
        <f t="shared" si="2"/>
        <v>41011.589583333334</v>
      </c>
      <c r="K210" t="s">
        <v>161</v>
      </c>
      <c r="L210">
        <f t="shared" si="3"/>
        <v>46.494199999999999</v>
      </c>
      <c r="M210">
        <f t="shared" si="4"/>
        <v>-84.276619999999994</v>
      </c>
      <c r="N210">
        <f t="shared" si="5"/>
        <v>7.0104000000000006</v>
      </c>
      <c r="O210">
        <f t="shared" si="6"/>
        <v>1.2192000000000001</v>
      </c>
      <c r="P210">
        <f t="shared" si="7"/>
        <v>5.7912000000000008</v>
      </c>
      <c r="S210" t="s">
        <v>162</v>
      </c>
      <c r="T210">
        <v>69</v>
      </c>
      <c r="U210">
        <f t="shared" si="8"/>
        <v>109123</v>
      </c>
      <c r="AE210" t="s">
        <v>163</v>
      </c>
      <c r="AF210" t="s">
        <v>108</v>
      </c>
      <c r="AG210" t="s">
        <v>179</v>
      </c>
      <c r="AH210" s="21" t="s">
        <v>108</v>
      </c>
      <c r="AI210" s="32">
        <v>41011</v>
      </c>
      <c r="AJ210" t="s">
        <v>388</v>
      </c>
      <c r="AK210" t="s">
        <v>188</v>
      </c>
      <c r="AL210" t="s">
        <v>361</v>
      </c>
      <c r="AM210" t="s">
        <v>192</v>
      </c>
      <c r="AN210" t="s">
        <v>380</v>
      </c>
      <c r="AO210">
        <v>109123</v>
      </c>
      <c r="AP210" t="s">
        <v>235</v>
      </c>
      <c r="AQ210" t="s">
        <v>389</v>
      </c>
      <c r="AR210">
        <v>0.58958333333333335</v>
      </c>
      <c r="AS210">
        <v>41011.589583333334</v>
      </c>
      <c r="AT210" s="35">
        <v>46.494199999999999</v>
      </c>
      <c r="AU210" s="35">
        <v>-84.276619999999994</v>
      </c>
      <c r="AV210">
        <v>23</v>
      </c>
      <c r="AW210" t="s">
        <v>390</v>
      </c>
      <c r="AX210">
        <v>5.7873999999999999</v>
      </c>
      <c r="AY210">
        <v>4</v>
      </c>
      <c r="AZ210" t="s">
        <v>193</v>
      </c>
    </row>
    <row r="211" spans="1:52" x14ac:dyDescent="0.25">
      <c r="A211" t="str">
        <f t="shared" si="0"/>
        <v>CKI</v>
      </c>
      <c r="C211" t="str">
        <f t="shared" si="1"/>
        <v>003</v>
      </c>
      <c r="D211">
        <v>3</v>
      </c>
      <c r="I211" s="18">
        <v>41011.763888888891</v>
      </c>
      <c r="J211" s="19">
        <f t="shared" si="2"/>
        <v>41011.597222222219</v>
      </c>
      <c r="K211" t="s">
        <v>161</v>
      </c>
      <c r="L211">
        <f t="shared" si="3"/>
        <v>46.495210999999998</v>
      </c>
      <c r="M211">
        <f t="shared" si="4"/>
        <v>-84.270349999999993</v>
      </c>
      <c r="N211">
        <f t="shared" si="5"/>
        <v>6.8580000000000005</v>
      </c>
      <c r="O211">
        <f t="shared" si="6"/>
        <v>0.9144000000000001</v>
      </c>
      <c r="P211">
        <f t="shared" si="7"/>
        <v>5.9436</v>
      </c>
      <c r="S211" t="s">
        <v>162</v>
      </c>
      <c r="T211">
        <v>69</v>
      </c>
      <c r="U211">
        <f t="shared" si="8"/>
        <v>109440</v>
      </c>
      <c r="AE211" t="s">
        <v>163</v>
      </c>
      <c r="AF211" t="s">
        <v>108</v>
      </c>
      <c r="AG211" t="s">
        <v>179</v>
      </c>
      <c r="AH211" s="21" t="s">
        <v>108</v>
      </c>
      <c r="AI211" s="32">
        <v>41011</v>
      </c>
      <c r="AJ211" t="s">
        <v>388</v>
      </c>
      <c r="AK211" t="s">
        <v>188</v>
      </c>
      <c r="AL211" t="s">
        <v>361</v>
      </c>
      <c r="AM211" t="s">
        <v>194</v>
      </c>
      <c r="AN211" t="s">
        <v>380</v>
      </c>
      <c r="AO211">
        <v>109440</v>
      </c>
      <c r="AP211" t="s">
        <v>235</v>
      </c>
      <c r="AQ211" t="s">
        <v>389</v>
      </c>
      <c r="AR211">
        <v>0.59722222222222221</v>
      </c>
      <c r="AS211">
        <v>41011.597222222219</v>
      </c>
      <c r="AT211" s="35">
        <v>46.495210999999998</v>
      </c>
      <c r="AU211" s="35">
        <v>-84.270349999999993</v>
      </c>
      <c r="AV211">
        <v>22.5</v>
      </c>
      <c r="AW211" t="s">
        <v>390</v>
      </c>
      <c r="AX211">
        <v>5.9396999999999993</v>
      </c>
      <c r="AY211">
        <v>3</v>
      </c>
      <c r="AZ211" t="s">
        <v>193</v>
      </c>
    </row>
    <row r="212" spans="1:52" x14ac:dyDescent="0.25">
      <c r="A212" t="str">
        <f t="shared" si="0"/>
        <v>IS1</v>
      </c>
      <c r="C212" t="str">
        <f t="shared" si="1"/>
        <v>002</v>
      </c>
      <c r="D212">
        <v>3</v>
      </c>
      <c r="I212" s="18">
        <v>41011.77847222222</v>
      </c>
      <c r="J212" s="19">
        <f t="shared" si="2"/>
        <v>41011.611805555556</v>
      </c>
      <c r="K212" t="s">
        <v>161</v>
      </c>
      <c r="L212">
        <f t="shared" si="3"/>
        <v>46.478000000000002</v>
      </c>
      <c r="M212">
        <f t="shared" si="4"/>
        <v>-84.292749999999998</v>
      </c>
      <c r="N212">
        <f t="shared" si="5"/>
        <v>3.4442400000000002</v>
      </c>
      <c r="O212">
        <f t="shared" si="6"/>
        <v>1.2192000000000001</v>
      </c>
      <c r="P212">
        <f t="shared" si="7"/>
        <v>2.2250399999999999</v>
      </c>
      <c r="S212" t="s">
        <v>162</v>
      </c>
      <c r="T212">
        <v>69</v>
      </c>
      <c r="U212">
        <f t="shared" si="8"/>
        <v>109897</v>
      </c>
      <c r="AE212" t="s">
        <v>163</v>
      </c>
      <c r="AF212" t="s">
        <v>108</v>
      </c>
      <c r="AG212" t="s">
        <v>179</v>
      </c>
      <c r="AH212" s="21" t="s">
        <v>108</v>
      </c>
      <c r="AI212" s="32">
        <v>41011</v>
      </c>
      <c r="AJ212" t="s">
        <v>388</v>
      </c>
      <c r="AK212" t="s">
        <v>188</v>
      </c>
      <c r="AL212" t="s">
        <v>361</v>
      </c>
      <c r="AM212" t="s">
        <v>195</v>
      </c>
      <c r="AN212" t="s">
        <v>380</v>
      </c>
      <c r="AO212">
        <v>109897</v>
      </c>
      <c r="AP212" t="s">
        <v>235</v>
      </c>
      <c r="AQ212" t="s">
        <v>389</v>
      </c>
      <c r="AR212">
        <v>0.6118055555555556</v>
      </c>
      <c r="AS212">
        <v>41011.611805555556</v>
      </c>
      <c r="AT212" s="35">
        <v>46.478000000000002</v>
      </c>
      <c r="AU212" s="35">
        <v>-84.292749999999998</v>
      </c>
      <c r="AV212">
        <v>11.3</v>
      </c>
      <c r="AW212" t="s">
        <v>390</v>
      </c>
      <c r="AX212">
        <v>2.2235800000000001</v>
      </c>
      <c r="AY212">
        <v>4</v>
      </c>
      <c r="AZ212" t="s">
        <v>190</v>
      </c>
    </row>
    <row r="213" spans="1:52" x14ac:dyDescent="0.25">
      <c r="A213" t="str">
        <f t="shared" si="0"/>
        <v>LRP</v>
      </c>
      <c r="C213" t="str">
        <f t="shared" si="1"/>
        <v>001</v>
      </c>
      <c r="D213">
        <v>3</v>
      </c>
      <c r="I213" s="18">
        <v>41011.788888888892</v>
      </c>
      <c r="J213" s="19">
        <f t="shared" si="2"/>
        <v>41011.62222222222</v>
      </c>
      <c r="K213" t="s">
        <v>161</v>
      </c>
      <c r="L213">
        <f t="shared" si="3"/>
        <v>46.480069999999998</v>
      </c>
      <c r="M213">
        <f t="shared" si="4"/>
        <v>-84.287880000000001</v>
      </c>
      <c r="N213">
        <f t="shared" si="5"/>
        <v>4.8463200000000004</v>
      </c>
      <c r="O213">
        <f t="shared" si="6"/>
        <v>0.9144000000000001</v>
      </c>
      <c r="P213">
        <f t="shared" si="7"/>
        <v>3.9319200000000003</v>
      </c>
      <c r="S213" t="s">
        <v>162</v>
      </c>
      <c r="T213">
        <v>69</v>
      </c>
      <c r="U213">
        <f t="shared" si="8"/>
        <v>109461</v>
      </c>
      <c r="AE213" t="s">
        <v>163</v>
      </c>
      <c r="AF213" t="s">
        <v>108</v>
      </c>
      <c r="AG213" t="s">
        <v>179</v>
      </c>
      <c r="AH213" s="21" t="s">
        <v>108</v>
      </c>
      <c r="AI213" s="32">
        <v>41011</v>
      </c>
      <c r="AJ213" t="s">
        <v>388</v>
      </c>
      <c r="AK213" t="s">
        <v>188</v>
      </c>
      <c r="AL213" t="s">
        <v>361</v>
      </c>
      <c r="AM213" t="s">
        <v>196</v>
      </c>
      <c r="AN213" t="s">
        <v>380</v>
      </c>
      <c r="AO213">
        <v>109461</v>
      </c>
      <c r="AP213" t="s">
        <v>235</v>
      </c>
      <c r="AQ213" t="s">
        <v>389</v>
      </c>
      <c r="AR213">
        <v>0.62222222222222223</v>
      </c>
      <c r="AS213">
        <v>41011.62222222222</v>
      </c>
      <c r="AT213" s="35">
        <v>46.480069999999998</v>
      </c>
      <c r="AU213" s="35">
        <v>-84.287880000000001</v>
      </c>
      <c r="AV213">
        <v>15.9</v>
      </c>
      <c r="AW213" t="s">
        <v>390</v>
      </c>
      <c r="AX213">
        <v>3.9293399999999998</v>
      </c>
      <c r="AY213">
        <v>3</v>
      </c>
      <c r="AZ213" t="s">
        <v>197</v>
      </c>
    </row>
    <row r="214" spans="1:52" x14ac:dyDescent="0.25">
      <c r="A214" t="str">
        <f t="shared" si="0"/>
        <v>FRC</v>
      </c>
      <c r="C214" t="str">
        <f t="shared" si="1"/>
        <v>002</v>
      </c>
      <c r="D214">
        <v>1</v>
      </c>
      <c r="I214" s="18">
        <v>41011.799305555556</v>
      </c>
      <c r="J214" s="19">
        <f t="shared" si="2"/>
        <v>41011.632638888892</v>
      </c>
      <c r="K214" t="s">
        <v>161</v>
      </c>
      <c r="L214">
        <f t="shared" si="3"/>
        <v>46.460079999999998</v>
      </c>
      <c r="M214">
        <f t="shared" si="4"/>
        <v>-84.279179999999997</v>
      </c>
      <c r="N214">
        <f t="shared" si="5"/>
        <v>4.0538400000000001</v>
      </c>
      <c r="O214">
        <f t="shared" si="6"/>
        <v>0.9144000000000001</v>
      </c>
      <c r="P214">
        <f t="shared" si="7"/>
        <v>3.13944</v>
      </c>
      <c r="S214" t="s">
        <v>162</v>
      </c>
      <c r="T214">
        <v>69</v>
      </c>
      <c r="U214">
        <f t="shared" si="8"/>
        <v>109905</v>
      </c>
      <c r="AE214" t="s">
        <v>163</v>
      </c>
      <c r="AF214" t="s">
        <v>108</v>
      </c>
      <c r="AG214" t="s">
        <v>179</v>
      </c>
      <c r="AH214" s="21" t="s">
        <v>108</v>
      </c>
      <c r="AI214" s="32">
        <v>41011</v>
      </c>
      <c r="AJ214" t="s">
        <v>388</v>
      </c>
      <c r="AK214" t="s">
        <v>188</v>
      </c>
      <c r="AL214" t="s">
        <v>361</v>
      </c>
      <c r="AM214" t="s">
        <v>199</v>
      </c>
      <c r="AN214" t="s">
        <v>380</v>
      </c>
      <c r="AO214">
        <v>109905</v>
      </c>
      <c r="AP214" t="s">
        <v>235</v>
      </c>
      <c r="AQ214" t="s">
        <v>389</v>
      </c>
      <c r="AR214">
        <v>0.63263888888888886</v>
      </c>
      <c r="AS214">
        <v>41011.632638888892</v>
      </c>
      <c r="AT214" s="35">
        <v>46.460079999999998</v>
      </c>
      <c r="AU214" s="35">
        <v>-84.279179999999997</v>
      </c>
      <c r="AV214">
        <v>13.3</v>
      </c>
      <c r="AW214" t="s">
        <v>390</v>
      </c>
      <c r="AX214">
        <v>3.1373799999999998</v>
      </c>
      <c r="AY214">
        <v>3</v>
      </c>
      <c r="AZ214" t="s">
        <v>187</v>
      </c>
    </row>
    <row r="215" spans="1:52" x14ac:dyDescent="0.25">
      <c r="A215" t="str">
        <f t="shared" si="0"/>
        <v>FRC</v>
      </c>
      <c r="C215" t="str">
        <f t="shared" si="1"/>
        <v>001</v>
      </c>
      <c r="D215">
        <v>1</v>
      </c>
      <c r="I215" s="18">
        <v>41011.805555555555</v>
      </c>
      <c r="J215" s="19">
        <f t="shared" si="2"/>
        <v>41011.638888888891</v>
      </c>
      <c r="K215" t="s">
        <v>161</v>
      </c>
      <c r="L215">
        <f t="shared" si="3"/>
        <v>46.457079999999998</v>
      </c>
      <c r="M215">
        <f t="shared" si="4"/>
        <v>-84.280410000000003</v>
      </c>
      <c r="N215">
        <f t="shared" si="5"/>
        <v>4.1452800000000005</v>
      </c>
      <c r="O215">
        <f t="shared" si="6"/>
        <v>0.9144000000000001</v>
      </c>
      <c r="P215">
        <f t="shared" si="7"/>
        <v>3.2308800000000004</v>
      </c>
      <c r="S215" t="s">
        <v>162</v>
      </c>
      <c r="T215">
        <v>69</v>
      </c>
      <c r="U215">
        <f t="shared" si="8"/>
        <v>113218</v>
      </c>
      <c r="AE215" t="s">
        <v>163</v>
      </c>
      <c r="AF215" t="s">
        <v>108</v>
      </c>
      <c r="AG215" t="s">
        <v>179</v>
      </c>
      <c r="AH215" s="21" t="s">
        <v>108</v>
      </c>
      <c r="AI215" s="32">
        <v>41011</v>
      </c>
      <c r="AJ215" t="s">
        <v>388</v>
      </c>
      <c r="AK215" t="s">
        <v>188</v>
      </c>
      <c r="AL215" t="s">
        <v>361</v>
      </c>
      <c r="AM215" t="s">
        <v>200</v>
      </c>
      <c r="AN215" t="s">
        <v>380</v>
      </c>
      <c r="AO215">
        <v>113218</v>
      </c>
      <c r="AP215" t="s">
        <v>235</v>
      </c>
      <c r="AQ215" t="s">
        <v>389</v>
      </c>
      <c r="AR215">
        <v>0.63888888888888895</v>
      </c>
      <c r="AS215">
        <v>41011.638888888891</v>
      </c>
      <c r="AT215" s="35">
        <v>46.457079999999998</v>
      </c>
      <c r="AU215" s="35">
        <v>-84.280410000000003</v>
      </c>
      <c r="AV215">
        <v>13.6</v>
      </c>
      <c r="AW215" t="s">
        <v>390</v>
      </c>
      <c r="AX215">
        <v>3.2287599999999999</v>
      </c>
      <c r="AY215">
        <v>3</v>
      </c>
      <c r="AZ215" t="s">
        <v>187</v>
      </c>
    </row>
    <row r="216" spans="1:52" x14ac:dyDescent="0.25">
      <c r="A216" t="str">
        <f t="shared" si="0"/>
        <v>RVR</v>
      </c>
      <c r="C216" t="str">
        <f t="shared" si="1"/>
        <v>001</v>
      </c>
      <c r="D216">
        <v>3</v>
      </c>
      <c r="I216" s="18">
        <v>41011.81527777778</v>
      </c>
      <c r="J216" s="19">
        <f t="shared" si="2"/>
        <v>41011.648611111108</v>
      </c>
      <c r="K216" t="s">
        <v>161</v>
      </c>
      <c r="L216">
        <f t="shared" si="3"/>
        <v>46.466970000000003</v>
      </c>
      <c r="M216">
        <f t="shared" si="4"/>
        <v>-84.292879999999997</v>
      </c>
      <c r="N216">
        <f t="shared" si="5"/>
        <v>4.7244000000000002</v>
      </c>
      <c r="O216">
        <f t="shared" si="6"/>
        <v>0.9144000000000001</v>
      </c>
      <c r="P216">
        <f t="shared" si="7"/>
        <v>3.81</v>
      </c>
      <c r="S216" t="s">
        <v>162</v>
      </c>
      <c r="T216">
        <v>69</v>
      </c>
      <c r="U216">
        <f t="shared" si="8"/>
        <v>109410</v>
      </c>
      <c r="AE216" t="s">
        <v>163</v>
      </c>
      <c r="AF216" t="s">
        <v>108</v>
      </c>
      <c r="AG216" t="s">
        <v>179</v>
      </c>
      <c r="AH216" s="21" t="s">
        <v>108</v>
      </c>
      <c r="AI216" s="32">
        <v>41011</v>
      </c>
      <c r="AJ216" t="s">
        <v>388</v>
      </c>
      <c r="AK216" t="s">
        <v>188</v>
      </c>
      <c r="AL216" t="s">
        <v>361</v>
      </c>
      <c r="AM216" t="s">
        <v>201</v>
      </c>
      <c r="AN216" t="s">
        <v>380</v>
      </c>
      <c r="AO216">
        <v>109410</v>
      </c>
      <c r="AP216" t="s">
        <v>235</v>
      </c>
      <c r="AQ216" t="s">
        <v>389</v>
      </c>
      <c r="AR216">
        <v>0.64861111111111114</v>
      </c>
      <c r="AS216">
        <v>41011.648611111108</v>
      </c>
      <c r="AT216" s="35">
        <v>46.466970000000003</v>
      </c>
      <c r="AU216" s="35">
        <v>-84.292879999999997</v>
      </c>
      <c r="AV216">
        <v>15.5</v>
      </c>
      <c r="AW216" t="s">
        <v>390</v>
      </c>
      <c r="AX216">
        <v>3.8074999999999997</v>
      </c>
      <c r="AY216">
        <v>3</v>
      </c>
      <c r="AZ216" t="s">
        <v>190</v>
      </c>
    </row>
    <row r="217" spans="1:52" x14ac:dyDescent="0.25">
      <c r="A217" t="str">
        <f t="shared" si="0"/>
        <v>LWS</v>
      </c>
      <c r="C217" t="str">
        <f t="shared" si="1"/>
        <v>001</v>
      </c>
      <c r="D217">
        <v>1</v>
      </c>
      <c r="I217" s="18">
        <v>41012.515277777777</v>
      </c>
      <c r="J217" s="19">
        <f t="shared" si="2"/>
        <v>41012.348611111112</v>
      </c>
      <c r="K217" t="s">
        <v>161</v>
      </c>
      <c r="L217">
        <f t="shared" si="3"/>
        <v>46.512819999999998</v>
      </c>
      <c r="M217">
        <f t="shared" si="4"/>
        <v>-84.244399999999999</v>
      </c>
      <c r="N217">
        <f t="shared" si="5"/>
        <v>5.1511199999999997</v>
      </c>
      <c r="O217">
        <f t="shared" si="6"/>
        <v>0.9144000000000001</v>
      </c>
      <c r="P217">
        <f t="shared" si="7"/>
        <v>4.23672</v>
      </c>
      <c r="S217" t="s">
        <v>162</v>
      </c>
      <c r="T217">
        <v>69</v>
      </c>
      <c r="U217">
        <f t="shared" si="8"/>
        <v>109970</v>
      </c>
      <c r="AE217" t="s">
        <v>163</v>
      </c>
      <c r="AF217" t="s">
        <v>108</v>
      </c>
      <c r="AG217" t="s">
        <v>179</v>
      </c>
      <c r="AH217" s="21" t="s">
        <v>108</v>
      </c>
      <c r="AI217" s="32">
        <v>41012</v>
      </c>
      <c r="AJ217" t="s">
        <v>388</v>
      </c>
      <c r="AK217" t="s">
        <v>205</v>
      </c>
      <c r="AL217" t="s">
        <v>361</v>
      </c>
      <c r="AM217" t="s">
        <v>203</v>
      </c>
      <c r="AN217" t="s">
        <v>380</v>
      </c>
      <c r="AO217">
        <v>109970</v>
      </c>
      <c r="AP217" t="s">
        <v>235</v>
      </c>
      <c r="AQ217" t="s">
        <v>389</v>
      </c>
      <c r="AR217">
        <v>0.34861111111111115</v>
      </c>
      <c r="AS217">
        <v>41012.348611111112</v>
      </c>
      <c r="AT217" s="35">
        <v>46.512819999999998</v>
      </c>
      <c r="AU217" s="35">
        <v>-84.244399999999999</v>
      </c>
      <c r="AV217">
        <v>16.899999999999999</v>
      </c>
      <c r="AW217" t="s">
        <v>390</v>
      </c>
      <c r="AX217">
        <v>4.2339399999999996</v>
      </c>
      <c r="AY217">
        <v>3</v>
      </c>
      <c r="AZ217" t="s">
        <v>204</v>
      </c>
    </row>
    <row r="218" spans="1:52" x14ac:dyDescent="0.25">
      <c r="A218" t="str">
        <f t="shared" si="0"/>
        <v>BLL</v>
      </c>
      <c r="C218" t="str">
        <f t="shared" si="1"/>
        <v>001</v>
      </c>
      <c r="D218">
        <v>3</v>
      </c>
      <c r="I218" s="18">
        <v>41012.524305555555</v>
      </c>
      <c r="J218" s="19">
        <f t="shared" si="2"/>
        <v>41012.357638888891</v>
      </c>
      <c r="K218" t="s">
        <v>161</v>
      </c>
      <c r="L218">
        <f t="shared" si="3"/>
        <v>46.535409999999999</v>
      </c>
      <c r="M218">
        <f t="shared" si="4"/>
        <v>-84.213170000000005</v>
      </c>
      <c r="N218">
        <f t="shared" si="5"/>
        <v>4.8768000000000002</v>
      </c>
      <c r="O218">
        <f t="shared" si="6"/>
        <v>0.9144000000000001</v>
      </c>
      <c r="P218">
        <f t="shared" si="7"/>
        <v>3.9624000000000001</v>
      </c>
      <c r="S218" t="s">
        <v>162</v>
      </c>
      <c r="T218">
        <v>69</v>
      </c>
      <c r="U218">
        <f t="shared" si="8"/>
        <v>109437</v>
      </c>
      <c r="AE218" t="s">
        <v>163</v>
      </c>
      <c r="AF218" t="s">
        <v>108</v>
      </c>
      <c r="AG218" t="s">
        <v>179</v>
      </c>
      <c r="AH218" s="21" t="s">
        <v>108</v>
      </c>
      <c r="AI218" s="32">
        <v>41012</v>
      </c>
      <c r="AJ218" t="s">
        <v>388</v>
      </c>
      <c r="AK218" t="s">
        <v>205</v>
      </c>
      <c r="AL218" t="s">
        <v>361</v>
      </c>
      <c r="AM218" t="s">
        <v>206</v>
      </c>
      <c r="AN218" t="s">
        <v>380</v>
      </c>
      <c r="AO218">
        <v>109437</v>
      </c>
      <c r="AP218" t="s">
        <v>235</v>
      </c>
      <c r="AQ218" t="s">
        <v>389</v>
      </c>
      <c r="AR218">
        <v>0.3576388888888889</v>
      </c>
      <c r="AS218">
        <v>41012.357638888891</v>
      </c>
      <c r="AT218" s="35">
        <v>46.535409999999999</v>
      </c>
      <c r="AU218" s="35">
        <v>-84.213170000000005</v>
      </c>
      <c r="AV218">
        <v>16</v>
      </c>
      <c r="AW218" t="s">
        <v>390</v>
      </c>
      <c r="AX218">
        <v>3.9597999999999995</v>
      </c>
      <c r="AY218">
        <v>3</v>
      </c>
      <c r="AZ218" t="s">
        <v>197</v>
      </c>
    </row>
    <row r="219" spans="1:52" x14ac:dyDescent="0.25">
      <c r="A219" t="str">
        <f t="shared" si="0"/>
        <v>PCH</v>
      </c>
      <c r="C219" t="str">
        <f t="shared" si="1"/>
        <v>001</v>
      </c>
      <c r="D219">
        <v>4</v>
      </c>
      <c r="I219" s="18">
        <v>41012.543749999997</v>
      </c>
      <c r="J219" s="19">
        <f t="shared" si="2"/>
        <v>41012.377083333333</v>
      </c>
      <c r="K219" t="s">
        <v>161</v>
      </c>
      <c r="L219">
        <f t="shared" si="3"/>
        <v>46.525579999999998</v>
      </c>
      <c r="M219">
        <f t="shared" si="4"/>
        <v>-84.172510000000003</v>
      </c>
      <c r="N219">
        <f t="shared" si="5"/>
        <v>5.3644800000000004</v>
      </c>
      <c r="O219">
        <f t="shared" si="6"/>
        <v>0.9144000000000001</v>
      </c>
      <c r="P219">
        <f t="shared" si="7"/>
        <v>4.4500799999999998</v>
      </c>
      <c r="S219" t="s">
        <v>162</v>
      </c>
      <c r="T219">
        <v>69</v>
      </c>
      <c r="U219">
        <f t="shared" si="8"/>
        <v>109453</v>
      </c>
      <c r="AE219" t="s">
        <v>163</v>
      </c>
      <c r="AF219" t="s">
        <v>108</v>
      </c>
      <c r="AG219" t="s">
        <v>179</v>
      </c>
      <c r="AH219" s="21" t="s">
        <v>108</v>
      </c>
      <c r="AI219" s="32">
        <v>41012</v>
      </c>
      <c r="AJ219" t="s">
        <v>388</v>
      </c>
      <c r="AK219" t="s">
        <v>205</v>
      </c>
      <c r="AL219" t="s">
        <v>361</v>
      </c>
      <c r="AM219" t="s">
        <v>207</v>
      </c>
      <c r="AN219" t="s">
        <v>380</v>
      </c>
      <c r="AO219">
        <v>109453</v>
      </c>
      <c r="AP219" t="s">
        <v>235</v>
      </c>
      <c r="AQ219" t="s">
        <v>389</v>
      </c>
      <c r="AR219">
        <v>0.37708333333333338</v>
      </c>
      <c r="AS219">
        <v>41012.377083333333</v>
      </c>
      <c r="AT219" s="35">
        <v>46.525579999999998</v>
      </c>
      <c r="AU219" s="35">
        <v>-84.172510000000003</v>
      </c>
      <c r="AV219">
        <v>17.600000000000001</v>
      </c>
      <c r="AW219" t="s">
        <v>390</v>
      </c>
      <c r="AX219">
        <v>4.4471600000000002</v>
      </c>
      <c r="AY219">
        <v>3</v>
      </c>
      <c r="AZ219" t="s">
        <v>208</v>
      </c>
    </row>
    <row r="220" spans="1:52" x14ac:dyDescent="0.25">
      <c r="A220" t="str">
        <f t="shared" si="0"/>
        <v>GRD</v>
      </c>
      <c r="C220" t="str">
        <f t="shared" si="1"/>
        <v>001</v>
      </c>
      <c r="D220">
        <v>6</v>
      </c>
      <c r="I220" s="18">
        <v>41012.556250000001</v>
      </c>
      <c r="J220" s="19">
        <f t="shared" si="2"/>
        <v>41012.38958333333</v>
      </c>
      <c r="K220" t="s">
        <v>161</v>
      </c>
      <c r="L220">
        <f t="shared" si="3"/>
        <v>46.529000000000003</v>
      </c>
      <c r="M220">
        <f t="shared" si="4"/>
        <v>-84.150819999999996</v>
      </c>
      <c r="N220">
        <f t="shared" si="5"/>
        <v>4.5110400000000004</v>
      </c>
      <c r="O220">
        <f t="shared" si="6"/>
        <v>1.2192000000000001</v>
      </c>
      <c r="P220">
        <f t="shared" si="7"/>
        <v>3.2918400000000005</v>
      </c>
      <c r="S220" t="s">
        <v>162</v>
      </c>
      <c r="T220">
        <v>69</v>
      </c>
      <c r="U220">
        <f t="shared" si="8"/>
        <v>109487</v>
      </c>
      <c r="AE220" t="s">
        <v>163</v>
      </c>
      <c r="AF220" t="s">
        <v>108</v>
      </c>
      <c r="AG220" t="s">
        <v>164</v>
      </c>
      <c r="AH220" s="21" t="s">
        <v>108</v>
      </c>
      <c r="AI220" s="32">
        <v>41012</v>
      </c>
      <c r="AJ220" t="s">
        <v>388</v>
      </c>
      <c r="AK220" t="s">
        <v>205</v>
      </c>
      <c r="AL220" t="s">
        <v>361</v>
      </c>
      <c r="AM220" t="s">
        <v>209</v>
      </c>
      <c r="AN220" t="s">
        <v>380</v>
      </c>
      <c r="AO220">
        <v>109487</v>
      </c>
      <c r="AP220" t="s">
        <v>235</v>
      </c>
      <c r="AQ220" t="s">
        <v>389</v>
      </c>
      <c r="AR220">
        <v>0.38958333333333334</v>
      </c>
      <c r="AS220">
        <v>41012.38958333333</v>
      </c>
      <c r="AT220" s="35">
        <v>46.529000000000003</v>
      </c>
      <c r="AU220" s="35">
        <v>-84.150819999999996</v>
      </c>
      <c r="AV220">
        <v>14.8</v>
      </c>
      <c r="AW220" t="s">
        <v>390</v>
      </c>
      <c r="AX220">
        <v>3.2896800000000002</v>
      </c>
      <c r="AY220">
        <v>4</v>
      </c>
      <c r="AZ220" t="s">
        <v>197</v>
      </c>
    </row>
    <row r="221" spans="1:52" x14ac:dyDescent="0.25">
      <c r="A221" t="str">
        <f t="shared" si="0"/>
        <v>GRD</v>
      </c>
      <c r="C221" t="str">
        <f t="shared" si="1"/>
        <v>002</v>
      </c>
      <c r="D221">
        <v>7</v>
      </c>
      <c r="I221" s="18">
        <v>41012.57708333333</v>
      </c>
      <c r="J221" s="19">
        <f t="shared" si="2"/>
        <v>41012.410416666666</v>
      </c>
      <c r="K221" t="s">
        <v>161</v>
      </c>
      <c r="L221">
        <f t="shared" si="3"/>
        <v>46.529719999999998</v>
      </c>
      <c r="M221">
        <f t="shared" si="4"/>
        <v>-84.151600000000002</v>
      </c>
      <c r="N221">
        <f t="shared" si="5"/>
        <v>3.6576000000000004</v>
      </c>
      <c r="O221">
        <f t="shared" si="6"/>
        <v>0.9144000000000001</v>
      </c>
      <c r="P221">
        <f t="shared" si="7"/>
        <v>2.7432000000000003</v>
      </c>
      <c r="S221" t="s">
        <v>162</v>
      </c>
      <c r="T221">
        <v>69</v>
      </c>
      <c r="U221">
        <f t="shared" si="8"/>
        <v>109922</v>
      </c>
      <c r="AE221" t="s">
        <v>163</v>
      </c>
      <c r="AF221" t="s">
        <v>108</v>
      </c>
      <c r="AG221" t="s">
        <v>164</v>
      </c>
      <c r="AH221" s="21" t="s">
        <v>108</v>
      </c>
      <c r="AI221" s="32">
        <v>41012</v>
      </c>
      <c r="AJ221" t="s">
        <v>388</v>
      </c>
      <c r="AK221" t="s">
        <v>205</v>
      </c>
      <c r="AL221" t="s">
        <v>361</v>
      </c>
      <c r="AM221" t="s">
        <v>210</v>
      </c>
      <c r="AN221" t="s">
        <v>380</v>
      </c>
      <c r="AO221">
        <v>109922</v>
      </c>
      <c r="AP221" t="s">
        <v>235</v>
      </c>
      <c r="AQ221" t="s">
        <v>389</v>
      </c>
      <c r="AR221">
        <v>0.41041666666666665</v>
      </c>
      <c r="AS221">
        <v>41012.410416666666</v>
      </c>
      <c r="AT221" s="35">
        <v>46.529719999999998</v>
      </c>
      <c r="AU221" s="35">
        <v>-84.151600000000002</v>
      </c>
      <c r="AV221">
        <v>12</v>
      </c>
      <c r="AW221" t="s">
        <v>390</v>
      </c>
      <c r="AX221">
        <v>2.7413999999999996</v>
      </c>
      <c r="AY221">
        <v>3</v>
      </c>
      <c r="AZ221" t="s">
        <v>190</v>
      </c>
    </row>
    <row r="222" spans="1:52" x14ac:dyDescent="0.25">
      <c r="A222" t="str">
        <f t="shared" si="0"/>
        <v>GRD</v>
      </c>
      <c r="C222" t="str">
        <f t="shared" si="1"/>
        <v>003</v>
      </c>
      <c r="D222">
        <v>4</v>
      </c>
      <c r="I222" s="18">
        <v>41012.580555555556</v>
      </c>
      <c r="J222" s="19">
        <f t="shared" si="2"/>
        <v>41012.413888888892</v>
      </c>
      <c r="K222" t="s">
        <v>161</v>
      </c>
      <c r="L222">
        <f t="shared" si="3"/>
        <v>46.528649999999999</v>
      </c>
      <c r="M222">
        <f t="shared" si="4"/>
        <v>-84.151539999999997</v>
      </c>
      <c r="N222">
        <f t="shared" si="5"/>
        <v>3.9014400000000005</v>
      </c>
      <c r="O222">
        <f t="shared" si="6"/>
        <v>1.2192000000000001</v>
      </c>
      <c r="P222">
        <f t="shared" si="7"/>
        <v>2.6822400000000002</v>
      </c>
      <c r="S222" t="s">
        <v>162</v>
      </c>
      <c r="T222">
        <v>69</v>
      </c>
      <c r="U222">
        <f t="shared" si="8"/>
        <v>109892</v>
      </c>
      <c r="AE222" t="s">
        <v>163</v>
      </c>
      <c r="AF222" t="s">
        <v>108</v>
      </c>
      <c r="AG222" t="s">
        <v>164</v>
      </c>
      <c r="AH222" s="21" t="s">
        <v>108</v>
      </c>
      <c r="AI222" s="32">
        <v>41012</v>
      </c>
      <c r="AJ222" t="s">
        <v>388</v>
      </c>
      <c r="AK222" t="s">
        <v>205</v>
      </c>
      <c r="AL222" t="s">
        <v>361</v>
      </c>
      <c r="AM222" t="s">
        <v>211</v>
      </c>
      <c r="AN222" t="s">
        <v>380</v>
      </c>
      <c r="AO222">
        <v>109892</v>
      </c>
      <c r="AP222" t="s">
        <v>235</v>
      </c>
      <c r="AQ222" t="s">
        <v>389</v>
      </c>
      <c r="AR222">
        <v>0.41388888888888892</v>
      </c>
      <c r="AS222">
        <v>41012.413888888892</v>
      </c>
      <c r="AT222" s="35">
        <v>46.528649999999999</v>
      </c>
      <c r="AU222" s="35">
        <v>-84.151539999999997</v>
      </c>
      <c r="AV222">
        <v>12.8</v>
      </c>
      <c r="AW222" t="s">
        <v>390</v>
      </c>
      <c r="AX222">
        <v>2.6804800000000002</v>
      </c>
      <c r="AY222">
        <v>4</v>
      </c>
      <c r="AZ222" t="s">
        <v>197</v>
      </c>
    </row>
    <row r="223" spans="1:52" x14ac:dyDescent="0.25">
      <c r="A223" t="str">
        <f t="shared" si="0"/>
        <v>GRD</v>
      </c>
      <c r="C223" t="str">
        <f t="shared" si="1"/>
        <v>004</v>
      </c>
      <c r="D223">
        <v>4</v>
      </c>
      <c r="I223" s="18">
        <v>41012.588194444441</v>
      </c>
      <c r="J223" s="19">
        <f t="shared" si="2"/>
        <v>41012.421527777777</v>
      </c>
      <c r="K223" t="s">
        <v>161</v>
      </c>
      <c r="L223">
        <f t="shared" si="3"/>
        <v>46.529260000000001</v>
      </c>
      <c r="M223">
        <f t="shared" si="4"/>
        <v>-84.152410000000003</v>
      </c>
      <c r="N223">
        <f t="shared" si="5"/>
        <v>3.7490400000000004</v>
      </c>
      <c r="O223">
        <f t="shared" si="6"/>
        <v>1.2192000000000001</v>
      </c>
      <c r="P223">
        <f t="shared" si="7"/>
        <v>2.5298400000000001</v>
      </c>
      <c r="S223" t="s">
        <v>162</v>
      </c>
      <c r="T223">
        <v>69</v>
      </c>
      <c r="U223">
        <f t="shared" si="8"/>
        <v>109466</v>
      </c>
      <c r="AE223" t="s">
        <v>163</v>
      </c>
      <c r="AF223" t="s">
        <v>108</v>
      </c>
      <c r="AG223" t="s">
        <v>164</v>
      </c>
      <c r="AH223" s="21" t="s">
        <v>108</v>
      </c>
      <c r="AI223" s="32">
        <v>41012</v>
      </c>
      <c r="AJ223" t="s">
        <v>388</v>
      </c>
      <c r="AK223" t="s">
        <v>205</v>
      </c>
      <c r="AL223" t="s">
        <v>361</v>
      </c>
      <c r="AM223" t="s">
        <v>212</v>
      </c>
      <c r="AN223" t="s">
        <v>380</v>
      </c>
      <c r="AO223">
        <v>109466</v>
      </c>
      <c r="AP223" t="s">
        <v>235</v>
      </c>
      <c r="AQ223" t="s">
        <v>389</v>
      </c>
      <c r="AR223">
        <v>0.42152777777777778</v>
      </c>
      <c r="AS223">
        <v>41012.421527777777</v>
      </c>
      <c r="AT223" s="35">
        <v>46.529260000000001</v>
      </c>
      <c r="AU223" s="35">
        <v>-84.152410000000003</v>
      </c>
      <c r="AV223">
        <v>12.3</v>
      </c>
      <c r="AW223" t="s">
        <v>390</v>
      </c>
      <c r="AX223">
        <v>2.5281799999999999</v>
      </c>
      <c r="AY223">
        <v>4</v>
      </c>
      <c r="AZ223" t="s">
        <v>190</v>
      </c>
    </row>
    <row r="224" spans="1:52" x14ac:dyDescent="0.25">
      <c r="A224" t="str">
        <f t="shared" si="0"/>
        <v>GRD</v>
      </c>
      <c r="C224" t="str">
        <f t="shared" si="1"/>
        <v>005</v>
      </c>
      <c r="D224">
        <v>5</v>
      </c>
      <c r="I224" s="18">
        <v>41012.604166666664</v>
      </c>
      <c r="J224" s="19">
        <f t="shared" si="2"/>
        <v>41012.4375</v>
      </c>
      <c r="K224" t="s">
        <v>161</v>
      </c>
      <c r="L224">
        <f t="shared" si="3"/>
        <v>46.528239999999997</v>
      </c>
      <c r="M224">
        <f t="shared" si="4"/>
        <v>-84.1524</v>
      </c>
      <c r="N224">
        <f t="shared" si="5"/>
        <v>4.2671999999999999</v>
      </c>
      <c r="O224">
        <f t="shared" si="6"/>
        <v>1.2192000000000001</v>
      </c>
      <c r="P224">
        <f t="shared" si="7"/>
        <v>3.048</v>
      </c>
      <c r="S224" t="s">
        <v>162</v>
      </c>
      <c r="T224">
        <v>69</v>
      </c>
      <c r="U224">
        <f t="shared" si="8"/>
        <v>109441</v>
      </c>
      <c r="AE224" t="s">
        <v>163</v>
      </c>
      <c r="AF224" t="s">
        <v>108</v>
      </c>
      <c r="AG224" t="s">
        <v>164</v>
      </c>
      <c r="AH224" s="21" t="s">
        <v>108</v>
      </c>
      <c r="AI224" s="32">
        <v>41012</v>
      </c>
      <c r="AJ224" t="s">
        <v>388</v>
      </c>
      <c r="AK224" t="s">
        <v>205</v>
      </c>
      <c r="AL224" t="s">
        <v>361</v>
      </c>
      <c r="AM224" t="s">
        <v>213</v>
      </c>
      <c r="AN224" t="s">
        <v>380</v>
      </c>
      <c r="AO224">
        <v>109441</v>
      </c>
      <c r="AP224" t="s">
        <v>235</v>
      </c>
      <c r="AQ224" t="s">
        <v>389</v>
      </c>
      <c r="AR224">
        <v>0.4375</v>
      </c>
      <c r="AS224">
        <v>41012.4375</v>
      </c>
      <c r="AT224" s="35">
        <v>46.528239999999997</v>
      </c>
      <c r="AU224" s="35">
        <v>-84.1524</v>
      </c>
      <c r="AV224">
        <v>14</v>
      </c>
      <c r="AW224" t="s">
        <v>390</v>
      </c>
      <c r="AX224">
        <v>3.0459999999999998</v>
      </c>
      <c r="AY224">
        <v>4</v>
      </c>
      <c r="AZ224" t="s">
        <v>197</v>
      </c>
    </row>
    <row r="225" spans="1:52" x14ac:dyDescent="0.25">
      <c r="A225" t="str">
        <f t="shared" si="0"/>
        <v>GRD</v>
      </c>
      <c r="C225" t="str">
        <f t="shared" si="1"/>
        <v>006</v>
      </c>
      <c r="D225">
        <v>5</v>
      </c>
      <c r="I225" s="18">
        <v>41012.616666666669</v>
      </c>
      <c r="J225" s="19">
        <f t="shared" si="2"/>
        <v>41012.449999999997</v>
      </c>
      <c r="K225" t="s">
        <v>161</v>
      </c>
      <c r="L225">
        <f t="shared" si="3"/>
        <v>46.528860000000002</v>
      </c>
      <c r="M225">
        <f t="shared" si="4"/>
        <v>-84.153229999999994</v>
      </c>
      <c r="N225">
        <f t="shared" si="5"/>
        <v>3.6271200000000001</v>
      </c>
      <c r="O225">
        <f t="shared" si="6"/>
        <v>1.2192000000000001</v>
      </c>
      <c r="P225">
        <f t="shared" si="7"/>
        <v>2.4079199999999998</v>
      </c>
      <c r="S225" t="s">
        <v>162</v>
      </c>
      <c r="T225">
        <v>69</v>
      </c>
      <c r="U225">
        <f t="shared" si="8"/>
        <v>109934</v>
      </c>
      <c r="AE225" t="s">
        <v>163</v>
      </c>
      <c r="AF225" t="s">
        <v>108</v>
      </c>
      <c r="AG225" t="s">
        <v>164</v>
      </c>
      <c r="AH225" s="21" t="s">
        <v>108</v>
      </c>
      <c r="AI225" s="32">
        <v>41012</v>
      </c>
      <c r="AJ225" t="s">
        <v>388</v>
      </c>
      <c r="AK225" t="s">
        <v>205</v>
      </c>
      <c r="AL225" t="s">
        <v>361</v>
      </c>
      <c r="AM225" t="s">
        <v>214</v>
      </c>
      <c r="AN225" t="s">
        <v>380</v>
      </c>
      <c r="AO225">
        <v>109934</v>
      </c>
      <c r="AP225" t="s">
        <v>235</v>
      </c>
      <c r="AQ225" t="s">
        <v>389</v>
      </c>
      <c r="AR225">
        <v>0.45</v>
      </c>
      <c r="AS225">
        <v>41012.449999999997</v>
      </c>
      <c r="AT225" s="35">
        <v>46.528860000000002</v>
      </c>
      <c r="AU225" s="35">
        <v>-84.153229999999994</v>
      </c>
      <c r="AV225">
        <v>11.9</v>
      </c>
      <c r="AW225" t="s">
        <v>390</v>
      </c>
      <c r="AX225">
        <v>2.4063400000000001</v>
      </c>
      <c r="AY225">
        <v>4</v>
      </c>
      <c r="AZ225" t="s">
        <v>190</v>
      </c>
    </row>
    <row r="226" spans="1:52" x14ac:dyDescent="0.25">
      <c r="A226" t="str">
        <f t="shared" si="0"/>
        <v>GRD</v>
      </c>
      <c r="C226" t="str">
        <f t="shared" si="1"/>
        <v>007</v>
      </c>
      <c r="D226">
        <v>1</v>
      </c>
      <c r="I226" s="18">
        <v>41012.625</v>
      </c>
      <c r="J226" s="19">
        <f t="shared" si="2"/>
        <v>41012.458333333336</v>
      </c>
      <c r="K226" t="s">
        <v>161</v>
      </c>
      <c r="L226">
        <f t="shared" si="3"/>
        <v>46.527790000000003</v>
      </c>
      <c r="M226">
        <f t="shared" si="4"/>
        <v>-84.153660000000002</v>
      </c>
      <c r="N226">
        <f t="shared" si="5"/>
        <v>5.6388000000000007</v>
      </c>
      <c r="O226">
        <f t="shared" si="6"/>
        <v>1.2192000000000001</v>
      </c>
      <c r="P226">
        <f t="shared" si="7"/>
        <v>4.4196000000000009</v>
      </c>
      <c r="S226" t="s">
        <v>162</v>
      </c>
      <c r="T226">
        <v>69</v>
      </c>
      <c r="U226">
        <f t="shared" si="8"/>
        <v>114481</v>
      </c>
      <c r="AE226" t="s">
        <v>163</v>
      </c>
      <c r="AF226" t="s">
        <v>108</v>
      </c>
      <c r="AG226" t="s">
        <v>164</v>
      </c>
      <c r="AH226" s="21" t="s">
        <v>108</v>
      </c>
      <c r="AI226" s="32">
        <v>41012</v>
      </c>
      <c r="AJ226" t="s">
        <v>388</v>
      </c>
      <c r="AK226" t="s">
        <v>205</v>
      </c>
      <c r="AL226" t="s">
        <v>361</v>
      </c>
      <c r="AM226" t="s">
        <v>215</v>
      </c>
      <c r="AN226" t="s">
        <v>380</v>
      </c>
      <c r="AO226">
        <v>114481</v>
      </c>
      <c r="AP226" t="s">
        <v>235</v>
      </c>
      <c r="AQ226" t="s">
        <v>389</v>
      </c>
      <c r="AR226">
        <v>0.45833333333333331</v>
      </c>
      <c r="AS226">
        <v>41012.458333333336</v>
      </c>
      <c r="AT226" s="35">
        <v>46.527790000000003</v>
      </c>
      <c r="AU226" s="35">
        <v>-84.153660000000002</v>
      </c>
      <c r="AV226">
        <v>18.5</v>
      </c>
      <c r="AW226" t="s">
        <v>390</v>
      </c>
      <c r="AX226">
        <v>4.4166999999999996</v>
      </c>
      <c r="AY226">
        <v>4</v>
      </c>
      <c r="AZ226" t="s">
        <v>197</v>
      </c>
    </row>
    <row r="227" spans="1:52" x14ac:dyDescent="0.25">
      <c r="A227" t="str">
        <f t="shared" si="0"/>
        <v>GRD</v>
      </c>
      <c r="C227" t="str">
        <f t="shared" si="1"/>
        <v>008</v>
      </c>
      <c r="D227">
        <v>1</v>
      </c>
      <c r="I227" s="18">
        <v>41012.636111111111</v>
      </c>
      <c r="J227" s="19">
        <f t="shared" si="2"/>
        <v>41012.469444444447</v>
      </c>
      <c r="K227" t="s">
        <v>161</v>
      </c>
      <c r="L227">
        <f t="shared" si="3"/>
        <v>46.528469999999999</v>
      </c>
      <c r="M227">
        <f t="shared" si="4"/>
        <v>-84.154210000000006</v>
      </c>
      <c r="N227">
        <f t="shared" si="5"/>
        <v>4.4196</v>
      </c>
      <c r="O227">
        <f t="shared" si="6"/>
        <v>1.524</v>
      </c>
      <c r="P227">
        <f t="shared" si="7"/>
        <v>2.8956</v>
      </c>
      <c r="S227" t="s">
        <v>162</v>
      </c>
      <c r="T227">
        <v>69</v>
      </c>
      <c r="U227">
        <f t="shared" si="8"/>
        <v>109911</v>
      </c>
      <c r="AE227" t="s">
        <v>163</v>
      </c>
      <c r="AF227" t="s">
        <v>108</v>
      </c>
      <c r="AG227" t="s">
        <v>164</v>
      </c>
      <c r="AH227" s="21" t="s">
        <v>108</v>
      </c>
      <c r="AI227" s="32">
        <v>41012</v>
      </c>
      <c r="AJ227" t="s">
        <v>388</v>
      </c>
      <c r="AK227" t="s">
        <v>205</v>
      </c>
      <c r="AL227" t="s">
        <v>361</v>
      </c>
      <c r="AM227" t="s">
        <v>216</v>
      </c>
      <c r="AN227" t="s">
        <v>380</v>
      </c>
      <c r="AO227">
        <v>109911</v>
      </c>
      <c r="AP227" t="s">
        <v>235</v>
      </c>
      <c r="AQ227" t="s">
        <v>389</v>
      </c>
      <c r="AR227">
        <v>0.4694444444444445</v>
      </c>
      <c r="AS227">
        <v>41012.469444444447</v>
      </c>
      <c r="AT227" s="35">
        <v>46.528469999999999</v>
      </c>
      <c r="AU227" s="35">
        <v>-84.154210000000006</v>
      </c>
      <c r="AV227">
        <v>14.5</v>
      </c>
      <c r="AW227" t="s">
        <v>390</v>
      </c>
      <c r="AX227">
        <v>2.8936999999999999</v>
      </c>
      <c r="AY227">
        <v>5</v>
      </c>
      <c r="AZ227" t="s">
        <v>217</v>
      </c>
    </row>
    <row r="228" spans="1:52" x14ac:dyDescent="0.25">
      <c r="A228" t="str">
        <f t="shared" si="0"/>
        <v>LGD</v>
      </c>
      <c r="C228" t="str">
        <f t="shared" si="1"/>
        <v>001</v>
      </c>
      <c r="D228">
        <v>1</v>
      </c>
      <c r="I228" s="18">
        <v>41012.726388888892</v>
      </c>
      <c r="J228" s="19">
        <f t="shared" si="2"/>
        <v>41012.55972222222</v>
      </c>
      <c r="K228" t="s">
        <v>161</v>
      </c>
      <c r="L228">
        <f t="shared" si="3"/>
        <v>46.407159999999998</v>
      </c>
      <c r="M228">
        <f t="shared" si="4"/>
        <v>-84.147819999999996</v>
      </c>
      <c r="N228">
        <f t="shared" si="5"/>
        <v>3.9624000000000001</v>
      </c>
      <c r="O228">
        <f t="shared" si="6"/>
        <v>0.9144000000000001</v>
      </c>
      <c r="P228">
        <f t="shared" si="7"/>
        <v>3.048</v>
      </c>
      <c r="S228" t="s">
        <v>162</v>
      </c>
      <c r="T228">
        <v>69</v>
      </c>
      <c r="U228">
        <f t="shared" si="8"/>
        <v>113212</v>
      </c>
      <c r="AE228" t="s">
        <v>163</v>
      </c>
      <c r="AF228" t="s">
        <v>108</v>
      </c>
      <c r="AG228" t="s">
        <v>179</v>
      </c>
      <c r="AH228" s="21" t="s">
        <v>108</v>
      </c>
      <c r="AI228" s="32">
        <v>41012</v>
      </c>
      <c r="AJ228" t="s">
        <v>388</v>
      </c>
      <c r="AK228" t="s">
        <v>205</v>
      </c>
      <c r="AL228" t="s">
        <v>361</v>
      </c>
      <c r="AM228" t="s">
        <v>219</v>
      </c>
      <c r="AN228" t="s">
        <v>380</v>
      </c>
      <c r="AO228">
        <v>113212</v>
      </c>
      <c r="AP228" t="s">
        <v>235</v>
      </c>
      <c r="AQ228" t="s">
        <v>389</v>
      </c>
      <c r="AR228">
        <v>0.55972222222222223</v>
      </c>
      <c r="AS228">
        <v>41012.55972222222</v>
      </c>
      <c r="AT228" s="35">
        <v>46.407159999999998</v>
      </c>
      <c r="AU228" s="35">
        <v>-84.147819999999996</v>
      </c>
      <c r="AV228">
        <v>13</v>
      </c>
      <c r="AW228" t="s">
        <v>390</v>
      </c>
      <c r="AX228">
        <v>3.0459999999999998</v>
      </c>
      <c r="AY228">
        <v>3</v>
      </c>
      <c r="AZ228" t="s">
        <v>208</v>
      </c>
    </row>
    <row r="229" spans="1:52" x14ac:dyDescent="0.25">
      <c r="A229" t="str">
        <f t="shared" si="0"/>
        <v>LGD</v>
      </c>
      <c r="C229" t="str">
        <f t="shared" si="1"/>
        <v>002</v>
      </c>
      <c r="D229">
        <v>1</v>
      </c>
      <c r="I229" s="18">
        <v>41012.730555555558</v>
      </c>
      <c r="J229" s="19">
        <f t="shared" si="2"/>
        <v>41012.563888888886</v>
      </c>
      <c r="K229" t="s">
        <v>161</v>
      </c>
      <c r="L229">
        <f t="shared" si="3"/>
        <v>46.4148</v>
      </c>
      <c r="M229">
        <f t="shared" si="4"/>
        <v>-84.151290000000003</v>
      </c>
      <c r="N229">
        <f t="shared" si="5"/>
        <v>3.7795200000000002</v>
      </c>
      <c r="O229">
        <f t="shared" si="6"/>
        <v>0.9144000000000001</v>
      </c>
      <c r="P229">
        <f t="shared" si="7"/>
        <v>2.8651200000000001</v>
      </c>
      <c r="S229" t="s">
        <v>162</v>
      </c>
      <c r="T229">
        <v>69</v>
      </c>
      <c r="U229">
        <f t="shared" si="8"/>
        <v>109456</v>
      </c>
      <c r="AE229" t="s">
        <v>163</v>
      </c>
      <c r="AF229" t="s">
        <v>108</v>
      </c>
      <c r="AG229" t="s">
        <v>179</v>
      </c>
      <c r="AH229" s="21" t="s">
        <v>108</v>
      </c>
      <c r="AI229" s="32">
        <v>41012</v>
      </c>
      <c r="AJ229" t="s">
        <v>388</v>
      </c>
      <c r="AK229" t="s">
        <v>205</v>
      </c>
      <c r="AL229" t="s">
        <v>361</v>
      </c>
      <c r="AM229" t="s">
        <v>220</v>
      </c>
      <c r="AN229" t="s">
        <v>380</v>
      </c>
      <c r="AO229">
        <v>109456</v>
      </c>
      <c r="AP229" t="s">
        <v>235</v>
      </c>
      <c r="AQ229" t="s">
        <v>389</v>
      </c>
      <c r="AR229">
        <v>0.56388888888888888</v>
      </c>
      <c r="AS229">
        <v>41012.563888888886</v>
      </c>
      <c r="AT229" s="35">
        <v>46.4148</v>
      </c>
      <c r="AU229" s="35">
        <v>-84.151290000000003</v>
      </c>
      <c r="AV229">
        <v>12.4</v>
      </c>
      <c r="AW229" t="s">
        <v>390</v>
      </c>
      <c r="AX229">
        <v>2.8632399999999998</v>
      </c>
      <c r="AY229">
        <v>3</v>
      </c>
      <c r="AZ229" t="s">
        <v>197</v>
      </c>
    </row>
    <row r="230" spans="1:52" x14ac:dyDescent="0.25">
      <c r="A230" t="str">
        <f t="shared" si="0"/>
        <v>DCK</v>
      </c>
      <c r="C230" t="str">
        <f t="shared" si="1"/>
        <v>001</v>
      </c>
      <c r="D230">
        <v>3</v>
      </c>
      <c r="I230" s="18">
        <v>41012.749305555553</v>
      </c>
      <c r="J230" s="19">
        <f t="shared" si="2"/>
        <v>41012.582638888889</v>
      </c>
      <c r="K230" t="s">
        <v>161</v>
      </c>
      <c r="L230">
        <f t="shared" si="3"/>
        <v>46.358730000000001</v>
      </c>
      <c r="M230">
        <f t="shared" si="4"/>
        <v>-84.135170000000002</v>
      </c>
      <c r="N230">
        <f t="shared" si="5"/>
        <v>6.2179199999999994</v>
      </c>
      <c r="O230">
        <f t="shared" si="6"/>
        <v>1.2192000000000001</v>
      </c>
      <c r="P230">
        <f t="shared" si="7"/>
        <v>4.9987199999999996</v>
      </c>
      <c r="S230" t="s">
        <v>162</v>
      </c>
      <c r="T230">
        <v>69</v>
      </c>
      <c r="U230">
        <f t="shared" si="8"/>
        <v>113219</v>
      </c>
      <c r="AE230" t="s">
        <v>163</v>
      </c>
      <c r="AF230" t="s">
        <v>108</v>
      </c>
      <c r="AG230" t="s">
        <v>164</v>
      </c>
      <c r="AH230" s="21" t="s">
        <v>108</v>
      </c>
      <c r="AI230" s="32">
        <v>41012</v>
      </c>
      <c r="AJ230" t="s">
        <v>388</v>
      </c>
      <c r="AK230" t="s">
        <v>205</v>
      </c>
      <c r="AL230" t="s">
        <v>361</v>
      </c>
      <c r="AM230" t="s">
        <v>221</v>
      </c>
      <c r="AN230" t="s">
        <v>380</v>
      </c>
      <c r="AO230">
        <v>113219</v>
      </c>
      <c r="AP230" t="s">
        <v>235</v>
      </c>
      <c r="AQ230" t="s">
        <v>389</v>
      </c>
      <c r="AR230">
        <v>0.58263888888888882</v>
      </c>
      <c r="AS230">
        <v>41012.582638888889</v>
      </c>
      <c r="AT230" s="35">
        <v>46.358730000000001</v>
      </c>
      <c r="AU230" s="35">
        <v>-84.135170000000002</v>
      </c>
      <c r="AV230">
        <v>20.399999999999999</v>
      </c>
      <c r="AW230" t="s">
        <v>390</v>
      </c>
      <c r="AX230">
        <v>4.9954399999999994</v>
      </c>
      <c r="AY230">
        <v>4</v>
      </c>
      <c r="AZ230" t="s">
        <v>222</v>
      </c>
    </row>
    <row r="231" spans="1:52" x14ac:dyDescent="0.25">
      <c r="A231" t="str">
        <f t="shared" si="0"/>
        <v>DCK</v>
      </c>
      <c r="C231" t="str">
        <f t="shared" si="1"/>
        <v>002</v>
      </c>
      <c r="D231">
        <v>4</v>
      </c>
      <c r="I231" s="18">
        <v>41012.758333333331</v>
      </c>
      <c r="J231" s="19">
        <f t="shared" si="2"/>
        <v>41012.591666666667</v>
      </c>
      <c r="K231" t="s">
        <v>161</v>
      </c>
      <c r="L231">
        <f t="shared" si="3"/>
        <v>46.359259999999999</v>
      </c>
      <c r="M231">
        <f t="shared" si="4"/>
        <v>-84.132130000000004</v>
      </c>
      <c r="N231">
        <f t="shared" si="5"/>
        <v>11.277600000000001</v>
      </c>
      <c r="O231">
        <f t="shared" si="6"/>
        <v>1.2192000000000001</v>
      </c>
      <c r="P231">
        <f t="shared" si="7"/>
        <v>10.058400000000001</v>
      </c>
      <c r="S231" t="s">
        <v>162</v>
      </c>
      <c r="T231">
        <v>69</v>
      </c>
      <c r="U231">
        <f t="shared" si="8"/>
        <v>109471</v>
      </c>
      <c r="AE231" t="s">
        <v>163</v>
      </c>
      <c r="AF231" t="s">
        <v>108</v>
      </c>
      <c r="AG231" t="s">
        <v>164</v>
      </c>
      <c r="AH231" s="21" t="s">
        <v>108</v>
      </c>
      <c r="AI231" s="32">
        <v>41012</v>
      </c>
      <c r="AJ231" t="s">
        <v>388</v>
      </c>
      <c r="AK231" t="s">
        <v>205</v>
      </c>
      <c r="AL231" t="s">
        <v>361</v>
      </c>
      <c r="AM231" t="s">
        <v>223</v>
      </c>
      <c r="AN231" t="s">
        <v>380</v>
      </c>
      <c r="AO231">
        <v>109471</v>
      </c>
      <c r="AP231" t="s">
        <v>235</v>
      </c>
      <c r="AQ231" t="s">
        <v>389</v>
      </c>
      <c r="AR231">
        <v>0.59166666666666667</v>
      </c>
      <c r="AS231">
        <v>41012.591666666667</v>
      </c>
      <c r="AT231" s="35">
        <v>46.359259999999999</v>
      </c>
      <c r="AU231" s="35">
        <v>-84.132130000000004</v>
      </c>
      <c r="AV231">
        <v>37</v>
      </c>
      <c r="AW231" t="s">
        <v>390</v>
      </c>
      <c r="AX231">
        <v>10.0518</v>
      </c>
      <c r="AY231">
        <v>4</v>
      </c>
      <c r="AZ231" t="s">
        <v>187</v>
      </c>
    </row>
    <row r="232" spans="1:52" x14ac:dyDescent="0.25">
      <c r="A232" t="str">
        <f t="shared" si="0"/>
        <v>DCK</v>
      </c>
      <c r="C232" t="str">
        <f t="shared" si="1"/>
        <v>003</v>
      </c>
      <c r="D232">
        <v>1</v>
      </c>
      <c r="I232" s="18">
        <v>41012.763194444444</v>
      </c>
      <c r="J232" s="19">
        <f t="shared" si="2"/>
        <v>41012.59652777778</v>
      </c>
      <c r="K232" t="s">
        <v>161</v>
      </c>
      <c r="L232">
        <f t="shared" si="3"/>
        <v>46.360259999999997</v>
      </c>
      <c r="M232">
        <f t="shared" si="4"/>
        <v>-84.129419999999996</v>
      </c>
      <c r="N232">
        <f t="shared" si="5"/>
        <v>6.7360800000000012</v>
      </c>
      <c r="O232">
        <f t="shared" si="6"/>
        <v>1.2192000000000001</v>
      </c>
      <c r="P232">
        <f t="shared" si="7"/>
        <v>5.5168800000000013</v>
      </c>
      <c r="S232" t="s">
        <v>162</v>
      </c>
      <c r="T232">
        <v>69</v>
      </c>
      <c r="U232">
        <f t="shared" si="8"/>
        <v>109431</v>
      </c>
      <c r="AE232" t="s">
        <v>163</v>
      </c>
      <c r="AF232" t="s">
        <v>108</v>
      </c>
      <c r="AG232" t="s">
        <v>164</v>
      </c>
      <c r="AH232" s="21" t="s">
        <v>108</v>
      </c>
      <c r="AI232" s="32">
        <v>41012</v>
      </c>
      <c r="AJ232" t="s">
        <v>388</v>
      </c>
      <c r="AK232" t="s">
        <v>205</v>
      </c>
      <c r="AL232" t="s">
        <v>361</v>
      </c>
      <c r="AM232" t="s">
        <v>224</v>
      </c>
      <c r="AN232" t="s">
        <v>380</v>
      </c>
      <c r="AO232">
        <v>109431</v>
      </c>
      <c r="AP232" t="s">
        <v>235</v>
      </c>
      <c r="AQ232" t="s">
        <v>389</v>
      </c>
      <c r="AR232">
        <v>0.59652777777777777</v>
      </c>
      <c r="AS232">
        <v>41012.59652777778</v>
      </c>
      <c r="AT232" s="35">
        <v>46.360259999999997</v>
      </c>
      <c r="AU232" s="35">
        <v>-84.129419999999996</v>
      </c>
      <c r="AV232">
        <v>22.1</v>
      </c>
      <c r="AW232" t="s">
        <v>390</v>
      </c>
      <c r="AX232">
        <v>5.5132599999999998</v>
      </c>
      <c r="AY232">
        <v>4</v>
      </c>
      <c r="AZ232" t="s">
        <v>187</v>
      </c>
    </row>
    <row r="233" spans="1:52" x14ac:dyDescent="0.25">
      <c r="A233" t="str">
        <f t="shared" si="0"/>
        <v>DCK</v>
      </c>
      <c r="C233" t="str">
        <f t="shared" si="1"/>
        <v>004</v>
      </c>
      <c r="D233">
        <v>1</v>
      </c>
      <c r="I233" s="18">
        <v>41012.779166666667</v>
      </c>
      <c r="J233" s="19">
        <f t="shared" si="2"/>
        <v>41012.612500000003</v>
      </c>
      <c r="K233" t="s">
        <v>161</v>
      </c>
      <c r="L233">
        <f t="shared" si="3"/>
        <v>46.361809999999998</v>
      </c>
      <c r="M233">
        <f t="shared" si="4"/>
        <v>-84.130750000000006</v>
      </c>
      <c r="N233">
        <f t="shared" si="5"/>
        <v>7.3761600000000005</v>
      </c>
      <c r="O233">
        <f t="shared" si="6"/>
        <v>1.2192000000000001</v>
      </c>
      <c r="P233">
        <f t="shared" si="7"/>
        <v>6.1569600000000007</v>
      </c>
      <c r="S233" t="s">
        <v>162</v>
      </c>
      <c r="T233">
        <v>69</v>
      </c>
      <c r="U233">
        <f t="shared" si="8"/>
        <v>109877</v>
      </c>
      <c r="AE233" t="s">
        <v>163</v>
      </c>
      <c r="AF233" t="s">
        <v>108</v>
      </c>
      <c r="AG233" t="s">
        <v>164</v>
      </c>
      <c r="AH233" s="21" t="s">
        <v>108</v>
      </c>
      <c r="AI233" s="32">
        <v>41012</v>
      </c>
      <c r="AJ233" t="s">
        <v>388</v>
      </c>
      <c r="AK233" t="s">
        <v>205</v>
      </c>
      <c r="AL233" t="s">
        <v>361</v>
      </c>
      <c r="AM233" t="s">
        <v>225</v>
      </c>
      <c r="AN233" t="s">
        <v>380</v>
      </c>
      <c r="AO233">
        <v>109877</v>
      </c>
      <c r="AP233" t="s">
        <v>235</v>
      </c>
      <c r="AQ233" t="s">
        <v>389</v>
      </c>
      <c r="AR233">
        <v>0.61249999999999993</v>
      </c>
      <c r="AS233">
        <v>41012.612500000003</v>
      </c>
      <c r="AT233" s="35">
        <v>46.361809999999998</v>
      </c>
      <c r="AU233" s="35">
        <v>-84.130750000000006</v>
      </c>
      <c r="AV233">
        <v>24.2</v>
      </c>
      <c r="AW233" t="s">
        <v>390</v>
      </c>
      <c r="AX233">
        <v>6.1529199999999991</v>
      </c>
      <c r="AY233">
        <v>4</v>
      </c>
      <c r="AZ233" t="s">
        <v>187</v>
      </c>
    </row>
    <row r="234" spans="1:52" x14ac:dyDescent="0.25">
      <c r="A234" t="str">
        <f t="shared" si="0"/>
        <v>DCK</v>
      </c>
      <c r="C234" t="str">
        <f t="shared" si="1"/>
        <v>005</v>
      </c>
      <c r="D234">
        <v>1</v>
      </c>
      <c r="I234" s="18">
        <v>41012.788888888892</v>
      </c>
      <c r="J234" s="19">
        <f t="shared" si="2"/>
        <v>41012.62222222222</v>
      </c>
      <c r="K234" t="s">
        <v>161</v>
      </c>
      <c r="L234">
        <f t="shared" si="3"/>
        <v>46.361139999999999</v>
      </c>
      <c r="M234">
        <f t="shared" si="4"/>
        <v>-84.13373</v>
      </c>
      <c r="N234">
        <f t="shared" si="5"/>
        <v>14.56944</v>
      </c>
      <c r="O234">
        <f t="shared" si="6"/>
        <v>1.2192000000000001</v>
      </c>
      <c r="P234">
        <f t="shared" si="7"/>
        <v>13.350239999999999</v>
      </c>
      <c r="S234" t="s">
        <v>162</v>
      </c>
      <c r="T234">
        <v>69</v>
      </c>
      <c r="U234">
        <f t="shared" si="8"/>
        <v>109421</v>
      </c>
      <c r="AE234" t="s">
        <v>163</v>
      </c>
      <c r="AF234" t="s">
        <v>108</v>
      </c>
      <c r="AG234" t="s">
        <v>164</v>
      </c>
      <c r="AH234" s="21" t="s">
        <v>108</v>
      </c>
      <c r="AI234" s="32">
        <v>41012</v>
      </c>
      <c r="AJ234" t="s">
        <v>388</v>
      </c>
      <c r="AK234" t="s">
        <v>205</v>
      </c>
      <c r="AL234" t="s">
        <v>361</v>
      </c>
      <c r="AM234" t="s">
        <v>226</v>
      </c>
      <c r="AN234" t="s">
        <v>380</v>
      </c>
      <c r="AO234">
        <v>109421</v>
      </c>
      <c r="AP234" t="s">
        <v>235</v>
      </c>
      <c r="AQ234" t="s">
        <v>389</v>
      </c>
      <c r="AR234">
        <v>0.62222222222222223</v>
      </c>
      <c r="AS234">
        <v>41012.62222222222</v>
      </c>
      <c r="AT234" s="35">
        <v>46.361139999999999</v>
      </c>
      <c r="AU234" s="35">
        <v>-84.13373</v>
      </c>
      <c r="AV234">
        <v>47.8</v>
      </c>
      <c r="AW234" t="s">
        <v>390</v>
      </c>
      <c r="AX234">
        <v>13.341479999999999</v>
      </c>
      <c r="AY234">
        <v>4</v>
      </c>
      <c r="AZ234" t="s">
        <v>227</v>
      </c>
    </row>
    <row r="235" spans="1:52" x14ac:dyDescent="0.25">
      <c r="A235" t="str">
        <f t="shared" si="0"/>
        <v>DCK</v>
      </c>
      <c r="C235" t="str">
        <f t="shared" si="1"/>
        <v>006</v>
      </c>
      <c r="D235">
        <v>1</v>
      </c>
      <c r="I235" s="18">
        <v>41012.795138888891</v>
      </c>
      <c r="J235" s="19">
        <f t="shared" si="2"/>
        <v>41012.628472222219</v>
      </c>
      <c r="K235" t="s">
        <v>161</v>
      </c>
      <c r="L235">
        <f t="shared" si="3"/>
        <v>46.360399999999998</v>
      </c>
      <c r="M235">
        <f t="shared" si="4"/>
        <v>-84.136269999999996</v>
      </c>
      <c r="N235">
        <f t="shared" si="5"/>
        <v>6.9189600000000002</v>
      </c>
      <c r="O235">
        <f t="shared" si="6"/>
        <v>1.2192000000000001</v>
      </c>
      <c r="P235">
        <f t="shared" si="7"/>
        <v>5.6997600000000004</v>
      </c>
      <c r="S235" t="s">
        <v>162</v>
      </c>
      <c r="T235">
        <v>69</v>
      </c>
      <c r="U235">
        <f t="shared" si="8"/>
        <v>109473</v>
      </c>
      <c r="AE235" t="s">
        <v>163</v>
      </c>
      <c r="AF235" t="s">
        <v>108</v>
      </c>
      <c r="AG235" t="s">
        <v>164</v>
      </c>
      <c r="AH235" s="21" t="s">
        <v>108</v>
      </c>
      <c r="AI235" s="32">
        <v>41012</v>
      </c>
      <c r="AJ235" t="s">
        <v>388</v>
      </c>
      <c r="AK235" t="s">
        <v>205</v>
      </c>
      <c r="AL235" t="s">
        <v>361</v>
      </c>
      <c r="AM235" t="s">
        <v>228</v>
      </c>
      <c r="AN235" t="s">
        <v>380</v>
      </c>
      <c r="AO235">
        <v>109473</v>
      </c>
      <c r="AP235" t="s">
        <v>235</v>
      </c>
      <c r="AQ235" t="s">
        <v>389</v>
      </c>
      <c r="AR235">
        <v>0.62847222222222221</v>
      </c>
      <c r="AS235">
        <v>41012.628472222219</v>
      </c>
      <c r="AT235" s="35">
        <v>46.360399999999998</v>
      </c>
      <c r="AU235" s="35">
        <v>-84.136269999999996</v>
      </c>
      <c r="AV235">
        <v>22.7</v>
      </c>
      <c r="AW235" t="s">
        <v>390</v>
      </c>
      <c r="AX235">
        <v>5.6960199999999999</v>
      </c>
      <c r="AY235">
        <v>4</v>
      </c>
      <c r="AZ235" t="s">
        <v>229</v>
      </c>
    </row>
    <row r="236" spans="1:52" x14ac:dyDescent="0.25">
      <c r="A236" t="str">
        <f t="shared" si="0"/>
        <v>STR</v>
      </c>
      <c r="C236" t="str">
        <f t="shared" si="1"/>
        <v>002</v>
      </c>
      <c r="D236">
        <v>3</v>
      </c>
      <c r="I236" s="18">
        <v>41012.805555555555</v>
      </c>
      <c r="J236" s="19">
        <f t="shared" si="2"/>
        <v>41012.638888888891</v>
      </c>
      <c r="K236" t="s">
        <v>161</v>
      </c>
      <c r="L236">
        <f t="shared" si="3"/>
        <v>46.318779999999997</v>
      </c>
      <c r="M236">
        <f t="shared" si="4"/>
        <v>-84.111879999999999</v>
      </c>
      <c r="N236">
        <f t="shared" si="5"/>
        <v>4.2062400000000002</v>
      </c>
      <c r="O236">
        <f t="shared" si="6"/>
        <v>0.9144000000000001</v>
      </c>
      <c r="P236">
        <f t="shared" si="7"/>
        <v>3.2918400000000001</v>
      </c>
      <c r="S236" t="s">
        <v>162</v>
      </c>
      <c r="T236">
        <v>69</v>
      </c>
      <c r="U236">
        <f t="shared" si="8"/>
        <v>109457</v>
      </c>
      <c r="AE236" t="s">
        <v>163</v>
      </c>
      <c r="AF236" t="s">
        <v>108</v>
      </c>
      <c r="AG236" t="s">
        <v>179</v>
      </c>
      <c r="AH236" s="21" t="s">
        <v>108</v>
      </c>
      <c r="AI236" s="32">
        <v>41012</v>
      </c>
      <c r="AJ236" t="s">
        <v>388</v>
      </c>
      <c r="AK236" t="s">
        <v>205</v>
      </c>
      <c r="AL236" t="s">
        <v>361</v>
      </c>
      <c r="AM236" t="s">
        <v>230</v>
      </c>
      <c r="AN236" t="s">
        <v>380</v>
      </c>
      <c r="AO236">
        <v>109457</v>
      </c>
      <c r="AP236" t="s">
        <v>235</v>
      </c>
      <c r="AQ236" t="s">
        <v>389</v>
      </c>
      <c r="AR236">
        <v>0.63888888888888895</v>
      </c>
      <c r="AS236">
        <v>41012.638888888891</v>
      </c>
      <c r="AT236" s="35">
        <v>46.318779999999997</v>
      </c>
      <c r="AU236" s="35">
        <v>-84.111879999999999</v>
      </c>
      <c r="AV236">
        <v>13.8</v>
      </c>
      <c r="AW236" t="s">
        <v>390</v>
      </c>
      <c r="AX236">
        <v>3.2896800000000002</v>
      </c>
      <c r="AY236">
        <v>3</v>
      </c>
      <c r="AZ236" t="s">
        <v>208</v>
      </c>
    </row>
    <row r="237" spans="1:52" x14ac:dyDescent="0.25">
      <c r="A237" t="str">
        <f t="shared" si="0"/>
        <v>STR</v>
      </c>
      <c r="C237" t="str">
        <f t="shared" si="1"/>
        <v>001</v>
      </c>
      <c r="D237">
        <v>3</v>
      </c>
      <c r="I237" s="18">
        <v>41012.811111111114</v>
      </c>
      <c r="J237" s="19">
        <f t="shared" si="2"/>
        <v>41012.644444444442</v>
      </c>
      <c r="K237" t="s">
        <v>161</v>
      </c>
      <c r="L237">
        <f t="shared" si="3"/>
        <v>46.317360000000001</v>
      </c>
      <c r="M237">
        <f t="shared" si="4"/>
        <v>-84.119069999999994</v>
      </c>
      <c r="N237">
        <f t="shared" si="5"/>
        <v>3.4442400000000002</v>
      </c>
      <c r="O237">
        <f t="shared" si="6"/>
        <v>0.9144000000000001</v>
      </c>
      <c r="P237">
        <f t="shared" si="7"/>
        <v>2.5298400000000001</v>
      </c>
      <c r="S237" t="s">
        <v>162</v>
      </c>
      <c r="T237">
        <v>69</v>
      </c>
      <c r="U237">
        <f t="shared" si="8"/>
        <v>109936</v>
      </c>
      <c r="AE237" t="s">
        <v>163</v>
      </c>
      <c r="AF237" t="s">
        <v>108</v>
      </c>
      <c r="AG237" t="s">
        <v>179</v>
      </c>
      <c r="AH237" s="21" t="s">
        <v>108</v>
      </c>
      <c r="AI237" s="32">
        <v>41012</v>
      </c>
      <c r="AJ237" t="s">
        <v>388</v>
      </c>
      <c r="AK237" t="s">
        <v>205</v>
      </c>
      <c r="AL237" t="s">
        <v>361</v>
      </c>
      <c r="AM237" t="s">
        <v>231</v>
      </c>
      <c r="AN237" t="s">
        <v>380</v>
      </c>
      <c r="AO237">
        <v>109936</v>
      </c>
      <c r="AP237" t="s">
        <v>235</v>
      </c>
      <c r="AQ237" t="s">
        <v>389</v>
      </c>
      <c r="AR237">
        <v>0.64444444444444449</v>
      </c>
      <c r="AS237">
        <v>41012.644444444442</v>
      </c>
      <c r="AT237" s="35">
        <v>46.317360000000001</v>
      </c>
      <c r="AU237" s="35">
        <v>-84.119069999999994</v>
      </c>
      <c r="AV237">
        <v>11.3</v>
      </c>
      <c r="AW237" t="s">
        <v>390</v>
      </c>
      <c r="AX237">
        <v>2.5281799999999999</v>
      </c>
      <c r="AY237">
        <v>3</v>
      </c>
      <c r="AZ237" t="s">
        <v>217</v>
      </c>
    </row>
    <row r="238" spans="1:52" x14ac:dyDescent="0.25">
      <c r="A238" t="str">
        <f t="shared" si="0"/>
        <v>NNM</v>
      </c>
      <c r="C238" t="str">
        <f t="shared" si="1"/>
        <v>001</v>
      </c>
      <c r="D238">
        <v>1</v>
      </c>
      <c r="I238" s="18">
        <v>41012.82708333333</v>
      </c>
      <c r="J238" s="19">
        <f t="shared" si="2"/>
        <v>41012.660416666666</v>
      </c>
      <c r="K238" t="s">
        <v>161</v>
      </c>
      <c r="L238">
        <f t="shared" si="3"/>
        <v>46.388979999999997</v>
      </c>
      <c r="M238">
        <f t="shared" si="4"/>
        <v>-84.22766</v>
      </c>
      <c r="N238">
        <f t="shared" si="5"/>
        <v>6.4922400000000007</v>
      </c>
      <c r="O238">
        <f t="shared" si="6"/>
        <v>0.9144000000000001</v>
      </c>
      <c r="P238">
        <f t="shared" si="7"/>
        <v>5.5778400000000001</v>
      </c>
      <c r="S238" t="s">
        <v>162</v>
      </c>
      <c r="T238">
        <v>69</v>
      </c>
      <c r="U238">
        <f t="shared" si="8"/>
        <v>109494</v>
      </c>
      <c r="AE238" t="s">
        <v>163</v>
      </c>
      <c r="AF238" t="s">
        <v>108</v>
      </c>
      <c r="AG238" t="s">
        <v>179</v>
      </c>
      <c r="AH238" s="21" t="s">
        <v>108</v>
      </c>
      <c r="AI238" s="32">
        <v>41012</v>
      </c>
      <c r="AJ238" t="s">
        <v>388</v>
      </c>
      <c r="AK238" t="s">
        <v>205</v>
      </c>
      <c r="AL238" t="s">
        <v>361</v>
      </c>
      <c r="AM238" t="s">
        <v>233</v>
      </c>
      <c r="AN238" t="s">
        <v>380</v>
      </c>
      <c r="AO238">
        <v>109494</v>
      </c>
      <c r="AP238" t="s">
        <v>235</v>
      </c>
      <c r="AQ238" t="s">
        <v>389</v>
      </c>
      <c r="AR238">
        <v>0.66041666666666665</v>
      </c>
      <c r="AS238">
        <v>41012.660416666666</v>
      </c>
      <c r="AT238" s="35">
        <v>46.388979999999997</v>
      </c>
      <c r="AU238" s="35">
        <v>-84.22766</v>
      </c>
      <c r="AV238">
        <v>21.3</v>
      </c>
      <c r="AW238" t="s">
        <v>390</v>
      </c>
      <c r="AX238">
        <v>5.5741800000000001</v>
      </c>
      <c r="AY238">
        <v>3</v>
      </c>
      <c r="AZ238" t="s">
        <v>234</v>
      </c>
    </row>
    <row r="239" spans="1:52" x14ac:dyDescent="0.25">
      <c r="A239" t="str">
        <f t="shared" si="0"/>
        <v>NNM</v>
      </c>
      <c r="C239" t="str">
        <f t="shared" si="1"/>
        <v>002</v>
      </c>
      <c r="D239">
        <v>1</v>
      </c>
      <c r="I239" s="18">
        <v>41012.836111111108</v>
      </c>
      <c r="J239" s="19">
        <f t="shared" si="2"/>
        <v>41012.669444444444</v>
      </c>
      <c r="K239" t="s">
        <v>161</v>
      </c>
      <c r="L239">
        <f t="shared" si="3"/>
        <v>46.386249999999997</v>
      </c>
      <c r="M239">
        <f t="shared" si="4"/>
        <v>-84.235219999999998</v>
      </c>
      <c r="N239">
        <f t="shared" si="5"/>
        <v>4.9682400000000007</v>
      </c>
      <c r="O239">
        <f t="shared" si="6"/>
        <v>0.9144000000000001</v>
      </c>
      <c r="P239">
        <f t="shared" si="7"/>
        <v>4.053840000000001</v>
      </c>
      <c r="S239" t="s">
        <v>162</v>
      </c>
      <c r="T239">
        <v>69</v>
      </c>
      <c r="U239">
        <f t="shared" si="8"/>
        <v>109448</v>
      </c>
      <c r="AE239" t="s">
        <v>163</v>
      </c>
      <c r="AF239" t="s">
        <v>108</v>
      </c>
      <c r="AG239" t="s">
        <v>179</v>
      </c>
      <c r="AH239" s="21" t="s">
        <v>108</v>
      </c>
      <c r="AI239" s="32">
        <v>41012</v>
      </c>
      <c r="AJ239" t="s">
        <v>388</v>
      </c>
      <c r="AK239" t="s">
        <v>205</v>
      </c>
      <c r="AL239" t="s">
        <v>361</v>
      </c>
      <c r="AM239" t="s">
        <v>358</v>
      </c>
      <c r="AN239" t="s">
        <v>380</v>
      </c>
      <c r="AO239">
        <v>109448</v>
      </c>
      <c r="AP239" t="s">
        <v>235</v>
      </c>
      <c r="AQ239" t="s">
        <v>389</v>
      </c>
      <c r="AR239">
        <v>0.6694444444444444</v>
      </c>
      <c r="AS239">
        <v>41012.669444444444</v>
      </c>
      <c r="AT239" s="35">
        <v>46.386249999999997</v>
      </c>
      <c r="AU239" s="35">
        <v>-84.235219999999998</v>
      </c>
      <c r="AV239">
        <v>16.3</v>
      </c>
      <c r="AW239" t="s">
        <v>390</v>
      </c>
      <c r="AX239">
        <v>4.0511799999999996</v>
      </c>
      <c r="AY239">
        <v>3</v>
      </c>
      <c r="AZ239" t="s">
        <v>357</v>
      </c>
    </row>
    <row r="240" spans="1:52" x14ac:dyDescent="0.25">
      <c r="A240" t="str">
        <f t="shared" ref="A240:A271" si="9">LEFT(AM240,3)</f>
        <v>SSM</v>
      </c>
      <c r="C240" t="str">
        <f t="shared" ref="C240:C271" si="10">RIGHT(AM240,3)</f>
        <v>004</v>
      </c>
      <c r="D240">
        <v>4</v>
      </c>
      <c r="I240" s="18">
        <v>41013.78125</v>
      </c>
      <c r="J240" s="19">
        <f t="shared" ref="J240:J271" si="11">AS240</f>
        <v>41013.614583333336</v>
      </c>
      <c r="K240" t="s">
        <v>161</v>
      </c>
      <c r="L240">
        <f t="shared" ref="L240:L271" si="12">AT240</f>
        <v>46.500509999999998</v>
      </c>
      <c r="M240">
        <f t="shared" ref="M240:M271" si="13">AU240</f>
        <v>-84.337559999999996</v>
      </c>
      <c r="N240">
        <f t="shared" ref="N240:N265" si="14">AV240*0.3048</f>
        <v>2.4384000000000001</v>
      </c>
      <c r="O240">
        <f t="shared" ref="O240:O265" si="15">AY240*0.3048</f>
        <v>1.2192000000000001</v>
      </c>
      <c r="P240">
        <f t="shared" ref="P240:P265" si="16">N240-O240</f>
        <v>1.2192000000000001</v>
      </c>
      <c r="S240" t="s">
        <v>162</v>
      </c>
      <c r="T240">
        <v>69</v>
      </c>
      <c r="U240">
        <f t="shared" ref="U240:U271" si="17">AO240</f>
        <v>109986</v>
      </c>
      <c r="AE240" t="s">
        <v>163</v>
      </c>
      <c r="AF240" t="s">
        <v>108</v>
      </c>
      <c r="AG240" t="s">
        <v>164</v>
      </c>
      <c r="AH240" s="21" t="s">
        <v>108</v>
      </c>
      <c r="AI240" s="32">
        <v>41013</v>
      </c>
      <c r="AJ240" t="s">
        <v>388</v>
      </c>
      <c r="AK240" t="s">
        <v>238</v>
      </c>
      <c r="AL240" t="s">
        <v>361</v>
      </c>
      <c r="AM240" t="s">
        <v>236</v>
      </c>
      <c r="AN240" t="s">
        <v>380</v>
      </c>
      <c r="AO240">
        <v>109986</v>
      </c>
      <c r="AP240" t="s">
        <v>235</v>
      </c>
      <c r="AQ240" t="s">
        <v>389</v>
      </c>
      <c r="AR240">
        <v>0.61458333333333337</v>
      </c>
      <c r="AS240">
        <v>41013.614583333336</v>
      </c>
      <c r="AT240" s="35">
        <v>46.500509999999998</v>
      </c>
      <c r="AU240" s="35">
        <v>-84.337559999999996</v>
      </c>
      <c r="AV240">
        <v>8</v>
      </c>
      <c r="AW240" t="s">
        <v>390</v>
      </c>
      <c r="AX240">
        <v>1.2183999999999999</v>
      </c>
      <c r="AY240">
        <v>4</v>
      </c>
      <c r="AZ240" t="s">
        <v>237</v>
      </c>
    </row>
    <row r="241" spans="1:52" x14ac:dyDescent="0.25">
      <c r="A241" t="str">
        <f t="shared" si="9"/>
        <v>SSM</v>
      </c>
      <c r="C241" t="str">
        <f t="shared" si="10"/>
        <v>005</v>
      </c>
      <c r="D241">
        <v>2</v>
      </c>
      <c r="I241" s="18">
        <v>41013.786111111112</v>
      </c>
      <c r="J241" s="19">
        <f t="shared" si="11"/>
        <v>41013.619444444441</v>
      </c>
      <c r="K241" t="s">
        <v>161</v>
      </c>
      <c r="L241">
        <f t="shared" si="12"/>
        <v>46.503489999999999</v>
      </c>
      <c r="M241">
        <f t="shared" si="13"/>
        <v>-84.338700000000003</v>
      </c>
      <c r="N241">
        <f t="shared" si="14"/>
        <v>10.241280000000001</v>
      </c>
      <c r="O241">
        <f t="shared" si="15"/>
        <v>1.2192000000000001</v>
      </c>
      <c r="P241">
        <f t="shared" si="16"/>
        <v>9.0220800000000008</v>
      </c>
      <c r="S241" t="s">
        <v>162</v>
      </c>
      <c r="T241">
        <v>69</v>
      </c>
      <c r="U241">
        <f t="shared" si="17"/>
        <v>109420</v>
      </c>
      <c r="AE241" t="s">
        <v>163</v>
      </c>
      <c r="AF241" t="s">
        <v>108</v>
      </c>
      <c r="AG241" t="s">
        <v>164</v>
      </c>
      <c r="AH241" s="21" t="s">
        <v>108</v>
      </c>
      <c r="AI241" s="32">
        <v>41013</v>
      </c>
      <c r="AJ241" t="s">
        <v>388</v>
      </c>
      <c r="AK241" t="s">
        <v>238</v>
      </c>
      <c r="AL241" t="s">
        <v>361</v>
      </c>
      <c r="AM241" t="s">
        <v>239</v>
      </c>
      <c r="AN241" t="s">
        <v>380</v>
      </c>
      <c r="AO241">
        <v>109420</v>
      </c>
      <c r="AP241" t="s">
        <v>235</v>
      </c>
      <c r="AQ241" t="s">
        <v>389</v>
      </c>
      <c r="AR241">
        <v>0.61944444444444446</v>
      </c>
      <c r="AS241">
        <v>41013.619444444441</v>
      </c>
      <c r="AT241" s="35">
        <v>46.503489999999999</v>
      </c>
      <c r="AU241" s="35">
        <v>-84.338700000000003</v>
      </c>
      <c r="AV241">
        <v>33.6</v>
      </c>
      <c r="AW241" t="s">
        <v>390</v>
      </c>
      <c r="AX241">
        <v>9.0161599999999993</v>
      </c>
      <c r="AY241">
        <v>4</v>
      </c>
      <c r="AZ241" t="s">
        <v>240</v>
      </c>
    </row>
    <row r="242" spans="1:52" x14ac:dyDescent="0.25">
      <c r="A242" t="str">
        <f t="shared" si="9"/>
        <v>SSM</v>
      </c>
      <c r="C242" t="str">
        <f t="shared" si="10"/>
        <v>015</v>
      </c>
      <c r="D242">
        <v>5</v>
      </c>
      <c r="I242" s="18">
        <v>41013.797222222223</v>
      </c>
      <c r="J242" s="19">
        <f t="shared" si="11"/>
        <v>41013.630555555559</v>
      </c>
      <c r="K242" t="s">
        <v>161</v>
      </c>
      <c r="L242">
        <f t="shared" si="12"/>
        <v>46.511209999999998</v>
      </c>
      <c r="M242">
        <f t="shared" si="13"/>
        <v>-84.342879999999994</v>
      </c>
      <c r="N242">
        <f t="shared" si="14"/>
        <v>5.60832</v>
      </c>
      <c r="O242">
        <f t="shared" si="15"/>
        <v>1.2192000000000001</v>
      </c>
      <c r="P242">
        <f t="shared" si="16"/>
        <v>4.3891200000000001</v>
      </c>
      <c r="S242" t="s">
        <v>162</v>
      </c>
      <c r="T242">
        <v>69</v>
      </c>
      <c r="U242">
        <f t="shared" si="17"/>
        <v>109907</v>
      </c>
      <c r="AE242" t="s">
        <v>163</v>
      </c>
      <c r="AF242" t="s">
        <v>108</v>
      </c>
      <c r="AG242" t="s">
        <v>164</v>
      </c>
      <c r="AH242" s="21" t="s">
        <v>108</v>
      </c>
      <c r="AI242" s="32">
        <v>41013</v>
      </c>
      <c r="AJ242" t="s">
        <v>388</v>
      </c>
      <c r="AK242" t="s">
        <v>238</v>
      </c>
      <c r="AL242" t="s">
        <v>361</v>
      </c>
      <c r="AM242" t="s">
        <v>241</v>
      </c>
      <c r="AN242" t="s">
        <v>380</v>
      </c>
      <c r="AO242">
        <v>109907</v>
      </c>
      <c r="AP242" t="s">
        <v>235</v>
      </c>
      <c r="AQ242" t="s">
        <v>389</v>
      </c>
      <c r="AR242">
        <v>0.63055555555555554</v>
      </c>
      <c r="AS242">
        <v>41013.630555555559</v>
      </c>
      <c r="AT242" s="35">
        <v>46.511209999999998</v>
      </c>
      <c r="AU242" s="35">
        <v>-84.342879999999994</v>
      </c>
      <c r="AV242">
        <v>18.399999999999999</v>
      </c>
      <c r="AW242" t="s">
        <v>390</v>
      </c>
      <c r="AX242">
        <v>4.386239999999999</v>
      </c>
      <c r="AY242">
        <v>4</v>
      </c>
      <c r="AZ242" t="s">
        <v>217</v>
      </c>
    </row>
    <row r="243" spans="1:52" x14ac:dyDescent="0.25">
      <c r="A243" t="str">
        <f t="shared" si="9"/>
        <v>SSM</v>
      </c>
      <c r="C243" t="str">
        <f t="shared" si="10"/>
        <v>018</v>
      </c>
      <c r="D243">
        <v>5</v>
      </c>
      <c r="I243" s="18">
        <v>41013.802083333336</v>
      </c>
      <c r="J243" s="19">
        <f t="shared" si="11"/>
        <v>41013.635416666664</v>
      </c>
      <c r="K243" t="s">
        <v>161</v>
      </c>
      <c r="L243">
        <f t="shared" si="12"/>
        <v>46.512909999999998</v>
      </c>
      <c r="M243">
        <f t="shared" si="13"/>
        <v>-84.344200000000001</v>
      </c>
      <c r="N243">
        <f t="shared" si="14"/>
        <v>5.3035199999999998</v>
      </c>
      <c r="O243">
        <f t="shared" si="15"/>
        <v>1.2192000000000001</v>
      </c>
      <c r="P243">
        <f t="shared" si="16"/>
        <v>4.08432</v>
      </c>
      <c r="S243" t="s">
        <v>162</v>
      </c>
      <c r="T243">
        <v>69</v>
      </c>
      <c r="U243">
        <f t="shared" si="17"/>
        <v>109447</v>
      </c>
      <c r="AE243" t="s">
        <v>163</v>
      </c>
      <c r="AF243" t="s">
        <v>108</v>
      </c>
      <c r="AG243" t="s">
        <v>164</v>
      </c>
      <c r="AH243" s="21" t="s">
        <v>108</v>
      </c>
      <c r="AI243" s="32">
        <v>41013</v>
      </c>
      <c r="AJ243" t="s">
        <v>388</v>
      </c>
      <c r="AK243" t="s">
        <v>238</v>
      </c>
      <c r="AL243" t="s">
        <v>361</v>
      </c>
      <c r="AM243" t="s">
        <v>242</v>
      </c>
      <c r="AN243" t="s">
        <v>380</v>
      </c>
      <c r="AO243">
        <v>109447</v>
      </c>
      <c r="AP243" t="s">
        <v>235</v>
      </c>
      <c r="AQ243" t="s">
        <v>389</v>
      </c>
      <c r="AR243">
        <v>0.63541666666666663</v>
      </c>
      <c r="AS243">
        <v>41013.635416666664</v>
      </c>
      <c r="AT243" s="35">
        <v>46.512909999999998</v>
      </c>
      <c r="AU243" s="35">
        <v>-84.344200000000001</v>
      </c>
      <c r="AV243">
        <v>17.399999999999999</v>
      </c>
      <c r="AW243" t="s">
        <v>390</v>
      </c>
      <c r="AX243">
        <v>4.0816399999999993</v>
      </c>
      <c r="AY243">
        <v>4</v>
      </c>
      <c r="AZ243" t="s">
        <v>217</v>
      </c>
    </row>
    <row r="244" spans="1:52" x14ac:dyDescent="0.25">
      <c r="A244" t="str">
        <f t="shared" si="9"/>
        <v>EDS</v>
      </c>
      <c r="C244" t="str">
        <f t="shared" si="10"/>
        <v>001</v>
      </c>
      <c r="D244">
        <v>3</v>
      </c>
      <c r="I244" s="18">
        <v>41014.663888888892</v>
      </c>
      <c r="J244" s="19">
        <f t="shared" si="11"/>
        <v>41014.49722222222</v>
      </c>
      <c r="K244" t="s">
        <v>161</v>
      </c>
      <c r="L244">
        <f t="shared" si="12"/>
        <v>46.498550000000002</v>
      </c>
      <c r="M244">
        <f t="shared" si="13"/>
        <v>-84.333479999999994</v>
      </c>
      <c r="N244">
        <f t="shared" si="14"/>
        <v>6.1874400000000005</v>
      </c>
      <c r="O244">
        <f t="shared" si="15"/>
        <v>1.2192000000000001</v>
      </c>
      <c r="P244">
        <f t="shared" si="16"/>
        <v>4.9682400000000007</v>
      </c>
      <c r="S244" t="s">
        <v>162</v>
      </c>
      <c r="T244">
        <v>69</v>
      </c>
      <c r="U244">
        <f t="shared" si="17"/>
        <v>110011</v>
      </c>
      <c r="AE244" t="s">
        <v>163</v>
      </c>
      <c r="AF244" t="s">
        <v>108</v>
      </c>
      <c r="AG244" t="s">
        <v>164</v>
      </c>
      <c r="AH244" s="21" t="s">
        <v>108</v>
      </c>
      <c r="AI244" s="32">
        <v>41014</v>
      </c>
      <c r="AJ244" t="s">
        <v>388</v>
      </c>
      <c r="AK244" t="s">
        <v>245</v>
      </c>
      <c r="AL244" t="s">
        <v>361</v>
      </c>
      <c r="AM244" t="s">
        <v>243</v>
      </c>
      <c r="AN244" t="s">
        <v>380</v>
      </c>
      <c r="AO244">
        <v>110011</v>
      </c>
      <c r="AP244" t="s">
        <v>235</v>
      </c>
      <c r="AQ244" t="s">
        <v>389</v>
      </c>
      <c r="AR244">
        <v>0.49722222222222223</v>
      </c>
      <c r="AS244">
        <v>41014.49722222222</v>
      </c>
      <c r="AT244" s="35">
        <v>46.498550000000002</v>
      </c>
      <c r="AU244" s="35">
        <v>-84.333479999999994</v>
      </c>
      <c r="AV244">
        <v>20.3</v>
      </c>
      <c r="AW244" t="s">
        <v>390</v>
      </c>
      <c r="AX244">
        <v>4.9649799999999997</v>
      </c>
      <c r="AY244">
        <v>4</v>
      </c>
      <c r="AZ244" t="s">
        <v>244</v>
      </c>
    </row>
    <row r="245" spans="1:52" x14ac:dyDescent="0.25">
      <c r="A245" t="str">
        <f t="shared" si="9"/>
        <v>EDS</v>
      </c>
      <c r="C245" t="str">
        <f t="shared" si="10"/>
        <v>002</v>
      </c>
      <c r="D245">
        <v>4</v>
      </c>
      <c r="I245" s="18">
        <v>41014.673611111109</v>
      </c>
      <c r="J245" s="19">
        <f t="shared" si="11"/>
        <v>41014.506944444445</v>
      </c>
      <c r="K245" t="s">
        <v>161</v>
      </c>
      <c r="L245">
        <f t="shared" si="12"/>
        <v>46.498759999999997</v>
      </c>
      <c r="M245">
        <f t="shared" si="13"/>
        <v>-84.333920000000006</v>
      </c>
      <c r="N245">
        <f t="shared" si="14"/>
        <v>4.3586400000000003</v>
      </c>
      <c r="O245">
        <f t="shared" si="15"/>
        <v>1.2192000000000001</v>
      </c>
      <c r="P245">
        <f t="shared" si="16"/>
        <v>3.1394400000000005</v>
      </c>
      <c r="S245" t="s">
        <v>162</v>
      </c>
      <c r="T245">
        <v>69</v>
      </c>
      <c r="U245">
        <f t="shared" si="17"/>
        <v>109880</v>
      </c>
      <c r="AE245" t="s">
        <v>163</v>
      </c>
      <c r="AF245" t="s">
        <v>108</v>
      </c>
      <c r="AG245" t="s">
        <v>164</v>
      </c>
      <c r="AH245" s="21" t="s">
        <v>108</v>
      </c>
      <c r="AI245" s="32">
        <v>41014</v>
      </c>
      <c r="AJ245" t="s">
        <v>388</v>
      </c>
      <c r="AK245" t="s">
        <v>245</v>
      </c>
      <c r="AL245" t="s">
        <v>361</v>
      </c>
      <c r="AM245" t="s">
        <v>246</v>
      </c>
      <c r="AN245" t="s">
        <v>380</v>
      </c>
      <c r="AO245">
        <v>109880</v>
      </c>
      <c r="AP245" t="s">
        <v>235</v>
      </c>
      <c r="AQ245" t="s">
        <v>389</v>
      </c>
      <c r="AR245">
        <v>0.50694444444444442</v>
      </c>
      <c r="AS245">
        <v>41014.506944444445</v>
      </c>
      <c r="AT245" s="35">
        <v>46.498759999999997</v>
      </c>
      <c r="AU245" s="35">
        <v>-84.333920000000006</v>
      </c>
      <c r="AV245">
        <v>14.3</v>
      </c>
      <c r="AW245" t="s">
        <v>390</v>
      </c>
      <c r="AX245">
        <v>3.1373799999999998</v>
      </c>
      <c r="AY245">
        <v>4</v>
      </c>
      <c r="AZ245" t="s">
        <v>217</v>
      </c>
    </row>
    <row r="246" spans="1:52" x14ac:dyDescent="0.25">
      <c r="A246" t="str">
        <f t="shared" si="9"/>
        <v>EDS</v>
      </c>
      <c r="C246" t="str">
        <f t="shared" si="10"/>
        <v>003</v>
      </c>
      <c r="D246">
        <v>3</v>
      </c>
      <c r="I246" s="18">
        <v>41014.677777777775</v>
      </c>
      <c r="J246" s="19">
        <f t="shared" si="11"/>
        <v>41014.511111111111</v>
      </c>
      <c r="K246" t="s">
        <v>161</v>
      </c>
      <c r="L246">
        <f t="shared" si="12"/>
        <v>46.498530000000002</v>
      </c>
      <c r="M246">
        <f t="shared" si="13"/>
        <v>-84.334180000000003</v>
      </c>
      <c r="N246">
        <f t="shared" si="14"/>
        <v>3.3223200000000004</v>
      </c>
      <c r="O246">
        <f t="shared" si="15"/>
        <v>1.2192000000000001</v>
      </c>
      <c r="P246">
        <f t="shared" si="16"/>
        <v>2.1031200000000005</v>
      </c>
      <c r="S246" t="s">
        <v>162</v>
      </c>
      <c r="T246">
        <v>69</v>
      </c>
      <c r="U246">
        <f t="shared" si="17"/>
        <v>109923</v>
      </c>
      <c r="AE246" t="s">
        <v>163</v>
      </c>
      <c r="AF246" t="s">
        <v>108</v>
      </c>
      <c r="AG246" t="s">
        <v>164</v>
      </c>
      <c r="AH246" s="21" t="s">
        <v>108</v>
      </c>
      <c r="AI246" s="32">
        <v>41014</v>
      </c>
      <c r="AJ246" t="s">
        <v>388</v>
      </c>
      <c r="AK246" t="s">
        <v>245</v>
      </c>
      <c r="AL246" t="s">
        <v>361</v>
      </c>
      <c r="AM246" t="s">
        <v>247</v>
      </c>
      <c r="AN246" t="s">
        <v>380</v>
      </c>
      <c r="AO246">
        <v>109923</v>
      </c>
      <c r="AP246" t="s">
        <v>235</v>
      </c>
      <c r="AQ246" t="s">
        <v>389</v>
      </c>
      <c r="AR246">
        <v>0.51111111111111118</v>
      </c>
      <c r="AS246">
        <v>41014.511111111111</v>
      </c>
      <c r="AT246" s="35">
        <v>46.498530000000002</v>
      </c>
      <c r="AU246" s="35">
        <v>-84.334180000000003</v>
      </c>
      <c r="AV246">
        <v>10.9</v>
      </c>
      <c r="AW246" t="s">
        <v>390</v>
      </c>
      <c r="AX246">
        <v>2.1017399999999999</v>
      </c>
      <c r="AY246">
        <v>4</v>
      </c>
      <c r="AZ246" t="s">
        <v>222</v>
      </c>
    </row>
    <row r="247" spans="1:52" x14ac:dyDescent="0.25">
      <c r="A247" t="str">
        <f t="shared" si="9"/>
        <v>EDS</v>
      </c>
      <c r="C247" t="str">
        <f t="shared" si="10"/>
        <v>004</v>
      </c>
      <c r="D247">
        <v>2</v>
      </c>
      <c r="I247" s="18">
        <v>41014.686805555553</v>
      </c>
      <c r="J247" s="19">
        <f t="shared" si="11"/>
        <v>41014.520138888889</v>
      </c>
      <c r="K247" t="s">
        <v>161</v>
      </c>
      <c r="L247">
        <f t="shared" si="12"/>
        <v>46.498289999999997</v>
      </c>
      <c r="M247">
        <f t="shared" si="13"/>
        <v>-84.333579999999998</v>
      </c>
      <c r="N247">
        <f t="shared" si="14"/>
        <v>5.9740800000000007</v>
      </c>
      <c r="O247">
        <f t="shared" si="15"/>
        <v>1.2192000000000001</v>
      </c>
      <c r="P247">
        <f t="shared" si="16"/>
        <v>4.7548800000000009</v>
      </c>
      <c r="S247" t="s">
        <v>162</v>
      </c>
      <c r="T247">
        <v>69</v>
      </c>
      <c r="U247">
        <f t="shared" si="17"/>
        <v>109491</v>
      </c>
      <c r="AE247" t="s">
        <v>163</v>
      </c>
      <c r="AF247" t="s">
        <v>108</v>
      </c>
      <c r="AG247" t="s">
        <v>164</v>
      </c>
      <c r="AH247" s="21" t="s">
        <v>108</v>
      </c>
      <c r="AI247" s="32">
        <v>41014</v>
      </c>
      <c r="AJ247" t="s">
        <v>388</v>
      </c>
      <c r="AK247" t="s">
        <v>245</v>
      </c>
      <c r="AL247" t="s">
        <v>361</v>
      </c>
      <c r="AM247" t="s">
        <v>248</v>
      </c>
      <c r="AN247" t="s">
        <v>380</v>
      </c>
      <c r="AO247">
        <v>109491</v>
      </c>
      <c r="AP247" t="s">
        <v>235</v>
      </c>
      <c r="AQ247" t="s">
        <v>389</v>
      </c>
      <c r="AR247">
        <v>0.52013888888888882</v>
      </c>
      <c r="AS247">
        <v>41014.520138888889</v>
      </c>
      <c r="AT247" s="35">
        <v>46.498289999999997</v>
      </c>
      <c r="AU247" s="35">
        <v>-84.333579999999998</v>
      </c>
      <c r="AV247">
        <v>19.600000000000001</v>
      </c>
      <c r="AW247" t="s">
        <v>390</v>
      </c>
      <c r="AX247">
        <v>4.75176</v>
      </c>
      <c r="AY247">
        <v>4</v>
      </c>
      <c r="AZ247" t="s">
        <v>244</v>
      </c>
    </row>
    <row r="248" spans="1:52" x14ac:dyDescent="0.25">
      <c r="A248" t="str">
        <f t="shared" si="9"/>
        <v>EDS</v>
      </c>
      <c r="C248" t="str">
        <f t="shared" si="10"/>
        <v>005</v>
      </c>
      <c r="D248">
        <v>1</v>
      </c>
      <c r="I248" s="18">
        <v>41014.697916666664</v>
      </c>
      <c r="J248" s="19">
        <f t="shared" si="11"/>
        <v>41014.53125</v>
      </c>
      <c r="K248" t="s">
        <v>161</v>
      </c>
      <c r="L248">
        <f t="shared" si="12"/>
        <v>46.49859</v>
      </c>
      <c r="M248">
        <f t="shared" si="13"/>
        <v>-84.333849999999998</v>
      </c>
      <c r="N248">
        <f t="shared" si="14"/>
        <v>5.2730400000000008</v>
      </c>
      <c r="O248">
        <f t="shared" si="15"/>
        <v>1.2192000000000001</v>
      </c>
      <c r="P248">
        <f t="shared" si="16"/>
        <v>4.053840000000001</v>
      </c>
      <c r="S248" t="s">
        <v>162</v>
      </c>
      <c r="T248">
        <v>69</v>
      </c>
      <c r="U248">
        <f t="shared" si="17"/>
        <v>109430</v>
      </c>
      <c r="AE248" t="s">
        <v>163</v>
      </c>
      <c r="AF248" t="s">
        <v>108</v>
      </c>
      <c r="AG248" t="s">
        <v>164</v>
      </c>
      <c r="AH248" s="21" t="s">
        <v>108</v>
      </c>
      <c r="AI248" s="32">
        <v>41014</v>
      </c>
      <c r="AJ248" t="s">
        <v>388</v>
      </c>
      <c r="AK248" t="s">
        <v>245</v>
      </c>
      <c r="AL248" t="s">
        <v>361</v>
      </c>
      <c r="AM248" t="s">
        <v>249</v>
      </c>
      <c r="AN248" t="s">
        <v>380</v>
      </c>
      <c r="AO248">
        <v>109430</v>
      </c>
      <c r="AP248" t="s">
        <v>235</v>
      </c>
      <c r="AQ248" t="s">
        <v>389</v>
      </c>
      <c r="AR248">
        <v>0.53125</v>
      </c>
      <c r="AS248">
        <v>41014.53125</v>
      </c>
      <c r="AT248" s="35">
        <v>46.49859</v>
      </c>
      <c r="AU248" s="35">
        <v>-84.333849999999998</v>
      </c>
      <c r="AV248">
        <v>17.3</v>
      </c>
      <c r="AW248" t="s">
        <v>390</v>
      </c>
      <c r="AX248">
        <v>4.0511799999999996</v>
      </c>
      <c r="AY248">
        <v>4</v>
      </c>
      <c r="AZ248" t="s">
        <v>250</v>
      </c>
    </row>
    <row r="249" spans="1:52" x14ac:dyDescent="0.25">
      <c r="A249" t="str">
        <f t="shared" si="9"/>
        <v>SSM</v>
      </c>
      <c r="C249" t="str">
        <f t="shared" si="10"/>
        <v>019</v>
      </c>
      <c r="D249">
        <v>4</v>
      </c>
      <c r="I249" s="18">
        <v>41014.711805555555</v>
      </c>
      <c r="J249" s="19">
        <f t="shared" si="11"/>
        <v>41014.545138888891</v>
      </c>
      <c r="K249" t="s">
        <v>161</v>
      </c>
      <c r="L249">
        <f t="shared" si="12"/>
        <v>46.513089999999998</v>
      </c>
      <c r="M249">
        <f t="shared" si="13"/>
        <v>-84.341790000000003</v>
      </c>
      <c r="N249">
        <f t="shared" si="14"/>
        <v>4.5720000000000001</v>
      </c>
      <c r="O249">
        <f t="shared" si="15"/>
        <v>1.2192000000000001</v>
      </c>
      <c r="P249">
        <f t="shared" si="16"/>
        <v>3.3528000000000002</v>
      </c>
      <c r="S249" t="s">
        <v>162</v>
      </c>
      <c r="T249">
        <v>69</v>
      </c>
      <c r="U249">
        <f t="shared" si="17"/>
        <v>109459</v>
      </c>
      <c r="AE249" t="s">
        <v>163</v>
      </c>
      <c r="AF249" t="s">
        <v>108</v>
      </c>
      <c r="AG249" t="s">
        <v>164</v>
      </c>
      <c r="AH249" s="21" t="s">
        <v>108</v>
      </c>
      <c r="AI249" s="32">
        <v>41014</v>
      </c>
      <c r="AJ249" t="s">
        <v>388</v>
      </c>
      <c r="AK249" t="s">
        <v>245</v>
      </c>
      <c r="AL249" t="s">
        <v>361</v>
      </c>
      <c r="AM249" t="s">
        <v>251</v>
      </c>
      <c r="AN249" t="s">
        <v>380</v>
      </c>
      <c r="AO249">
        <v>109459</v>
      </c>
      <c r="AP249" t="s">
        <v>235</v>
      </c>
      <c r="AQ249" t="s">
        <v>389</v>
      </c>
      <c r="AR249">
        <v>0.54513888888888895</v>
      </c>
      <c r="AS249">
        <v>41014.545138888891</v>
      </c>
      <c r="AT249" s="35">
        <v>46.513089999999998</v>
      </c>
      <c r="AU249" s="35">
        <v>-84.341790000000003</v>
      </c>
      <c r="AV249">
        <v>15</v>
      </c>
      <c r="AW249" t="s">
        <v>390</v>
      </c>
      <c r="AX249">
        <v>3.3506</v>
      </c>
      <c r="AY249">
        <v>4</v>
      </c>
      <c r="AZ249" t="s">
        <v>244</v>
      </c>
    </row>
    <row r="250" spans="1:52" x14ac:dyDescent="0.25">
      <c r="A250" t="str">
        <f t="shared" si="9"/>
        <v>SSM</v>
      </c>
      <c r="C250" t="str">
        <f t="shared" si="10"/>
        <v>016</v>
      </c>
      <c r="D250">
        <v>3</v>
      </c>
      <c r="I250" s="18">
        <v>41014.718055555553</v>
      </c>
      <c r="J250" s="19">
        <f t="shared" si="11"/>
        <v>41014.551388888889</v>
      </c>
      <c r="K250" t="s">
        <v>161</v>
      </c>
      <c r="L250">
        <f t="shared" si="12"/>
        <v>46.511539999999997</v>
      </c>
      <c r="M250">
        <f t="shared" si="13"/>
        <v>-84.340490000000003</v>
      </c>
      <c r="N250">
        <f t="shared" si="14"/>
        <v>3.3223200000000004</v>
      </c>
      <c r="O250">
        <f t="shared" si="15"/>
        <v>1.2192000000000001</v>
      </c>
      <c r="P250">
        <f t="shared" si="16"/>
        <v>2.1031200000000005</v>
      </c>
      <c r="S250" t="s">
        <v>162</v>
      </c>
      <c r="T250">
        <v>69</v>
      </c>
      <c r="U250">
        <f t="shared" si="17"/>
        <v>109476</v>
      </c>
      <c r="AE250" t="s">
        <v>163</v>
      </c>
      <c r="AF250" t="s">
        <v>108</v>
      </c>
      <c r="AG250" t="s">
        <v>164</v>
      </c>
      <c r="AH250" s="21" t="s">
        <v>108</v>
      </c>
      <c r="AI250" s="32">
        <v>41014</v>
      </c>
      <c r="AJ250" t="s">
        <v>388</v>
      </c>
      <c r="AK250" t="s">
        <v>245</v>
      </c>
      <c r="AL250" t="s">
        <v>361</v>
      </c>
      <c r="AM250" t="s">
        <v>252</v>
      </c>
      <c r="AN250" t="s">
        <v>380</v>
      </c>
      <c r="AO250">
        <v>109476</v>
      </c>
      <c r="AP250" t="s">
        <v>235</v>
      </c>
      <c r="AQ250" t="s">
        <v>389</v>
      </c>
      <c r="AR250">
        <v>0.55138888888888882</v>
      </c>
      <c r="AS250">
        <v>41014.551388888889</v>
      </c>
      <c r="AT250" s="35">
        <v>46.511539999999997</v>
      </c>
      <c r="AU250" s="35">
        <v>-84.340490000000003</v>
      </c>
      <c r="AV250">
        <v>10.9</v>
      </c>
      <c r="AW250" t="s">
        <v>390</v>
      </c>
      <c r="AX250">
        <v>2.1017399999999999</v>
      </c>
      <c r="AY250">
        <v>4</v>
      </c>
      <c r="AZ250" t="s">
        <v>222</v>
      </c>
    </row>
    <row r="251" spans="1:52" x14ac:dyDescent="0.25">
      <c r="A251" t="str">
        <f t="shared" si="9"/>
        <v>SSM</v>
      </c>
      <c r="C251" t="str">
        <f t="shared" si="10"/>
        <v>001</v>
      </c>
      <c r="D251">
        <v>3</v>
      </c>
      <c r="I251" s="18">
        <v>41014.724999999999</v>
      </c>
      <c r="J251" s="19">
        <f t="shared" si="11"/>
        <v>41014.558333333334</v>
      </c>
      <c r="K251" t="s">
        <v>161</v>
      </c>
      <c r="L251">
        <f t="shared" si="12"/>
        <v>46.5105</v>
      </c>
      <c r="M251">
        <f t="shared" si="13"/>
        <v>-84.341189999999997</v>
      </c>
      <c r="N251">
        <f t="shared" si="14"/>
        <v>6.3398400000000006</v>
      </c>
      <c r="O251">
        <f t="shared" si="15"/>
        <v>1.2192000000000001</v>
      </c>
      <c r="P251">
        <f t="shared" si="16"/>
        <v>5.1206400000000007</v>
      </c>
      <c r="S251" t="s">
        <v>162</v>
      </c>
      <c r="T251">
        <v>69</v>
      </c>
      <c r="U251">
        <f t="shared" si="17"/>
        <v>109951</v>
      </c>
      <c r="AE251" t="s">
        <v>163</v>
      </c>
      <c r="AF251" t="s">
        <v>108</v>
      </c>
      <c r="AG251" t="s">
        <v>164</v>
      </c>
      <c r="AH251" s="21" t="s">
        <v>108</v>
      </c>
      <c r="AI251" s="32">
        <v>41014</v>
      </c>
      <c r="AJ251" t="s">
        <v>388</v>
      </c>
      <c r="AK251" t="s">
        <v>245</v>
      </c>
      <c r="AL251" t="s">
        <v>361</v>
      </c>
      <c r="AM251" t="s">
        <v>253</v>
      </c>
      <c r="AN251" t="s">
        <v>380</v>
      </c>
      <c r="AO251">
        <v>109951</v>
      </c>
      <c r="AP251" t="s">
        <v>235</v>
      </c>
      <c r="AQ251" t="s">
        <v>389</v>
      </c>
      <c r="AR251">
        <v>0.55833333333333335</v>
      </c>
      <c r="AS251">
        <v>41014.558333333334</v>
      </c>
      <c r="AT251" s="35">
        <v>46.5105</v>
      </c>
      <c r="AU251" s="35">
        <v>-84.341189999999997</v>
      </c>
      <c r="AV251">
        <v>20.8</v>
      </c>
      <c r="AW251" t="s">
        <v>390</v>
      </c>
      <c r="AX251">
        <v>5.1172800000000001</v>
      </c>
      <c r="AY251">
        <v>4</v>
      </c>
      <c r="AZ251" t="s">
        <v>244</v>
      </c>
    </row>
    <row r="252" spans="1:52" x14ac:dyDescent="0.25">
      <c r="A252" t="str">
        <f t="shared" si="9"/>
        <v>SSM</v>
      </c>
      <c r="C252" t="str">
        <f t="shared" si="10"/>
        <v>014</v>
      </c>
      <c r="D252">
        <v>3</v>
      </c>
      <c r="I252" s="18">
        <v>41014.731249999997</v>
      </c>
      <c r="J252" s="19">
        <f t="shared" si="11"/>
        <v>41014.564583333333</v>
      </c>
      <c r="K252" t="s">
        <v>161</v>
      </c>
      <c r="L252">
        <f t="shared" si="12"/>
        <v>46.510100000000001</v>
      </c>
      <c r="M252">
        <f t="shared" si="13"/>
        <v>-84.339380000000006</v>
      </c>
      <c r="N252">
        <f t="shared" si="14"/>
        <v>4.6939200000000003</v>
      </c>
      <c r="O252">
        <f t="shared" si="15"/>
        <v>1.2192000000000001</v>
      </c>
      <c r="P252">
        <f t="shared" si="16"/>
        <v>3.4747200000000005</v>
      </c>
      <c r="S252" t="s">
        <v>162</v>
      </c>
      <c r="T252">
        <v>69</v>
      </c>
      <c r="U252">
        <f t="shared" si="17"/>
        <v>113217</v>
      </c>
      <c r="AE252" t="s">
        <v>163</v>
      </c>
      <c r="AF252" t="s">
        <v>108</v>
      </c>
      <c r="AG252" t="s">
        <v>164</v>
      </c>
      <c r="AH252" s="21" t="s">
        <v>108</v>
      </c>
      <c r="AI252" s="32">
        <v>41014</v>
      </c>
      <c r="AJ252" t="s">
        <v>388</v>
      </c>
      <c r="AK252" t="s">
        <v>245</v>
      </c>
      <c r="AL252" t="s">
        <v>361</v>
      </c>
      <c r="AM252" t="s">
        <v>254</v>
      </c>
      <c r="AN252" t="s">
        <v>380</v>
      </c>
      <c r="AO252">
        <v>113217</v>
      </c>
      <c r="AP252" t="s">
        <v>235</v>
      </c>
      <c r="AQ252" t="s">
        <v>389</v>
      </c>
      <c r="AR252">
        <v>0.56458333333333333</v>
      </c>
      <c r="AS252">
        <v>41014.564583333333</v>
      </c>
      <c r="AT252" s="35">
        <v>46.510100000000001</v>
      </c>
      <c r="AU252" s="35">
        <v>-84.339380000000006</v>
      </c>
      <c r="AV252">
        <v>15.4</v>
      </c>
      <c r="AW252" t="s">
        <v>390</v>
      </c>
      <c r="AX252">
        <v>3.4724399999999997</v>
      </c>
      <c r="AY252">
        <v>4</v>
      </c>
      <c r="AZ252" t="s">
        <v>222</v>
      </c>
    </row>
    <row r="253" spans="1:52" x14ac:dyDescent="0.25">
      <c r="A253" t="str">
        <f t="shared" si="9"/>
        <v>SSM</v>
      </c>
      <c r="C253" t="str">
        <f t="shared" si="10"/>
        <v>002</v>
      </c>
      <c r="D253">
        <v>3</v>
      </c>
      <c r="I253" s="18">
        <v>41014.736111111109</v>
      </c>
      <c r="J253" s="19">
        <f t="shared" si="11"/>
        <v>41014.569444444445</v>
      </c>
      <c r="K253" t="s">
        <v>161</v>
      </c>
      <c r="L253">
        <f t="shared" si="12"/>
        <v>46.509349999999998</v>
      </c>
      <c r="M253">
        <f t="shared" si="13"/>
        <v>-84.341229999999996</v>
      </c>
      <c r="N253">
        <f t="shared" si="14"/>
        <v>4.5415200000000002</v>
      </c>
      <c r="O253">
        <f t="shared" si="15"/>
        <v>1.2192000000000001</v>
      </c>
      <c r="P253">
        <f t="shared" si="16"/>
        <v>3.3223200000000004</v>
      </c>
      <c r="S253" t="s">
        <v>162</v>
      </c>
      <c r="T253">
        <v>69</v>
      </c>
      <c r="U253">
        <f t="shared" si="17"/>
        <v>109945</v>
      </c>
      <c r="AE253" t="s">
        <v>163</v>
      </c>
      <c r="AF253" t="s">
        <v>108</v>
      </c>
      <c r="AG253" t="s">
        <v>164</v>
      </c>
      <c r="AH253" s="21" t="s">
        <v>108</v>
      </c>
      <c r="AI253" s="32">
        <v>41014</v>
      </c>
      <c r="AJ253" t="s">
        <v>388</v>
      </c>
      <c r="AK253" t="s">
        <v>245</v>
      </c>
      <c r="AL253" t="s">
        <v>361</v>
      </c>
      <c r="AM253" t="s">
        <v>255</v>
      </c>
      <c r="AN253" t="s">
        <v>380</v>
      </c>
      <c r="AO253">
        <v>109945</v>
      </c>
      <c r="AP253" t="s">
        <v>235</v>
      </c>
      <c r="AQ253" t="s">
        <v>389</v>
      </c>
      <c r="AR253">
        <v>0.56944444444444442</v>
      </c>
      <c r="AS253">
        <v>41014.569444444445</v>
      </c>
      <c r="AT253" s="35">
        <v>46.509349999999998</v>
      </c>
      <c r="AU253" s="35">
        <v>-84.341229999999996</v>
      </c>
      <c r="AV253">
        <v>14.9</v>
      </c>
      <c r="AW253" t="s">
        <v>390</v>
      </c>
      <c r="AX253">
        <v>3.3201399999999999</v>
      </c>
      <c r="AY253">
        <v>4</v>
      </c>
      <c r="AZ253" t="s">
        <v>229</v>
      </c>
    </row>
    <row r="254" spans="1:52" x14ac:dyDescent="0.25">
      <c r="A254" t="str">
        <f t="shared" si="9"/>
        <v>SSM</v>
      </c>
      <c r="C254" t="str">
        <f t="shared" si="10"/>
        <v>020</v>
      </c>
      <c r="D254">
        <v>4</v>
      </c>
      <c r="I254" s="18">
        <v>41014.745833333334</v>
      </c>
      <c r="J254" s="19">
        <f t="shared" si="11"/>
        <v>41014.57916666667</v>
      </c>
      <c r="K254" t="s">
        <v>161</v>
      </c>
      <c r="L254">
        <f t="shared" si="12"/>
        <v>46.508800000000001</v>
      </c>
      <c r="M254">
        <f t="shared" si="13"/>
        <v>-84.342150000000004</v>
      </c>
      <c r="N254">
        <f t="shared" si="14"/>
        <v>3.8709600000000002</v>
      </c>
      <c r="O254">
        <f t="shared" si="15"/>
        <v>1.2192000000000001</v>
      </c>
      <c r="P254">
        <f t="shared" si="16"/>
        <v>2.6517600000000003</v>
      </c>
      <c r="S254" t="s">
        <v>162</v>
      </c>
      <c r="T254">
        <v>69</v>
      </c>
      <c r="U254">
        <f t="shared" si="17"/>
        <v>110004</v>
      </c>
      <c r="AE254" t="s">
        <v>163</v>
      </c>
      <c r="AF254" t="s">
        <v>108</v>
      </c>
      <c r="AG254" t="s">
        <v>164</v>
      </c>
      <c r="AH254" s="21" t="s">
        <v>108</v>
      </c>
      <c r="AI254" s="32">
        <v>41014</v>
      </c>
      <c r="AJ254" t="s">
        <v>388</v>
      </c>
      <c r="AK254" t="s">
        <v>245</v>
      </c>
      <c r="AL254" t="s">
        <v>361</v>
      </c>
      <c r="AM254" t="s">
        <v>256</v>
      </c>
      <c r="AN254" t="s">
        <v>380</v>
      </c>
      <c r="AO254">
        <v>110004</v>
      </c>
      <c r="AP254" t="s">
        <v>235</v>
      </c>
      <c r="AQ254" t="s">
        <v>389</v>
      </c>
      <c r="AR254">
        <v>0.57916666666666672</v>
      </c>
      <c r="AS254">
        <v>41014.57916666667</v>
      </c>
      <c r="AT254" s="35">
        <v>46.508800000000001</v>
      </c>
      <c r="AU254" s="35">
        <v>-84.342150000000004</v>
      </c>
      <c r="AV254">
        <v>12.7</v>
      </c>
      <c r="AW254" t="s">
        <v>390</v>
      </c>
      <c r="AX254">
        <v>2.6500199999999996</v>
      </c>
      <c r="AY254">
        <v>4</v>
      </c>
      <c r="AZ254" t="s">
        <v>208</v>
      </c>
    </row>
    <row r="255" spans="1:52" x14ac:dyDescent="0.25">
      <c r="A255" t="str">
        <f t="shared" si="9"/>
        <v>SSM</v>
      </c>
      <c r="C255" t="str">
        <f t="shared" si="10"/>
        <v>022</v>
      </c>
      <c r="D255">
        <v>1</v>
      </c>
      <c r="I255" s="18">
        <v>41014.75</v>
      </c>
      <c r="J255" s="19">
        <f t="shared" si="11"/>
        <v>41014.583333333336</v>
      </c>
      <c r="K255" t="s">
        <v>161</v>
      </c>
      <c r="L255">
        <f t="shared" si="12"/>
        <v>46.508699999999997</v>
      </c>
      <c r="M255">
        <f t="shared" si="13"/>
        <v>-84.33981</v>
      </c>
      <c r="N255">
        <f t="shared" si="14"/>
        <v>6.61416</v>
      </c>
      <c r="O255">
        <f t="shared" si="15"/>
        <v>1.2192000000000001</v>
      </c>
      <c r="P255">
        <f t="shared" si="16"/>
        <v>5.3949600000000002</v>
      </c>
      <c r="S255" t="s">
        <v>162</v>
      </c>
      <c r="T255">
        <v>69</v>
      </c>
      <c r="U255">
        <f t="shared" si="17"/>
        <v>109942</v>
      </c>
      <c r="AE255" t="s">
        <v>163</v>
      </c>
      <c r="AF255" t="s">
        <v>108</v>
      </c>
      <c r="AG255" t="s">
        <v>164</v>
      </c>
      <c r="AH255" s="21" t="s">
        <v>108</v>
      </c>
      <c r="AI255" s="32">
        <v>41014</v>
      </c>
      <c r="AJ255" t="s">
        <v>388</v>
      </c>
      <c r="AK255" t="s">
        <v>245</v>
      </c>
      <c r="AL255" t="s">
        <v>361</v>
      </c>
      <c r="AM255" t="s">
        <v>257</v>
      </c>
      <c r="AN255" t="s">
        <v>380</v>
      </c>
      <c r="AO255">
        <v>109942</v>
      </c>
      <c r="AP255" t="s">
        <v>235</v>
      </c>
      <c r="AQ255" t="s">
        <v>389</v>
      </c>
      <c r="AR255">
        <v>0.58333333333333337</v>
      </c>
      <c r="AS255">
        <v>41014.583333333336</v>
      </c>
      <c r="AT255" s="35">
        <v>46.508699999999997</v>
      </c>
      <c r="AU255" s="35">
        <v>-84.33981</v>
      </c>
      <c r="AV255">
        <v>21.7</v>
      </c>
      <c r="AW255" t="s">
        <v>390</v>
      </c>
      <c r="AX255">
        <v>5.3914199999999992</v>
      </c>
      <c r="AY255">
        <v>4</v>
      </c>
      <c r="AZ255" t="s">
        <v>222</v>
      </c>
    </row>
    <row r="256" spans="1:52" x14ac:dyDescent="0.25">
      <c r="A256" t="str">
        <f t="shared" si="9"/>
        <v>SSM</v>
      </c>
      <c r="C256" t="str">
        <f t="shared" si="10"/>
        <v>023</v>
      </c>
      <c r="D256">
        <v>1</v>
      </c>
      <c r="I256" s="18">
        <v>41014.756944444445</v>
      </c>
      <c r="J256" s="19">
        <f t="shared" si="11"/>
        <v>41014.590277777781</v>
      </c>
      <c r="K256" t="s">
        <v>161</v>
      </c>
      <c r="L256">
        <f t="shared" si="12"/>
        <v>46.508450000000003</v>
      </c>
      <c r="M256">
        <f t="shared" si="13"/>
        <v>-84.337720000000004</v>
      </c>
      <c r="N256">
        <f t="shared" si="14"/>
        <v>6.5532000000000004</v>
      </c>
      <c r="O256">
        <f t="shared" si="15"/>
        <v>1.2192000000000001</v>
      </c>
      <c r="P256">
        <f t="shared" si="16"/>
        <v>5.3340000000000005</v>
      </c>
      <c r="S256" t="s">
        <v>162</v>
      </c>
      <c r="T256">
        <v>69</v>
      </c>
      <c r="U256">
        <f t="shared" si="17"/>
        <v>109438</v>
      </c>
      <c r="AE256" t="s">
        <v>163</v>
      </c>
      <c r="AF256" t="s">
        <v>108</v>
      </c>
      <c r="AG256" t="s">
        <v>164</v>
      </c>
      <c r="AH256" s="21" t="s">
        <v>108</v>
      </c>
      <c r="AI256" s="32">
        <v>41014</v>
      </c>
      <c r="AJ256" t="s">
        <v>388</v>
      </c>
      <c r="AK256" t="s">
        <v>245</v>
      </c>
      <c r="AL256" t="s">
        <v>361</v>
      </c>
      <c r="AM256" t="s">
        <v>258</v>
      </c>
      <c r="AN256" t="s">
        <v>380</v>
      </c>
      <c r="AO256">
        <v>109438</v>
      </c>
      <c r="AP256" t="s">
        <v>235</v>
      </c>
      <c r="AQ256" t="s">
        <v>389</v>
      </c>
      <c r="AR256">
        <v>0.59027777777777779</v>
      </c>
      <c r="AS256">
        <v>41014.590277777781</v>
      </c>
      <c r="AT256" s="35">
        <v>46.508450000000003</v>
      </c>
      <c r="AU256" s="35">
        <v>-84.337720000000004</v>
      </c>
      <c r="AV256">
        <v>21.5</v>
      </c>
      <c r="AW256" t="s">
        <v>390</v>
      </c>
      <c r="AX256">
        <v>5.3304999999999998</v>
      </c>
      <c r="AY256">
        <v>4</v>
      </c>
      <c r="AZ256" t="s">
        <v>187</v>
      </c>
    </row>
    <row r="257" spans="1:52" x14ac:dyDescent="0.25">
      <c r="A257" t="str">
        <f t="shared" si="9"/>
        <v>SSM</v>
      </c>
      <c r="C257" t="str">
        <f t="shared" si="10"/>
        <v>012</v>
      </c>
      <c r="D257">
        <v>3</v>
      </c>
      <c r="I257" s="18">
        <v>41014.763194444444</v>
      </c>
      <c r="J257" s="19">
        <f t="shared" si="11"/>
        <v>41014.59652777778</v>
      </c>
      <c r="K257" t="s">
        <v>161</v>
      </c>
      <c r="L257">
        <f t="shared" si="12"/>
        <v>46.50817</v>
      </c>
      <c r="M257">
        <f t="shared" si="13"/>
        <v>-84.343190000000007</v>
      </c>
      <c r="N257">
        <f t="shared" si="14"/>
        <v>4.2062400000000002</v>
      </c>
      <c r="O257">
        <f t="shared" si="15"/>
        <v>0.9144000000000001</v>
      </c>
      <c r="P257">
        <f t="shared" si="16"/>
        <v>3.2918400000000001</v>
      </c>
      <c r="S257" t="s">
        <v>162</v>
      </c>
      <c r="T257">
        <v>69</v>
      </c>
      <c r="U257">
        <f t="shared" si="17"/>
        <v>109888</v>
      </c>
      <c r="AE257" t="s">
        <v>163</v>
      </c>
      <c r="AF257" t="s">
        <v>108</v>
      </c>
      <c r="AG257" t="s">
        <v>164</v>
      </c>
      <c r="AH257" s="21" t="s">
        <v>108</v>
      </c>
      <c r="AI257" s="32">
        <v>41014</v>
      </c>
      <c r="AJ257" t="s">
        <v>388</v>
      </c>
      <c r="AK257" t="s">
        <v>245</v>
      </c>
      <c r="AL257" t="s">
        <v>361</v>
      </c>
      <c r="AM257" t="s">
        <v>259</v>
      </c>
      <c r="AN257" t="s">
        <v>380</v>
      </c>
      <c r="AO257">
        <v>109888</v>
      </c>
      <c r="AP257" t="s">
        <v>235</v>
      </c>
      <c r="AQ257" t="s">
        <v>389</v>
      </c>
      <c r="AR257">
        <v>0.59652777777777777</v>
      </c>
      <c r="AS257">
        <v>41014.59652777778</v>
      </c>
      <c r="AT257" s="35">
        <v>46.50817</v>
      </c>
      <c r="AU257" s="35">
        <v>-84.343190000000007</v>
      </c>
      <c r="AV257">
        <v>13.8</v>
      </c>
      <c r="AW257" t="s">
        <v>390</v>
      </c>
      <c r="AX257">
        <v>3.2896800000000002</v>
      </c>
      <c r="AY257">
        <v>3</v>
      </c>
      <c r="AZ257" t="s">
        <v>190</v>
      </c>
    </row>
    <row r="258" spans="1:52" x14ac:dyDescent="0.25">
      <c r="A258" t="str">
        <f t="shared" si="9"/>
        <v>SSM</v>
      </c>
      <c r="C258" t="str">
        <f t="shared" si="10"/>
        <v>011</v>
      </c>
      <c r="D258">
        <v>3</v>
      </c>
      <c r="I258" s="18">
        <v>41014.768055555556</v>
      </c>
      <c r="J258" s="19">
        <f t="shared" si="11"/>
        <v>41014.601388888892</v>
      </c>
      <c r="K258" t="s">
        <v>161</v>
      </c>
      <c r="L258">
        <f t="shared" si="12"/>
        <v>46.507910000000003</v>
      </c>
      <c r="M258">
        <f t="shared" si="13"/>
        <v>-84.341220000000007</v>
      </c>
      <c r="N258">
        <f t="shared" si="14"/>
        <v>4.907280000000001</v>
      </c>
      <c r="O258">
        <f t="shared" si="15"/>
        <v>1.2192000000000001</v>
      </c>
      <c r="P258">
        <f t="shared" si="16"/>
        <v>3.6880800000000011</v>
      </c>
      <c r="S258" t="s">
        <v>162</v>
      </c>
      <c r="T258">
        <v>69</v>
      </c>
      <c r="U258">
        <f t="shared" si="17"/>
        <v>110014</v>
      </c>
      <c r="AE258" t="s">
        <v>163</v>
      </c>
      <c r="AF258" t="s">
        <v>108</v>
      </c>
      <c r="AG258" t="s">
        <v>164</v>
      </c>
      <c r="AH258" s="21" t="s">
        <v>108</v>
      </c>
      <c r="AI258" s="32">
        <v>41014</v>
      </c>
      <c r="AJ258" t="s">
        <v>388</v>
      </c>
      <c r="AK258" t="s">
        <v>245</v>
      </c>
      <c r="AL258" t="s">
        <v>361</v>
      </c>
      <c r="AM258" t="s">
        <v>260</v>
      </c>
      <c r="AN258" t="s">
        <v>380</v>
      </c>
      <c r="AO258">
        <v>110014</v>
      </c>
      <c r="AP258" t="s">
        <v>235</v>
      </c>
      <c r="AQ258" t="s">
        <v>389</v>
      </c>
      <c r="AR258">
        <v>0.60138888888888886</v>
      </c>
      <c r="AS258">
        <v>41014.601388888892</v>
      </c>
      <c r="AT258" s="35">
        <v>46.507910000000003</v>
      </c>
      <c r="AU258" s="35">
        <v>-84.341220000000007</v>
      </c>
      <c r="AV258">
        <v>16.100000000000001</v>
      </c>
      <c r="AW258" t="s">
        <v>390</v>
      </c>
      <c r="AX258">
        <v>3.6856600000000004</v>
      </c>
      <c r="AY258">
        <v>4</v>
      </c>
      <c r="AZ258" t="s">
        <v>190</v>
      </c>
    </row>
    <row r="259" spans="1:52" x14ac:dyDescent="0.25">
      <c r="A259" t="str">
        <f t="shared" si="9"/>
        <v>SSM</v>
      </c>
      <c r="C259" t="str">
        <f t="shared" si="10"/>
        <v>009</v>
      </c>
      <c r="D259">
        <v>3</v>
      </c>
      <c r="I259" s="18">
        <v>41014.772222222222</v>
      </c>
      <c r="J259" s="19">
        <f t="shared" si="11"/>
        <v>41014.605555555558</v>
      </c>
      <c r="K259" t="s">
        <v>161</v>
      </c>
      <c r="L259">
        <f t="shared" si="12"/>
        <v>46.505890000000001</v>
      </c>
      <c r="M259">
        <f t="shared" si="13"/>
        <v>-84.344769999999997</v>
      </c>
      <c r="N259">
        <f t="shared" si="14"/>
        <v>3.1089599999999997</v>
      </c>
      <c r="O259">
        <f t="shared" si="15"/>
        <v>1.2192000000000001</v>
      </c>
      <c r="P259">
        <f t="shared" si="16"/>
        <v>1.8897599999999997</v>
      </c>
      <c r="S259" t="s">
        <v>162</v>
      </c>
      <c r="T259">
        <v>69</v>
      </c>
      <c r="U259">
        <f t="shared" si="17"/>
        <v>109468</v>
      </c>
      <c r="AE259" t="s">
        <v>163</v>
      </c>
      <c r="AF259" t="s">
        <v>108</v>
      </c>
      <c r="AG259" t="s">
        <v>164</v>
      </c>
      <c r="AH259" s="21" t="s">
        <v>108</v>
      </c>
      <c r="AI259" s="32">
        <v>41014</v>
      </c>
      <c r="AJ259" t="s">
        <v>388</v>
      </c>
      <c r="AK259" t="s">
        <v>245</v>
      </c>
      <c r="AL259" t="s">
        <v>361</v>
      </c>
      <c r="AM259" t="s">
        <v>261</v>
      </c>
      <c r="AN259" t="s">
        <v>380</v>
      </c>
      <c r="AO259">
        <v>109468</v>
      </c>
      <c r="AP259" t="s">
        <v>235</v>
      </c>
      <c r="AQ259" t="s">
        <v>389</v>
      </c>
      <c r="AR259">
        <v>0.60555555555555551</v>
      </c>
      <c r="AS259">
        <v>41014.605555555558</v>
      </c>
      <c r="AT259" s="35">
        <v>46.505890000000001</v>
      </c>
      <c r="AU259" s="35">
        <v>-84.344769999999997</v>
      </c>
      <c r="AV259">
        <v>10.199999999999999</v>
      </c>
      <c r="AW259" t="s">
        <v>390</v>
      </c>
      <c r="AX259">
        <v>1.8885199999999998</v>
      </c>
      <c r="AY259">
        <v>4</v>
      </c>
      <c r="AZ259" t="s">
        <v>197</v>
      </c>
    </row>
    <row r="260" spans="1:52" x14ac:dyDescent="0.25">
      <c r="A260" t="str">
        <f t="shared" si="9"/>
        <v>SSM</v>
      </c>
      <c r="C260" t="str">
        <f t="shared" si="10"/>
        <v>008</v>
      </c>
      <c r="D260">
        <v>3</v>
      </c>
      <c r="I260" s="18">
        <v>41014.777777777781</v>
      </c>
      <c r="J260" s="19">
        <f t="shared" si="11"/>
        <v>41014.611111111109</v>
      </c>
      <c r="K260" t="s">
        <v>161</v>
      </c>
      <c r="L260">
        <f t="shared" si="12"/>
        <v>46.506079999999997</v>
      </c>
      <c r="M260">
        <f t="shared" si="13"/>
        <v>-84.342169999999996</v>
      </c>
      <c r="N260">
        <f t="shared" si="14"/>
        <v>3.9014400000000005</v>
      </c>
      <c r="O260">
        <f t="shared" si="15"/>
        <v>1.2192000000000001</v>
      </c>
      <c r="P260">
        <f t="shared" si="16"/>
        <v>2.6822400000000002</v>
      </c>
      <c r="S260" t="s">
        <v>162</v>
      </c>
      <c r="T260">
        <v>69</v>
      </c>
      <c r="U260">
        <f t="shared" si="17"/>
        <v>113221</v>
      </c>
      <c r="AE260" t="s">
        <v>163</v>
      </c>
      <c r="AF260" t="s">
        <v>108</v>
      </c>
      <c r="AG260" t="s">
        <v>164</v>
      </c>
      <c r="AH260" s="21" t="s">
        <v>108</v>
      </c>
      <c r="AI260" s="32">
        <v>41014</v>
      </c>
      <c r="AJ260" t="s">
        <v>388</v>
      </c>
      <c r="AK260" t="s">
        <v>245</v>
      </c>
      <c r="AL260" t="s">
        <v>361</v>
      </c>
      <c r="AM260" t="s">
        <v>262</v>
      </c>
      <c r="AN260" t="s">
        <v>380</v>
      </c>
      <c r="AO260">
        <v>113221</v>
      </c>
      <c r="AP260" t="s">
        <v>235</v>
      </c>
      <c r="AQ260" t="s">
        <v>389</v>
      </c>
      <c r="AR260">
        <v>0.61111111111111105</v>
      </c>
      <c r="AS260">
        <v>41014.611111111109</v>
      </c>
      <c r="AT260" s="35">
        <v>46.506079999999997</v>
      </c>
      <c r="AU260" s="35">
        <v>-84.342169999999996</v>
      </c>
      <c r="AV260">
        <v>12.8</v>
      </c>
      <c r="AW260" t="s">
        <v>390</v>
      </c>
      <c r="AX260">
        <v>2.6804800000000002</v>
      </c>
      <c r="AY260">
        <v>4</v>
      </c>
      <c r="AZ260" t="s">
        <v>197</v>
      </c>
    </row>
    <row r="261" spans="1:52" x14ac:dyDescent="0.25">
      <c r="A261" t="str">
        <f t="shared" si="9"/>
        <v>SSM</v>
      </c>
      <c r="C261" t="str">
        <f t="shared" si="10"/>
        <v>006</v>
      </c>
      <c r="D261">
        <v>4</v>
      </c>
      <c r="I261" s="18">
        <v>41014.784722222219</v>
      </c>
      <c r="J261" s="19">
        <f t="shared" si="11"/>
        <v>41014.618055555555</v>
      </c>
      <c r="K261" t="s">
        <v>161</v>
      </c>
      <c r="L261">
        <f t="shared" si="12"/>
        <v>46.505549999999999</v>
      </c>
      <c r="M261">
        <f t="shared" si="13"/>
        <v>-84.339920000000006</v>
      </c>
      <c r="N261">
        <f t="shared" si="14"/>
        <v>4.8158400000000006</v>
      </c>
      <c r="O261">
        <f t="shared" si="15"/>
        <v>1.2192000000000001</v>
      </c>
      <c r="P261">
        <f t="shared" si="16"/>
        <v>3.5966400000000007</v>
      </c>
      <c r="S261" t="s">
        <v>162</v>
      </c>
      <c r="T261">
        <v>69</v>
      </c>
      <c r="U261">
        <f t="shared" si="17"/>
        <v>109434</v>
      </c>
      <c r="AE261" t="s">
        <v>163</v>
      </c>
      <c r="AF261" t="s">
        <v>108</v>
      </c>
      <c r="AG261" t="s">
        <v>164</v>
      </c>
      <c r="AH261" s="21" t="s">
        <v>108</v>
      </c>
      <c r="AI261" s="32">
        <v>41014</v>
      </c>
      <c r="AJ261" t="s">
        <v>388</v>
      </c>
      <c r="AK261" t="s">
        <v>245</v>
      </c>
      <c r="AL261" t="s">
        <v>361</v>
      </c>
      <c r="AM261" t="s">
        <v>263</v>
      </c>
      <c r="AN261" t="s">
        <v>380</v>
      </c>
      <c r="AO261">
        <v>109434</v>
      </c>
      <c r="AP261" t="s">
        <v>235</v>
      </c>
      <c r="AQ261" t="s">
        <v>389</v>
      </c>
      <c r="AR261">
        <v>0.61805555555555558</v>
      </c>
      <c r="AS261">
        <v>41014.618055555555</v>
      </c>
      <c r="AT261" s="35">
        <v>46.505549999999999</v>
      </c>
      <c r="AU261" s="35">
        <v>-84.339920000000006</v>
      </c>
      <c r="AV261">
        <v>15.8</v>
      </c>
      <c r="AW261" t="s">
        <v>390</v>
      </c>
      <c r="AX261">
        <v>3.5942799999999999</v>
      </c>
      <c r="AY261">
        <v>4</v>
      </c>
      <c r="AZ261" t="s">
        <v>222</v>
      </c>
    </row>
    <row r="262" spans="1:52" x14ac:dyDescent="0.25">
      <c r="A262" t="str">
        <f t="shared" si="9"/>
        <v>SSM</v>
      </c>
      <c r="C262" t="str">
        <f t="shared" si="10"/>
        <v>010</v>
      </c>
      <c r="D262">
        <v>4</v>
      </c>
      <c r="I262" s="18">
        <v>41014.793055555558</v>
      </c>
      <c r="J262" s="19">
        <f t="shared" si="11"/>
        <v>41014.626388888886</v>
      </c>
      <c r="K262" t="s">
        <v>161</v>
      </c>
      <c r="L262">
        <f t="shared" si="12"/>
        <v>46.50694</v>
      </c>
      <c r="M262">
        <f t="shared" si="13"/>
        <v>-84.343639999999994</v>
      </c>
      <c r="N262">
        <f t="shared" si="14"/>
        <v>3.7795200000000002</v>
      </c>
      <c r="O262">
        <f t="shared" si="15"/>
        <v>1.2192000000000001</v>
      </c>
      <c r="P262">
        <f t="shared" si="16"/>
        <v>2.5603199999999999</v>
      </c>
      <c r="S262" t="s">
        <v>162</v>
      </c>
      <c r="T262">
        <v>69</v>
      </c>
      <c r="U262">
        <f t="shared" si="17"/>
        <v>109443</v>
      </c>
      <c r="AE262" t="s">
        <v>163</v>
      </c>
      <c r="AF262" t="s">
        <v>108</v>
      </c>
      <c r="AG262" t="s">
        <v>164</v>
      </c>
      <c r="AH262" s="21" t="s">
        <v>108</v>
      </c>
      <c r="AI262" s="32">
        <v>41014</v>
      </c>
      <c r="AJ262" t="s">
        <v>388</v>
      </c>
      <c r="AK262" t="s">
        <v>245</v>
      </c>
      <c r="AL262" t="s">
        <v>361</v>
      </c>
      <c r="AM262" t="s">
        <v>264</v>
      </c>
      <c r="AN262" t="s">
        <v>380</v>
      </c>
      <c r="AO262">
        <v>109443</v>
      </c>
      <c r="AP262" t="s">
        <v>235</v>
      </c>
      <c r="AQ262" t="s">
        <v>389</v>
      </c>
      <c r="AR262">
        <v>0.62638888888888888</v>
      </c>
      <c r="AS262">
        <v>41014.626388888886</v>
      </c>
      <c r="AT262" s="35">
        <v>46.50694</v>
      </c>
      <c r="AU262" s="35">
        <v>-84.343639999999994</v>
      </c>
      <c r="AV262">
        <v>12.4</v>
      </c>
      <c r="AW262" t="s">
        <v>390</v>
      </c>
      <c r="AX262">
        <v>2.55864</v>
      </c>
      <c r="AY262">
        <v>4</v>
      </c>
      <c r="AZ262" t="s">
        <v>190</v>
      </c>
    </row>
    <row r="263" spans="1:52" x14ac:dyDescent="0.25">
      <c r="A263" t="str">
        <f t="shared" si="9"/>
        <v>SSM</v>
      </c>
      <c r="C263" t="str">
        <f t="shared" si="10"/>
        <v>003</v>
      </c>
      <c r="D263">
        <v>3</v>
      </c>
      <c r="I263" s="18">
        <v>41014.79791666667</v>
      </c>
      <c r="J263" s="19">
        <f t="shared" si="11"/>
        <v>41014.631249999999</v>
      </c>
      <c r="K263" t="s">
        <v>161</v>
      </c>
      <c r="L263">
        <f t="shared" si="12"/>
        <v>46.50705</v>
      </c>
      <c r="M263">
        <f t="shared" si="13"/>
        <v>-84.341809999999995</v>
      </c>
      <c r="N263">
        <f t="shared" si="14"/>
        <v>4.6939200000000003</v>
      </c>
      <c r="O263">
        <f t="shared" si="15"/>
        <v>0.9144000000000001</v>
      </c>
      <c r="P263">
        <f t="shared" si="16"/>
        <v>3.7795200000000002</v>
      </c>
      <c r="S263" t="s">
        <v>162</v>
      </c>
      <c r="T263">
        <v>69</v>
      </c>
      <c r="U263">
        <f t="shared" si="17"/>
        <v>109442</v>
      </c>
      <c r="AE263" t="s">
        <v>163</v>
      </c>
      <c r="AF263" t="s">
        <v>108</v>
      </c>
      <c r="AG263" t="s">
        <v>164</v>
      </c>
      <c r="AH263" s="21" t="s">
        <v>108</v>
      </c>
      <c r="AI263" s="32">
        <v>41014</v>
      </c>
      <c r="AJ263" t="s">
        <v>388</v>
      </c>
      <c r="AK263" t="s">
        <v>245</v>
      </c>
      <c r="AL263" t="s">
        <v>361</v>
      </c>
      <c r="AM263" t="s">
        <v>265</v>
      </c>
      <c r="AN263" t="s">
        <v>380</v>
      </c>
      <c r="AO263">
        <v>109442</v>
      </c>
      <c r="AP263" t="s">
        <v>235</v>
      </c>
      <c r="AQ263" t="s">
        <v>389</v>
      </c>
      <c r="AR263">
        <v>0.63124999999999998</v>
      </c>
      <c r="AS263">
        <v>41014.631249999999</v>
      </c>
      <c r="AT263" s="35">
        <v>46.50705</v>
      </c>
      <c r="AU263" s="35">
        <v>-84.341809999999995</v>
      </c>
      <c r="AV263">
        <v>15.4</v>
      </c>
      <c r="AW263" t="s">
        <v>390</v>
      </c>
      <c r="AX263">
        <v>3.77704</v>
      </c>
      <c r="AY263">
        <v>3</v>
      </c>
      <c r="AZ263" t="s">
        <v>190</v>
      </c>
    </row>
    <row r="264" spans="1:52" x14ac:dyDescent="0.25">
      <c r="A264" t="str">
        <f t="shared" si="9"/>
        <v>SSM</v>
      </c>
      <c r="C264" t="str">
        <f t="shared" si="10"/>
        <v>021</v>
      </c>
      <c r="D264">
        <v>2</v>
      </c>
      <c r="I264" s="18">
        <v>41014.804861111108</v>
      </c>
      <c r="J264" s="19">
        <f t="shared" si="11"/>
        <v>41014.638194444444</v>
      </c>
      <c r="K264" t="s">
        <v>161</v>
      </c>
      <c r="L264">
        <f t="shared" si="12"/>
        <v>46.507219999999997</v>
      </c>
      <c r="M264">
        <f t="shared" si="13"/>
        <v>-84.339470000000006</v>
      </c>
      <c r="N264">
        <f t="shared" si="14"/>
        <v>6.6751199999999997</v>
      </c>
      <c r="O264">
        <f t="shared" si="15"/>
        <v>1.2192000000000001</v>
      </c>
      <c r="P264">
        <f t="shared" si="16"/>
        <v>5.4559199999999999</v>
      </c>
      <c r="S264" t="s">
        <v>162</v>
      </c>
      <c r="T264">
        <v>69</v>
      </c>
      <c r="U264">
        <f t="shared" si="17"/>
        <v>109978</v>
      </c>
      <c r="AE264" t="s">
        <v>163</v>
      </c>
      <c r="AF264" t="s">
        <v>108</v>
      </c>
      <c r="AG264" t="s">
        <v>164</v>
      </c>
      <c r="AH264" s="21" t="s">
        <v>108</v>
      </c>
      <c r="AI264" s="32">
        <v>41014</v>
      </c>
      <c r="AJ264" t="s">
        <v>388</v>
      </c>
      <c r="AK264" t="s">
        <v>245</v>
      </c>
      <c r="AL264" t="s">
        <v>361</v>
      </c>
      <c r="AM264" t="s">
        <v>266</v>
      </c>
      <c r="AN264" t="s">
        <v>380</v>
      </c>
      <c r="AO264">
        <v>109978</v>
      </c>
      <c r="AP264" t="s">
        <v>235</v>
      </c>
      <c r="AQ264" t="s">
        <v>389</v>
      </c>
      <c r="AR264">
        <v>0.6381944444444444</v>
      </c>
      <c r="AS264">
        <v>41014.638194444444</v>
      </c>
      <c r="AT264" s="35">
        <v>46.507219999999997</v>
      </c>
      <c r="AU264" s="35">
        <v>-84.339470000000006</v>
      </c>
      <c r="AV264">
        <v>21.9</v>
      </c>
      <c r="AW264" t="s">
        <v>390</v>
      </c>
      <c r="AX264">
        <v>5.4523399999999995</v>
      </c>
      <c r="AY264">
        <v>4</v>
      </c>
      <c r="AZ264" t="s">
        <v>187</v>
      </c>
    </row>
    <row r="265" spans="1:52" x14ac:dyDescent="0.25">
      <c r="A265" t="str">
        <f t="shared" si="9"/>
        <v>SSM</v>
      </c>
      <c r="C265" t="str">
        <f t="shared" si="10"/>
        <v>024</v>
      </c>
      <c r="D265">
        <v>1</v>
      </c>
      <c r="I265" s="18">
        <v>41014.811111111114</v>
      </c>
      <c r="J265" s="19">
        <f t="shared" si="11"/>
        <v>41014.644444444442</v>
      </c>
      <c r="K265" t="s">
        <v>161</v>
      </c>
      <c r="L265">
        <f t="shared" si="12"/>
        <v>46.506790000000002</v>
      </c>
      <c r="M265">
        <f t="shared" si="13"/>
        <v>-84.337980000000002</v>
      </c>
      <c r="N265">
        <f t="shared" si="14"/>
        <v>6.6751199999999997</v>
      </c>
      <c r="O265">
        <f t="shared" si="15"/>
        <v>1.2192000000000001</v>
      </c>
      <c r="P265">
        <f t="shared" si="16"/>
        <v>5.4559199999999999</v>
      </c>
      <c r="S265" t="s">
        <v>162</v>
      </c>
      <c r="T265">
        <v>69</v>
      </c>
      <c r="U265">
        <f t="shared" si="17"/>
        <v>109479</v>
      </c>
      <c r="AE265" t="s">
        <v>163</v>
      </c>
      <c r="AF265" t="s">
        <v>108</v>
      </c>
      <c r="AG265" t="s">
        <v>164</v>
      </c>
      <c r="AH265" s="21" t="s">
        <v>108</v>
      </c>
      <c r="AI265" s="32">
        <v>41014</v>
      </c>
      <c r="AJ265" t="s">
        <v>388</v>
      </c>
      <c r="AK265" t="s">
        <v>245</v>
      </c>
      <c r="AL265" t="s">
        <v>361</v>
      </c>
      <c r="AM265" t="s">
        <v>267</v>
      </c>
      <c r="AN265" t="s">
        <v>380</v>
      </c>
      <c r="AO265">
        <v>109479</v>
      </c>
      <c r="AP265" t="s">
        <v>235</v>
      </c>
      <c r="AQ265" t="s">
        <v>389</v>
      </c>
      <c r="AR265">
        <v>0.64444444444444449</v>
      </c>
      <c r="AS265">
        <v>41014.644444444442</v>
      </c>
      <c r="AT265" s="35">
        <v>46.506790000000002</v>
      </c>
      <c r="AU265" s="35">
        <v>-84.337980000000002</v>
      </c>
      <c r="AV265">
        <v>21.9</v>
      </c>
      <c r="AW265" t="s">
        <v>390</v>
      </c>
      <c r="AX265">
        <v>5.4523399999999995</v>
      </c>
      <c r="AY265">
        <v>4</v>
      </c>
      <c r="AZ265" t="s">
        <v>268</v>
      </c>
    </row>
    <row r="266" spans="1:52" x14ac:dyDescent="0.25">
      <c r="A266" t="str">
        <f t="shared" si="9"/>
        <v>ECH</v>
      </c>
      <c r="C266" t="str">
        <f t="shared" si="10"/>
        <v>002</v>
      </c>
      <c r="D266">
        <v>3</v>
      </c>
      <c r="I266" s="18">
        <v>41015.548611111109</v>
      </c>
      <c r="J266" s="19">
        <f t="shared" si="11"/>
        <v>41015.381944444445</v>
      </c>
      <c r="K266" t="s">
        <v>161</v>
      </c>
      <c r="L266">
        <f t="shared" si="12"/>
        <v>46.520310000000002</v>
      </c>
      <c r="M266">
        <f t="shared" si="13"/>
        <v>-84.019919999999999</v>
      </c>
      <c r="S266" t="s">
        <v>162</v>
      </c>
      <c r="T266">
        <v>69</v>
      </c>
      <c r="U266">
        <f t="shared" si="17"/>
        <v>113220</v>
      </c>
      <c r="AE266" t="s">
        <v>163</v>
      </c>
      <c r="AF266" t="s">
        <v>108</v>
      </c>
      <c r="AG266" t="s">
        <v>179</v>
      </c>
      <c r="AH266" s="21" t="s">
        <v>108</v>
      </c>
      <c r="AI266" s="32">
        <v>41015</v>
      </c>
      <c r="AJ266" t="s">
        <v>388</v>
      </c>
      <c r="AK266" t="s">
        <v>237</v>
      </c>
      <c r="AL266" t="s">
        <v>361</v>
      </c>
      <c r="AM266" t="s">
        <v>269</v>
      </c>
      <c r="AN266" t="s">
        <v>380</v>
      </c>
      <c r="AO266">
        <v>113220</v>
      </c>
      <c r="AP266" t="s">
        <v>235</v>
      </c>
      <c r="AQ266" t="s">
        <v>389</v>
      </c>
      <c r="AR266">
        <v>0.38194444444444442</v>
      </c>
      <c r="AS266">
        <v>41015.381944444445</v>
      </c>
      <c r="AT266" s="35">
        <v>46.520310000000002</v>
      </c>
      <c r="AU266" s="35">
        <v>-84.019919999999999</v>
      </c>
      <c r="AW266" t="s">
        <v>390</v>
      </c>
      <c r="AX266">
        <v>0</v>
      </c>
    </row>
    <row r="267" spans="1:52" x14ac:dyDescent="0.25">
      <c r="A267" t="str">
        <f t="shared" si="9"/>
        <v>ECH</v>
      </c>
      <c r="C267" t="str">
        <f t="shared" si="10"/>
        <v>001</v>
      </c>
      <c r="D267">
        <v>3</v>
      </c>
      <c r="I267" s="18">
        <v>41015.569444444445</v>
      </c>
      <c r="J267" s="19">
        <f t="shared" si="11"/>
        <v>41015.402777777781</v>
      </c>
      <c r="K267" t="s">
        <v>161</v>
      </c>
      <c r="L267">
        <f t="shared" si="12"/>
        <v>46.515329999999999</v>
      </c>
      <c r="M267">
        <f t="shared" si="13"/>
        <v>-84.023380000000003</v>
      </c>
      <c r="S267" t="s">
        <v>162</v>
      </c>
      <c r="T267">
        <v>69</v>
      </c>
      <c r="U267">
        <f t="shared" si="17"/>
        <v>109488</v>
      </c>
      <c r="AE267" t="s">
        <v>163</v>
      </c>
      <c r="AF267" t="s">
        <v>108</v>
      </c>
      <c r="AG267" t="s">
        <v>179</v>
      </c>
      <c r="AH267" s="21" t="s">
        <v>108</v>
      </c>
      <c r="AI267" s="32">
        <v>41015</v>
      </c>
      <c r="AJ267" t="s">
        <v>388</v>
      </c>
      <c r="AK267" t="s">
        <v>237</v>
      </c>
      <c r="AL267" t="s">
        <v>361</v>
      </c>
      <c r="AM267" t="s">
        <v>270</v>
      </c>
      <c r="AN267" t="s">
        <v>380</v>
      </c>
      <c r="AO267">
        <v>109488</v>
      </c>
      <c r="AP267" t="s">
        <v>235</v>
      </c>
      <c r="AQ267" t="s">
        <v>389</v>
      </c>
      <c r="AR267">
        <v>0.40277777777777773</v>
      </c>
      <c r="AS267">
        <v>41015.402777777781</v>
      </c>
      <c r="AT267" s="35">
        <v>46.515329999999999</v>
      </c>
      <c r="AU267" s="35">
        <v>-84.023380000000003</v>
      </c>
      <c r="AW267" t="s">
        <v>390</v>
      </c>
      <c r="AX267">
        <v>0</v>
      </c>
    </row>
    <row r="268" spans="1:52" x14ac:dyDescent="0.25">
      <c r="A268" t="str">
        <f t="shared" si="9"/>
        <v>GRD</v>
      </c>
      <c r="C268" t="str">
        <f t="shared" si="10"/>
        <v>010</v>
      </c>
      <c r="D268">
        <v>2</v>
      </c>
      <c r="I268" s="18">
        <v>41015.580555555556</v>
      </c>
      <c r="J268" s="19">
        <f t="shared" si="11"/>
        <v>41015.413888888892</v>
      </c>
      <c r="K268" t="s">
        <v>161</v>
      </c>
      <c r="L268">
        <f t="shared" si="12"/>
        <v>46.533320000000003</v>
      </c>
      <c r="M268">
        <f t="shared" si="13"/>
        <v>-84.159319999999994</v>
      </c>
      <c r="N268">
        <f t="shared" ref="N268:N299" si="18">AV268*0.3048</f>
        <v>2.4384000000000001</v>
      </c>
      <c r="O268">
        <f t="shared" ref="O268:O299" si="19">AY268*0.3048</f>
        <v>0.9144000000000001</v>
      </c>
      <c r="P268">
        <f t="shared" ref="P268:P299" si="20">N268-O268</f>
        <v>1.524</v>
      </c>
      <c r="S268" t="s">
        <v>162</v>
      </c>
      <c r="T268">
        <v>69</v>
      </c>
      <c r="U268">
        <f t="shared" si="17"/>
        <v>109930</v>
      </c>
      <c r="AE268" t="s">
        <v>163</v>
      </c>
      <c r="AF268" t="s">
        <v>108</v>
      </c>
      <c r="AG268" t="s">
        <v>179</v>
      </c>
      <c r="AH268" s="21" t="s">
        <v>108</v>
      </c>
      <c r="AI268" s="32">
        <v>41015</v>
      </c>
      <c r="AJ268" t="s">
        <v>388</v>
      </c>
      <c r="AK268" t="s">
        <v>272</v>
      </c>
      <c r="AL268" t="s">
        <v>361</v>
      </c>
      <c r="AM268" t="s">
        <v>271</v>
      </c>
      <c r="AN268" t="s">
        <v>380</v>
      </c>
      <c r="AO268">
        <v>109930</v>
      </c>
      <c r="AP268" t="s">
        <v>235</v>
      </c>
      <c r="AQ268" t="s">
        <v>389</v>
      </c>
      <c r="AR268">
        <v>0.41388888888888892</v>
      </c>
      <c r="AS268">
        <v>41015.413888888892</v>
      </c>
      <c r="AT268" s="35">
        <v>46.533320000000003</v>
      </c>
      <c r="AU268" s="35">
        <v>-84.159319999999994</v>
      </c>
      <c r="AV268">
        <v>8</v>
      </c>
      <c r="AW268" t="s">
        <v>390</v>
      </c>
      <c r="AX268">
        <v>1.5229999999999999</v>
      </c>
      <c r="AY268">
        <v>3</v>
      </c>
      <c r="AZ268" t="s">
        <v>217</v>
      </c>
    </row>
    <row r="269" spans="1:52" x14ac:dyDescent="0.25">
      <c r="A269" t="str">
        <f t="shared" si="9"/>
        <v>GRD</v>
      </c>
      <c r="C269" t="str">
        <f t="shared" si="10"/>
        <v>011</v>
      </c>
      <c r="D269">
        <v>2</v>
      </c>
      <c r="I269" s="18">
        <v>41015.588888888888</v>
      </c>
      <c r="J269" s="19">
        <f t="shared" si="11"/>
        <v>41015.422222222223</v>
      </c>
      <c r="K269" t="s">
        <v>161</v>
      </c>
      <c r="L269">
        <f t="shared" si="12"/>
        <v>46.534019999999998</v>
      </c>
      <c r="M269">
        <f t="shared" si="13"/>
        <v>-84.153109999999998</v>
      </c>
      <c r="N269">
        <f t="shared" si="18"/>
        <v>1.2192000000000001</v>
      </c>
      <c r="O269">
        <f t="shared" si="19"/>
        <v>0.9144000000000001</v>
      </c>
      <c r="P269">
        <f t="shared" si="20"/>
        <v>0.30479999999999996</v>
      </c>
      <c r="S269" t="s">
        <v>162</v>
      </c>
      <c r="T269">
        <v>69</v>
      </c>
      <c r="U269">
        <f t="shared" si="17"/>
        <v>109927</v>
      </c>
      <c r="AE269" t="s">
        <v>163</v>
      </c>
      <c r="AF269" t="s">
        <v>108</v>
      </c>
      <c r="AG269" t="s">
        <v>179</v>
      </c>
      <c r="AH269" s="21" t="s">
        <v>108</v>
      </c>
      <c r="AI269" s="32">
        <v>41015</v>
      </c>
      <c r="AJ269" t="s">
        <v>388</v>
      </c>
      <c r="AK269" t="s">
        <v>272</v>
      </c>
      <c r="AL269" t="s">
        <v>361</v>
      </c>
      <c r="AM269" t="s">
        <v>273</v>
      </c>
      <c r="AN269" t="s">
        <v>380</v>
      </c>
      <c r="AO269">
        <v>109927</v>
      </c>
      <c r="AP269" t="s">
        <v>235</v>
      </c>
      <c r="AQ269" t="s">
        <v>389</v>
      </c>
      <c r="AR269">
        <v>0.42222222222222222</v>
      </c>
      <c r="AS269">
        <v>41015.422222222223</v>
      </c>
      <c r="AT269" s="35">
        <v>46.534019999999998</v>
      </c>
      <c r="AU269" s="35">
        <v>-84.153109999999998</v>
      </c>
      <c r="AV269">
        <v>4</v>
      </c>
      <c r="AW269" t="s">
        <v>390</v>
      </c>
      <c r="AX269">
        <v>0.30459999999999998</v>
      </c>
      <c r="AY269">
        <v>3</v>
      </c>
      <c r="AZ269" t="s">
        <v>237</v>
      </c>
    </row>
    <row r="270" spans="1:52" x14ac:dyDescent="0.25">
      <c r="A270" t="str">
        <f t="shared" si="9"/>
        <v>RTR</v>
      </c>
      <c r="C270" t="str">
        <f t="shared" si="10"/>
        <v>001</v>
      </c>
      <c r="D270">
        <v>3</v>
      </c>
      <c r="I270" s="18">
        <v>41015.625</v>
      </c>
      <c r="J270" s="19">
        <f t="shared" si="11"/>
        <v>41015.458333333336</v>
      </c>
      <c r="K270" t="s">
        <v>161</v>
      </c>
      <c r="L270">
        <f t="shared" si="12"/>
        <v>46.542340000000003</v>
      </c>
      <c r="M270">
        <f t="shared" si="13"/>
        <v>-84.212689999999995</v>
      </c>
      <c r="N270">
        <f t="shared" si="18"/>
        <v>0.9144000000000001</v>
      </c>
      <c r="O270">
        <f t="shared" si="19"/>
        <v>0.9144000000000001</v>
      </c>
      <c r="P270">
        <f t="shared" si="20"/>
        <v>0</v>
      </c>
      <c r="S270" t="s">
        <v>162</v>
      </c>
      <c r="T270">
        <v>69</v>
      </c>
      <c r="U270">
        <f t="shared" si="17"/>
        <v>109984</v>
      </c>
      <c r="AE270" t="s">
        <v>163</v>
      </c>
      <c r="AF270" t="s">
        <v>108</v>
      </c>
      <c r="AG270" t="s">
        <v>179</v>
      </c>
      <c r="AH270" s="21" t="s">
        <v>108</v>
      </c>
      <c r="AI270" s="32">
        <v>41015</v>
      </c>
      <c r="AJ270" t="s">
        <v>388</v>
      </c>
      <c r="AK270" t="s">
        <v>272</v>
      </c>
      <c r="AL270" t="s">
        <v>361</v>
      </c>
      <c r="AM270" t="s">
        <v>274</v>
      </c>
      <c r="AN270" t="s">
        <v>380</v>
      </c>
      <c r="AO270">
        <v>109984</v>
      </c>
      <c r="AP270" t="s">
        <v>235</v>
      </c>
      <c r="AQ270" t="s">
        <v>389</v>
      </c>
      <c r="AR270">
        <v>0.45833333333333331</v>
      </c>
      <c r="AS270">
        <v>41015.458333333336</v>
      </c>
      <c r="AT270" s="35">
        <v>46.542340000000003</v>
      </c>
      <c r="AU270" s="35">
        <v>-84.212689999999995</v>
      </c>
      <c r="AV270">
        <v>3</v>
      </c>
      <c r="AW270" t="s">
        <v>390</v>
      </c>
      <c r="AX270">
        <v>0</v>
      </c>
      <c r="AY270">
        <v>3</v>
      </c>
      <c r="AZ270" t="s">
        <v>237</v>
      </c>
    </row>
    <row r="271" spans="1:52" x14ac:dyDescent="0.25">
      <c r="A271" t="str">
        <f t="shared" si="9"/>
        <v>RTR</v>
      </c>
      <c r="C271" t="str">
        <f t="shared" si="10"/>
        <v>002</v>
      </c>
      <c r="D271">
        <v>3</v>
      </c>
      <c r="I271" s="18">
        <v>41015.631944444445</v>
      </c>
      <c r="J271" s="19">
        <f t="shared" si="11"/>
        <v>41015.465277777781</v>
      </c>
      <c r="K271" t="s">
        <v>161</v>
      </c>
      <c r="L271">
        <f t="shared" si="12"/>
        <v>46.542729999999999</v>
      </c>
      <c r="M271">
        <f t="shared" si="13"/>
        <v>-84.215950000000007</v>
      </c>
      <c r="N271">
        <f t="shared" si="18"/>
        <v>0.9144000000000001</v>
      </c>
      <c r="O271">
        <f t="shared" si="19"/>
        <v>0.9144000000000001</v>
      </c>
      <c r="P271">
        <f t="shared" si="20"/>
        <v>0</v>
      </c>
      <c r="S271" t="s">
        <v>162</v>
      </c>
      <c r="T271">
        <v>69</v>
      </c>
      <c r="U271">
        <f t="shared" si="17"/>
        <v>113227</v>
      </c>
      <c r="AE271" t="s">
        <v>163</v>
      </c>
      <c r="AF271" t="s">
        <v>108</v>
      </c>
      <c r="AG271" t="s">
        <v>179</v>
      </c>
      <c r="AH271" s="21" t="s">
        <v>108</v>
      </c>
      <c r="AI271" s="32">
        <v>41015</v>
      </c>
      <c r="AJ271" t="s">
        <v>388</v>
      </c>
      <c r="AK271" t="s">
        <v>272</v>
      </c>
      <c r="AL271" t="s">
        <v>361</v>
      </c>
      <c r="AM271" t="s">
        <v>275</v>
      </c>
      <c r="AN271" t="s">
        <v>380</v>
      </c>
      <c r="AO271">
        <v>113227</v>
      </c>
      <c r="AP271" t="s">
        <v>235</v>
      </c>
      <c r="AQ271" t="s">
        <v>389</v>
      </c>
      <c r="AR271">
        <v>0.46527777777777773</v>
      </c>
      <c r="AS271">
        <v>41015.465277777781</v>
      </c>
      <c r="AT271" s="35">
        <v>46.542729999999999</v>
      </c>
      <c r="AU271" s="35">
        <v>-84.215950000000007</v>
      </c>
      <c r="AV271">
        <v>3</v>
      </c>
      <c r="AW271" t="s">
        <v>390</v>
      </c>
      <c r="AX271">
        <v>0</v>
      </c>
      <c r="AY271">
        <v>3</v>
      </c>
      <c r="AZ271" t="s">
        <v>237</v>
      </c>
    </row>
    <row r="272" spans="1:52" x14ac:dyDescent="0.25">
      <c r="A272" t="str">
        <f t="shared" ref="A272:A303" si="21">LEFT(AM272,3)</f>
        <v>MNB</v>
      </c>
      <c r="C272" t="str">
        <f t="shared" ref="C272:C303" si="22">RIGHT(AM272,3)</f>
        <v>002</v>
      </c>
      <c r="D272">
        <v>3</v>
      </c>
      <c r="I272" s="18">
        <v>41016.576388888891</v>
      </c>
      <c r="J272" s="19">
        <f t="shared" ref="J272:J303" si="23">AS272</f>
        <v>41016.409722222219</v>
      </c>
      <c r="K272" t="s">
        <v>161</v>
      </c>
      <c r="L272">
        <f t="shared" ref="L272:L303" si="24">AT272</f>
        <v>46.326279999999997</v>
      </c>
      <c r="M272">
        <f t="shared" ref="M272:M303" si="25">AU272</f>
        <v>-84.157709999999994</v>
      </c>
      <c r="N272">
        <f t="shared" si="18"/>
        <v>0.9144000000000001</v>
      </c>
      <c r="O272">
        <f t="shared" si="19"/>
        <v>0.45720000000000005</v>
      </c>
      <c r="P272">
        <f t="shared" si="20"/>
        <v>0.45720000000000005</v>
      </c>
      <c r="S272" t="s">
        <v>162</v>
      </c>
      <c r="T272">
        <v>69</v>
      </c>
      <c r="U272">
        <f t="shared" ref="U272:U303" si="26">AO272</f>
        <v>109446</v>
      </c>
      <c r="AE272" t="s">
        <v>163</v>
      </c>
      <c r="AF272" t="s">
        <v>108</v>
      </c>
      <c r="AG272" t="s">
        <v>179</v>
      </c>
      <c r="AH272" s="21" t="s">
        <v>108</v>
      </c>
      <c r="AI272" s="32">
        <v>41016</v>
      </c>
      <c r="AJ272" t="s">
        <v>388</v>
      </c>
      <c r="AK272" t="s">
        <v>277</v>
      </c>
      <c r="AL272" t="s">
        <v>361</v>
      </c>
      <c r="AM272" t="s">
        <v>276</v>
      </c>
      <c r="AN272" t="s">
        <v>380</v>
      </c>
      <c r="AO272">
        <v>109446</v>
      </c>
      <c r="AP272" t="s">
        <v>235</v>
      </c>
      <c r="AQ272" t="s">
        <v>389</v>
      </c>
      <c r="AR272">
        <v>0.40972222222222227</v>
      </c>
      <c r="AS272">
        <v>41016.409722222219</v>
      </c>
      <c r="AT272" s="35">
        <v>46.326279999999997</v>
      </c>
      <c r="AU272" s="35">
        <v>-84.157709999999994</v>
      </c>
      <c r="AV272">
        <v>3</v>
      </c>
      <c r="AW272" t="s">
        <v>390</v>
      </c>
      <c r="AX272">
        <v>0.45689999999999997</v>
      </c>
      <c r="AY272">
        <v>1.5</v>
      </c>
      <c r="AZ272" t="s">
        <v>222</v>
      </c>
    </row>
    <row r="273" spans="1:52" x14ac:dyDescent="0.25">
      <c r="A273" t="str">
        <f t="shared" si="21"/>
        <v>MNB</v>
      </c>
      <c r="C273" t="str">
        <f t="shared" si="22"/>
        <v>001</v>
      </c>
      <c r="D273">
        <v>4</v>
      </c>
      <c r="I273" s="18">
        <v>41016.591666666667</v>
      </c>
      <c r="J273" s="19">
        <f t="shared" si="23"/>
        <v>41016.425000000003</v>
      </c>
      <c r="K273" t="s">
        <v>161</v>
      </c>
      <c r="L273">
        <f t="shared" si="24"/>
        <v>46.32629</v>
      </c>
      <c r="M273">
        <f t="shared" si="25"/>
        <v>-84.159080000000003</v>
      </c>
      <c r="N273">
        <f t="shared" si="18"/>
        <v>4.5720000000000001</v>
      </c>
      <c r="O273">
        <f t="shared" si="19"/>
        <v>1.2192000000000001</v>
      </c>
      <c r="P273">
        <f t="shared" si="20"/>
        <v>3.3528000000000002</v>
      </c>
      <c r="S273" t="s">
        <v>162</v>
      </c>
      <c r="T273">
        <v>69</v>
      </c>
      <c r="U273">
        <f t="shared" si="26"/>
        <v>109498</v>
      </c>
      <c r="AE273" t="s">
        <v>163</v>
      </c>
      <c r="AF273" t="s">
        <v>108</v>
      </c>
      <c r="AG273" t="s">
        <v>164</v>
      </c>
      <c r="AH273" s="21" t="s">
        <v>108</v>
      </c>
      <c r="AI273" s="32">
        <v>41016</v>
      </c>
      <c r="AJ273" t="s">
        <v>388</v>
      </c>
      <c r="AK273" t="s">
        <v>277</v>
      </c>
      <c r="AL273" t="s">
        <v>361</v>
      </c>
      <c r="AM273" t="s">
        <v>278</v>
      </c>
      <c r="AN273" t="s">
        <v>380</v>
      </c>
      <c r="AO273">
        <v>109498</v>
      </c>
      <c r="AP273" t="s">
        <v>235</v>
      </c>
      <c r="AQ273" t="s">
        <v>389</v>
      </c>
      <c r="AR273">
        <v>0.42499999999999999</v>
      </c>
      <c r="AS273">
        <v>41016.425000000003</v>
      </c>
      <c r="AT273" s="35">
        <v>46.32629</v>
      </c>
      <c r="AU273" s="35">
        <v>-84.159080000000003</v>
      </c>
      <c r="AV273">
        <v>15</v>
      </c>
      <c r="AW273" t="s">
        <v>390</v>
      </c>
      <c r="AX273">
        <v>3.3506</v>
      </c>
      <c r="AY273">
        <v>4</v>
      </c>
      <c r="AZ273" t="s">
        <v>197</v>
      </c>
    </row>
    <row r="274" spans="1:52" x14ac:dyDescent="0.25">
      <c r="A274" t="str">
        <f t="shared" si="21"/>
        <v>MNB</v>
      </c>
      <c r="C274" t="str">
        <f t="shared" si="22"/>
        <v>005</v>
      </c>
      <c r="D274">
        <v>2</v>
      </c>
      <c r="I274" s="18">
        <v>41016.605555555558</v>
      </c>
      <c r="J274" s="19">
        <f t="shared" si="23"/>
        <v>41016.438888888886</v>
      </c>
      <c r="K274" t="s">
        <v>161</v>
      </c>
      <c r="L274">
        <f t="shared" si="24"/>
        <v>46.325780000000002</v>
      </c>
      <c r="M274">
        <f t="shared" si="25"/>
        <v>-84.157229999999998</v>
      </c>
      <c r="N274">
        <f t="shared" si="18"/>
        <v>4.3891200000000001</v>
      </c>
      <c r="O274">
        <f t="shared" si="19"/>
        <v>1.2192000000000001</v>
      </c>
      <c r="P274">
        <f t="shared" si="20"/>
        <v>3.1699200000000003</v>
      </c>
      <c r="S274" t="s">
        <v>162</v>
      </c>
      <c r="T274">
        <v>69</v>
      </c>
      <c r="U274">
        <f t="shared" si="26"/>
        <v>106324</v>
      </c>
      <c r="AE274" t="s">
        <v>163</v>
      </c>
      <c r="AF274" t="s">
        <v>108</v>
      </c>
      <c r="AG274" t="s">
        <v>164</v>
      </c>
      <c r="AH274" s="21" t="s">
        <v>108</v>
      </c>
      <c r="AI274" s="32">
        <v>41016</v>
      </c>
      <c r="AJ274" t="s">
        <v>388</v>
      </c>
      <c r="AK274" t="s">
        <v>277</v>
      </c>
      <c r="AL274" t="s">
        <v>361</v>
      </c>
      <c r="AM274" t="s">
        <v>279</v>
      </c>
      <c r="AN274" t="s">
        <v>380</v>
      </c>
      <c r="AO274">
        <v>106324</v>
      </c>
      <c r="AP274" t="s">
        <v>235</v>
      </c>
      <c r="AQ274" t="s">
        <v>389</v>
      </c>
      <c r="AR274">
        <v>0.43888888888888888</v>
      </c>
      <c r="AS274">
        <v>41016.438888888886</v>
      </c>
      <c r="AT274" s="35">
        <v>46.325780000000002</v>
      </c>
      <c r="AU274" s="35">
        <v>-84.157229999999998</v>
      </c>
      <c r="AV274">
        <v>14.4</v>
      </c>
      <c r="AW274" t="s">
        <v>390</v>
      </c>
      <c r="AX274">
        <v>3.16784</v>
      </c>
      <c r="AY274">
        <v>4</v>
      </c>
      <c r="AZ274" t="s">
        <v>197</v>
      </c>
    </row>
    <row r="275" spans="1:52" x14ac:dyDescent="0.25">
      <c r="A275" t="str">
        <f t="shared" si="21"/>
        <v>MNB</v>
      </c>
      <c r="C275" t="str">
        <f t="shared" si="22"/>
        <v>004</v>
      </c>
      <c r="D275">
        <v>2</v>
      </c>
      <c r="I275" s="18">
        <v>41016.618055555555</v>
      </c>
      <c r="J275" s="19">
        <f t="shared" si="23"/>
        <v>41016.451388888891</v>
      </c>
      <c r="K275" t="s">
        <v>161</v>
      </c>
      <c r="L275">
        <f t="shared" si="24"/>
        <v>46.324339999999999</v>
      </c>
      <c r="M275">
        <f t="shared" si="25"/>
        <v>-84.157749999999993</v>
      </c>
      <c r="N275">
        <f t="shared" si="18"/>
        <v>4.6939200000000003</v>
      </c>
      <c r="O275">
        <f t="shared" si="19"/>
        <v>1.2192000000000001</v>
      </c>
      <c r="P275">
        <f t="shared" si="20"/>
        <v>3.4747200000000005</v>
      </c>
      <c r="S275" t="s">
        <v>162</v>
      </c>
      <c r="T275">
        <v>69</v>
      </c>
      <c r="U275">
        <f t="shared" si="26"/>
        <v>109968</v>
      </c>
      <c r="AE275" t="s">
        <v>163</v>
      </c>
      <c r="AF275" t="s">
        <v>108</v>
      </c>
      <c r="AG275" t="s">
        <v>164</v>
      </c>
      <c r="AH275" s="21" t="s">
        <v>108</v>
      </c>
      <c r="AI275" s="32">
        <v>41016</v>
      </c>
      <c r="AJ275" t="s">
        <v>388</v>
      </c>
      <c r="AK275" t="s">
        <v>277</v>
      </c>
      <c r="AL275" t="s">
        <v>361</v>
      </c>
      <c r="AM275" t="s">
        <v>280</v>
      </c>
      <c r="AN275" t="s">
        <v>380</v>
      </c>
      <c r="AO275">
        <v>109968</v>
      </c>
      <c r="AP275" t="s">
        <v>235</v>
      </c>
      <c r="AQ275" t="s">
        <v>389</v>
      </c>
      <c r="AR275">
        <v>0.4513888888888889</v>
      </c>
      <c r="AS275">
        <v>41016.451388888891</v>
      </c>
      <c r="AT275" s="35">
        <v>46.324339999999999</v>
      </c>
      <c r="AU275" s="35">
        <v>-84.157749999999993</v>
      </c>
      <c r="AV275">
        <v>15.4</v>
      </c>
      <c r="AW275" t="s">
        <v>390</v>
      </c>
      <c r="AX275">
        <v>3.4724399999999997</v>
      </c>
      <c r="AY275">
        <v>4</v>
      </c>
      <c r="AZ275" t="s">
        <v>229</v>
      </c>
    </row>
    <row r="276" spans="1:52" x14ac:dyDescent="0.25">
      <c r="A276" t="str">
        <f t="shared" si="21"/>
        <v>MNB</v>
      </c>
      <c r="C276" t="str">
        <f t="shared" si="22"/>
        <v>003</v>
      </c>
      <c r="D276">
        <v>2</v>
      </c>
      <c r="I276" s="18">
        <v>41016.62222222222</v>
      </c>
      <c r="J276" s="19">
        <f t="shared" si="23"/>
        <v>41016.455555555556</v>
      </c>
      <c r="K276" t="s">
        <v>161</v>
      </c>
      <c r="L276">
        <f t="shared" si="24"/>
        <v>46.324890000000003</v>
      </c>
      <c r="M276">
        <f t="shared" si="25"/>
        <v>-84.159819999999996</v>
      </c>
      <c r="N276">
        <f t="shared" si="18"/>
        <v>4.3586400000000003</v>
      </c>
      <c r="O276">
        <f t="shared" si="19"/>
        <v>1.2192000000000001</v>
      </c>
      <c r="P276">
        <f t="shared" si="20"/>
        <v>3.1394400000000005</v>
      </c>
      <c r="S276" t="s">
        <v>162</v>
      </c>
      <c r="T276">
        <v>69</v>
      </c>
      <c r="U276">
        <f t="shared" si="26"/>
        <v>109875</v>
      </c>
      <c r="AE276" t="s">
        <v>163</v>
      </c>
      <c r="AF276" t="s">
        <v>108</v>
      </c>
      <c r="AG276" t="s">
        <v>164</v>
      </c>
      <c r="AH276" s="21" t="s">
        <v>108</v>
      </c>
      <c r="AI276" s="32">
        <v>41016</v>
      </c>
      <c r="AJ276" t="s">
        <v>388</v>
      </c>
      <c r="AK276" t="s">
        <v>277</v>
      </c>
      <c r="AL276" t="s">
        <v>361</v>
      </c>
      <c r="AM276" t="s">
        <v>281</v>
      </c>
      <c r="AN276" t="s">
        <v>380</v>
      </c>
      <c r="AO276">
        <v>109875</v>
      </c>
      <c r="AP276" t="s">
        <v>235</v>
      </c>
      <c r="AQ276" t="s">
        <v>389</v>
      </c>
      <c r="AR276">
        <v>0.45555555555555555</v>
      </c>
      <c r="AS276">
        <v>41016.455555555556</v>
      </c>
      <c r="AT276" s="35">
        <v>46.324890000000003</v>
      </c>
      <c r="AU276" s="35">
        <v>-84.159819999999996</v>
      </c>
      <c r="AV276">
        <v>14.3</v>
      </c>
      <c r="AW276" t="s">
        <v>390</v>
      </c>
      <c r="AX276">
        <v>3.1373799999999998</v>
      </c>
      <c r="AY276">
        <v>4</v>
      </c>
      <c r="AZ276" t="s">
        <v>282</v>
      </c>
    </row>
    <row r="277" spans="1:52" x14ac:dyDescent="0.25">
      <c r="A277" t="str">
        <f t="shared" si="21"/>
        <v>RNS</v>
      </c>
      <c r="C277" t="str">
        <f t="shared" si="22"/>
        <v>007</v>
      </c>
      <c r="D277">
        <v>1</v>
      </c>
      <c r="I277" s="18">
        <v>41016.645833333336</v>
      </c>
      <c r="J277" s="19">
        <f t="shared" si="23"/>
        <v>41016.479166666664</v>
      </c>
      <c r="K277" t="s">
        <v>161</v>
      </c>
      <c r="L277">
        <f t="shared" si="24"/>
        <v>46.258780000000002</v>
      </c>
      <c r="M277">
        <f t="shared" si="25"/>
        <v>-84.103620000000006</v>
      </c>
      <c r="N277">
        <f t="shared" si="18"/>
        <v>7.7724000000000002</v>
      </c>
      <c r="O277">
        <f t="shared" si="19"/>
        <v>0.9144000000000001</v>
      </c>
      <c r="P277">
        <f t="shared" si="20"/>
        <v>6.8580000000000005</v>
      </c>
      <c r="S277" t="s">
        <v>162</v>
      </c>
      <c r="T277">
        <v>69</v>
      </c>
      <c r="U277">
        <f t="shared" si="26"/>
        <v>109409</v>
      </c>
      <c r="AE277" t="s">
        <v>163</v>
      </c>
      <c r="AF277" t="s">
        <v>108</v>
      </c>
      <c r="AG277" t="s">
        <v>179</v>
      </c>
      <c r="AH277" s="21" t="s">
        <v>108</v>
      </c>
      <c r="AI277" s="32">
        <v>41016</v>
      </c>
      <c r="AJ277" t="s">
        <v>388</v>
      </c>
      <c r="AK277" t="s">
        <v>277</v>
      </c>
      <c r="AL277" t="s">
        <v>361</v>
      </c>
      <c r="AM277" t="s">
        <v>283</v>
      </c>
      <c r="AN277" t="s">
        <v>380</v>
      </c>
      <c r="AO277">
        <v>109409</v>
      </c>
      <c r="AP277" t="s">
        <v>235</v>
      </c>
      <c r="AQ277" t="s">
        <v>389</v>
      </c>
      <c r="AR277">
        <v>0.47916666666666669</v>
      </c>
      <c r="AS277">
        <v>41016.479166666664</v>
      </c>
      <c r="AT277" s="35">
        <v>46.258780000000002</v>
      </c>
      <c r="AU277" s="35">
        <v>-84.103620000000006</v>
      </c>
      <c r="AV277">
        <v>25.5</v>
      </c>
      <c r="AW277" t="s">
        <v>390</v>
      </c>
      <c r="AX277">
        <v>6.8534999999999995</v>
      </c>
      <c r="AY277">
        <v>3</v>
      </c>
      <c r="AZ277" t="s">
        <v>250</v>
      </c>
    </row>
    <row r="278" spans="1:52" x14ac:dyDescent="0.25">
      <c r="A278" t="str">
        <f t="shared" si="21"/>
        <v>LRC</v>
      </c>
      <c r="C278" t="str">
        <f t="shared" si="22"/>
        <v>006</v>
      </c>
      <c r="D278">
        <v>4</v>
      </c>
      <c r="I278" s="18">
        <v>41016.674305555556</v>
      </c>
      <c r="J278" s="19">
        <f t="shared" si="23"/>
        <v>41016.507638888892</v>
      </c>
      <c r="K278" t="s">
        <v>161</v>
      </c>
      <c r="L278">
        <f t="shared" si="24"/>
        <v>46.26464</v>
      </c>
      <c r="M278">
        <f t="shared" si="25"/>
        <v>-84.188720000000004</v>
      </c>
      <c r="N278">
        <f t="shared" si="18"/>
        <v>7.4066400000000003</v>
      </c>
      <c r="O278">
        <f t="shared" si="19"/>
        <v>1.2192000000000001</v>
      </c>
      <c r="P278">
        <f t="shared" si="20"/>
        <v>6.1874400000000005</v>
      </c>
      <c r="S278" t="s">
        <v>162</v>
      </c>
      <c r="T278">
        <v>69</v>
      </c>
      <c r="U278">
        <f t="shared" si="26"/>
        <v>109477</v>
      </c>
      <c r="AE278" t="s">
        <v>163</v>
      </c>
      <c r="AF278" t="s">
        <v>108</v>
      </c>
      <c r="AG278" t="s">
        <v>164</v>
      </c>
      <c r="AH278" s="21" t="s">
        <v>108</v>
      </c>
      <c r="AI278" s="32">
        <v>41016</v>
      </c>
      <c r="AJ278" t="s">
        <v>388</v>
      </c>
      <c r="AK278" t="s">
        <v>277</v>
      </c>
      <c r="AL278" t="s">
        <v>361</v>
      </c>
      <c r="AM278" t="s">
        <v>284</v>
      </c>
      <c r="AN278" t="s">
        <v>380</v>
      </c>
      <c r="AO278">
        <v>109477</v>
      </c>
      <c r="AP278" t="s">
        <v>235</v>
      </c>
      <c r="AQ278" t="s">
        <v>389</v>
      </c>
      <c r="AR278">
        <v>0.50763888888888886</v>
      </c>
      <c r="AS278">
        <v>41016.507638888892</v>
      </c>
      <c r="AT278" s="35">
        <v>46.26464</v>
      </c>
      <c r="AU278" s="35">
        <v>-84.188720000000004</v>
      </c>
      <c r="AV278">
        <v>24.3</v>
      </c>
      <c r="AW278" t="s">
        <v>390</v>
      </c>
      <c r="AX278">
        <v>6.1833799999999997</v>
      </c>
      <c r="AY278">
        <v>4</v>
      </c>
      <c r="AZ278" t="s">
        <v>197</v>
      </c>
    </row>
    <row r="279" spans="1:52" x14ac:dyDescent="0.25">
      <c r="A279" t="str">
        <f t="shared" si="21"/>
        <v>LRC</v>
      </c>
      <c r="C279" t="str">
        <f t="shared" si="22"/>
        <v>007</v>
      </c>
      <c r="D279">
        <v>3</v>
      </c>
      <c r="I279" s="18">
        <v>41016.684027777781</v>
      </c>
      <c r="J279" s="19">
        <f t="shared" si="23"/>
        <v>41016.517361111109</v>
      </c>
      <c r="K279" t="s">
        <v>161</v>
      </c>
      <c r="L279">
        <f t="shared" si="24"/>
        <v>46.264130000000002</v>
      </c>
      <c r="M279">
        <f t="shared" si="25"/>
        <v>-84.190399999999997</v>
      </c>
      <c r="N279">
        <f t="shared" si="18"/>
        <v>4.1147999999999998</v>
      </c>
      <c r="O279">
        <f t="shared" si="19"/>
        <v>1.2192000000000001</v>
      </c>
      <c r="P279">
        <f t="shared" si="20"/>
        <v>2.8956</v>
      </c>
      <c r="S279" t="s">
        <v>162</v>
      </c>
      <c r="T279">
        <v>69</v>
      </c>
      <c r="U279">
        <f t="shared" si="26"/>
        <v>109941</v>
      </c>
      <c r="AE279" t="s">
        <v>163</v>
      </c>
      <c r="AF279" t="s">
        <v>108</v>
      </c>
      <c r="AG279" t="s">
        <v>164</v>
      </c>
      <c r="AH279" s="21" t="s">
        <v>108</v>
      </c>
      <c r="AI279" s="32">
        <v>41016</v>
      </c>
      <c r="AJ279" t="s">
        <v>388</v>
      </c>
      <c r="AK279" t="s">
        <v>277</v>
      </c>
      <c r="AL279" t="s">
        <v>361</v>
      </c>
      <c r="AM279" t="s">
        <v>285</v>
      </c>
      <c r="AN279" t="s">
        <v>380</v>
      </c>
      <c r="AO279">
        <v>109941</v>
      </c>
      <c r="AP279" t="s">
        <v>235</v>
      </c>
      <c r="AQ279" t="s">
        <v>389</v>
      </c>
      <c r="AR279">
        <v>0.51736111111111105</v>
      </c>
      <c r="AS279">
        <v>41016.517361111109</v>
      </c>
      <c r="AT279" s="35">
        <v>46.264130000000002</v>
      </c>
      <c r="AU279" s="35">
        <v>-84.190399999999997</v>
      </c>
      <c r="AV279">
        <v>13.5</v>
      </c>
      <c r="AW279" t="s">
        <v>390</v>
      </c>
      <c r="AX279">
        <v>2.8936999999999999</v>
      </c>
      <c r="AY279">
        <v>4</v>
      </c>
      <c r="AZ279" t="s">
        <v>187</v>
      </c>
    </row>
    <row r="280" spans="1:52" x14ac:dyDescent="0.25">
      <c r="A280" t="str">
        <f t="shared" si="21"/>
        <v>LRC</v>
      </c>
      <c r="C280" t="str">
        <f t="shared" si="22"/>
        <v>005</v>
      </c>
      <c r="D280">
        <v>3</v>
      </c>
      <c r="I280" s="18">
        <v>41016.688888888886</v>
      </c>
      <c r="J280" s="19">
        <f t="shared" si="23"/>
        <v>41016.522222222222</v>
      </c>
      <c r="K280" t="s">
        <v>161</v>
      </c>
      <c r="L280">
        <f t="shared" si="24"/>
        <v>46.263579999999997</v>
      </c>
      <c r="M280">
        <f t="shared" si="25"/>
        <v>-84.189959999999999</v>
      </c>
      <c r="N280">
        <f t="shared" si="18"/>
        <v>4.0538400000000001</v>
      </c>
      <c r="O280">
        <f t="shared" si="19"/>
        <v>1.2192000000000001</v>
      </c>
      <c r="P280">
        <f t="shared" si="20"/>
        <v>2.8346400000000003</v>
      </c>
      <c r="S280" t="s">
        <v>162</v>
      </c>
      <c r="T280">
        <v>69</v>
      </c>
      <c r="U280">
        <f t="shared" si="26"/>
        <v>109503</v>
      </c>
      <c r="AE280" t="s">
        <v>163</v>
      </c>
      <c r="AF280" t="s">
        <v>108</v>
      </c>
      <c r="AG280" t="s">
        <v>164</v>
      </c>
      <c r="AH280" s="21" t="s">
        <v>108</v>
      </c>
      <c r="AI280" s="32">
        <v>41016</v>
      </c>
      <c r="AJ280" t="s">
        <v>388</v>
      </c>
      <c r="AK280" t="s">
        <v>277</v>
      </c>
      <c r="AL280" t="s">
        <v>361</v>
      </c>
      <c r="AM280" t="s">
        <v>286</v>
      </c>
      <c r="AN280" t="s">
        <v>380</v>
      </c>
      <c r="AO280">
        <v>109503</v>
      </c>
      <c r="AP280" t="s">
        <v>235</v>
      </c>
      <c r="AQ280" t="s">
        <v>389</v>
      </c>
      <c r="AR280">
        <v>0.52222222222222225</v>
      </c>
      <c r="AS280">
        <v>41016.522222222222</v>
      </c>
      <c r="AT280" s="35">
        <v>46.263579999999997</v>
      </c>
      <c r="AU280" s="35">
        <v>-84.189959999999999</v>
      </c>
      <c r="AV280">
        <v>13.3</v>
      </c>
      <c r="AW280" t="s">
        <v>390</v>
      </c>
      <c r="AX280">
        <v>2.8327800000000001</v>
      </c>
      <c r="AY280">
        <v>4</v>
      </c>
      <c r="AZ280" t="s">
        <v>187</v>
      </c>
    </row>
    <row r="281" spans="1:52" x14ac:dyDescent="0.25">
      <c r="A281" t="str">
        <f t="shared" si="21"/>
        <v>LRC</v>
      </c>
      <c r="C281" t="str">
        <f t="shared" si="22"/>
        <v>001</v>
      </c>
      <c r="D281">
        <v>4</v>
      </c>
      <c r="I281" s="18">
        <v>41016.697222222225</v>
      </c>
      <c r="J281" s="19">
        <f t="shared" si="23"/>
        <v>41016.530555555553</v>
      </c>
      <c r="K281" t="s">
        <v>161</v>
      </c>
      <c r="L281">
        <f t="shared" si="24"/>
        <v>46.263030000000001</v>
      </c>
      <c r="M281">
        <f t="shared" si="25"/>
        <v>-84.189539999999994</v>
      </c>
      <c r="N281">
        <f t="shared" si="18"/>
        <v>6.61416</v>
      </c>
      <c r="O281">
        <f t="shared" si="19"/>
        <v>1.2192000000000001</v>
      </c>
      <c r="P281">
        <f t="shared" si="20"/>
        <v>5.3949600000000002</v>
      </c>
      <c r="S281" t="s">
        <v>162</v>
      </c>
      <c r="T281">
        <v>69</v>
      </c>
      <c r="U281">
        <f t="shared" si="26"/>
        <v>109507</v>
      </c>
      <c r="AE281" t="s">
        <v>163</v>
      </c>
      <c r="AF281" t="s">
        <v>108</v>
      </c>
      <c r="AG281" t="s">
        <v>164</v>
      </c>
      <c r="AH281" s="21" t="s">
        <v>108</v>
      </c>
      <c r="AI281" s="32">
        <v>41016</v>
      </c>
      <c r="AJ281" t="s">
        <v>388</v>
      </c>
      <c r="AK281" t="s">
        <v>277</v>
      </c>
      <c r="AL281" t="s">
        <v>361</v>
      </c>
      <c r="AM281" t="s">
        <v>287</v>
      </c>
      <c r="AN281" t="s">
        <v>380</v>
      </c>
      <c r="AO281">
        <v>109507</v>
      </c>
      <c r="AP281" t="s">
        <v>235</v>
      </c>
      <c r="AQ281" t="s">
        <v>389</v>
      </c>
      <c r="AR281">
        <v>0.53055555555555556</v>
      </c>
      <c r="AS281">
        <v>41016.530555555553</v>
      </c>
      <c r="AT281" s="35">
        <v>46.263030000000001</v>
      </c>
      <c r="AU281" s="35">
        <v>-84.189539999999994</v>
      </c>
      <c r="AV281">
        <v>21.7</v>
      </c>
      <c r="AW281" t="s">
        <v>390</v>
      </c>
      <c r="AX281">
        <v>5.3914199999999992</v>
      </c>
      <c r="AY281">
        <v>4</v>
      </c>
      <c r="AZ281" t="s">
        <v>187</v>
      </c>
    </row>
    <row r="282" spans="1:52" x14ac:dyDescent="0.25">
      <c r="A282" t="str">
        <f t="shared" si="21"/>
        <v>LRC</v>
      </c>
      <c r="C282" t="str">
        <f t="shared" si="22"/>
        <v>004</v>
      </c>
      <c r="D282">
        <v>3</v>
      </c>
      <c r="I282" s="18">
        <v>41016.702777777777</v>
      </c>
      <c r="J282" s="19">
        <f t="shared" si="23"/>
        <v>41016.536111111112</v>
      </c>
      <c r="K282" t="s">
        <v>161</v>
      </c>
      <c r="L282">
        <f t="shared" si="24"/>
        <v>46.264119999999998</v>
      </c>
      <c r="M282">
        <f t="shared" si="25"/>
        <v>-84.188419999999994</v>
      </c>
      <c r="N282">
        <f t="shared" si="18"/>
        <v>6.8275199999999998</v>
      </c>
      <c r="O282">
        <f t="shared" si="19"/>
        <v>1.2192000000000001</v>
      </c>
      <c r="P282">
        <f t="shared" si="20"/>
        <v>5.60832</v>
      </c>
      <c r="S282" t="s">
        <v>162</v>
      </c>
      <c r="T282">
        <v>69</v>
      </c>
      <c r="U282">
        <f t="shared" si="26"/>
        <v>109993</v>
      </c>
      <c r="AE282" t="s">
        <v>163</v>
      </c>
      <c r="AF282" t="s">
        <v>108</v>
      </c>
      <c r="AG282" t="s">
        <v>164</v>
      </c>
      <c r="AH282" s="21" t="s">
        <v>108</v>
      </c>
      <c r="AI282" s="32">
        <v>41016</v>
      </c>
      <c r="AJ282" t="s">
        <v>388</v>
      </c>
      <c r="AK282" t="s">
        <v>277</v>
      </c>
      <c r="AL282" t="s">
        <v>361</v>
      </c>
      <c r="AM282" t="s">
        <v>288</v>
      </c>
      <c r="AN282" t="s">
        <v>380</v>
      </c>
      <c r="AO282">
        <v>109993</v>
      </c>
      <c r="AP282" t="s">
        <v>235</v>
      </c>
      <c r="AQ282" t="s">
        <v>389</v>
      </c>
      <c r="AR282">
        <v>0.53611111111111109</v>
      </c>
      <c r="AS282">
        <v>41016.536111111112</v>
      </c>
      <c r="AT282" s="35">
        <v>46.264119999999998</v>
      </c>
      <c r="AU282" s="35">
        <v>-84.188419999999994</v>
      </c>
      <c r="AV282">
        <v>22.4</v>
      </c>
      <c r="AW282" t="s">
        <v>390</v>
      </c>
      <c r="AX282">
        <v>5.604639999999999</v>
      </c>
      <c r="AY282">
        <v>4</v>
      </c>
      <c r="AZ282" t="s">
        <v>217</v>
      </c>
    </row>
    <row r="283" spans="1:52" x14ac:dyDescent="0.25">
      <c r="A283" t="str">
        <f t="shared" si="21"/>
        <v>LRC</v>
      </c>
      <c r="C283" t="str">
        <f t="shared" si="22"/>
        <v>002</v>
      </c>
      <c r="D283">
        <v>3</v>
      </c>
      <c r="I283" s="18">
        <v>41016.719444444447</v>
      </c>
      <c r="J283" s="19">
        <f t="shared" si="23"/>
        <v>41016.552777777775</v>
      </c>
      <c r="K283" t="s">
        <v>161</v>
      </c>
      <c r="L283">
        <f t="shared" si="24"/>
        <v>46.263620000000003</v>
      </c>
      <c r="M283">
        <f t="shared" si="25"/>
        <v>-84.187600000000003</v>
      </c>
      <c r="N283">
        <f t="shared" si="18"/>
        <v>7.7724000000000002</v>
      </c>
      <c r="O283">
        <f t="shared" si="19"/>
        <v>1.2192000000000001</v>
      </c>
      <c r="P283">
        <f t="shared" si="20"/>
        <v>6.5532000000000004</v>
      </c>
      <c r="S283" t="s">
        <v>162</v>
      </c>
      <c r="T283">
        <v>69</v>
      </c>
      <c r="U283">
        <f t="shared" si="26"/>
        <v>109504</v>
      </c>
      <c r="AE283" t="s">
        <v>163</v>
      </c>
      <c r="AF283" t="s">
        <v>108</v>
      </c>
      <c r="AG283" t="s">
        <v>164</v>
      </c>
      <c r="AH283" s="21" t="s">
        <v>108</v>
      </c>
      <c r="AI283" s="32">
        <v>41016</v>
      </c>
      <c r="AJ283" t="s">
        <v>388</v>
      </c>
      <c r="AK283" t="s">
        <v>277</v>
      </c>
      <c r="AL283" t="s">
        <v>361</v>
      </c>
      <c r="AM283" t="s">
        <v>289</v>
      </c>
      <c r="AN283" t="s">
        <v>380</v>
      </c>
      <c r="AO283">
        <v>109504</v>
      </c>
      <c r="AP283" t="s">
        <v>235</v>
      </c>
      <c r="AQ283" t="s">
        <v>389</v>
      </c>
      <c r="AR283">
        <v>0.55277777777777781</v>
      </c>
      <c r="AS283">
        <v>41016.552777777775</v>
      </c>
      <c r="AT283" s="35">
        <v>46.263620000000003</v>
      </c>
      <c r="AU283" s="35">
        <v>-84.187600000000003</v>
      </c>
      <c r="AV283">
        <v>25.5</v>
      </c>
      <c r="AW283" t="s">
        <v>390</v>
      </c>
      <c r="AX283">
        <v>6.5488999999999997</v>
      </c>
      <c r="AY283">
        <v>4</v>
      </c>
      <c r="AZ283" t="s">
        <v>290</v>
      </c>
    </row>
    <row r="284" spans="1:52" x14ac:dyDescent="0.25">
      <c r="A284" t="str">
        <f t="shared" si="21"/>
        <v>LRC</v>
      </c>
      <c r="C284" t="str">
        <f t="shared" si="22"/>
        <v>003</v>
      </c>
      <c r="D284">
        <v>4</v>
      </c>
      <c r="I284" s="18">
        <v>41016.723611111112</v>
      </c>
      <c r="J284" s="19">
        <f t="shared" si="23"/>
        <v>41016.556944444441</v>
      </c>
      <c r="K284" t="s">
        <v>161</v>
      </c>
      <c r="L284">
        <f t="shared" si="24"/>
        <v>46.265120000000003</v>
      </c>
      <c r="M284">
        <f t="shared" si="25"/>
        <v>-84.186599999999999</v>
      </c>
      <c r="N284">
        <f t="shared" si="18"/>
        <v>4.9987199999999996</v>
      </c>
      <c r="O284">
        <f t="shared" si="19"/>
        <v>0.9144000000000001</v>
      </c>
      <c r="P284">
        <f t="shared" si="20"/>
        <v>4.08432</v>
      </c>
      <c r="S284" t="s">
        <v>162</v>
      </c>
      <c r="T284">
        <v>69</v>
      </c>
      <c r="U284">
        <f t="shared" si="26"/>
        <v>109439</v>
      </c>
      <c r="AE284" t="s">
        <v>163</v>
      </c>
      <c r="AF284" t="s">
        <v>108</v>
      </c>
      <c r="AG284" t="s">
        <v>164</v>
      </c>
      <c r="AH284" s="21" t="s">
        <v>108</v>
      </c>
      <c r="AI284" s="32">
        <v>41016</v>
      </c>
      <c r="AJ284" t="s">
        <v>388</v>
      </c>
      <c r="AK284" t="s">
        <v>277</v>
      </c>
      <c r="AL284" t="s">
        <v>361</v>
      </c>
      <c r="AM284" t="s">
        <v>291</v>
      </c>
      <c r="AN284" t="s">
        <v>380</v>
      </c>
      <c r="AO284">
        <v>109439</v>
      </c>
      <c r="AP284" t="s">
        <v>235</v>
      </c>
      <c r="AQ284" t="s">
        <v>389</v>
      </c>
      <c r="AR284">
        <v>0.55694444444444446</v>
      </c>
      <c r="AS284">
        <v>41016.556944444441</v>
      </c>
      <c r="AT284" s="35">
        <v>46.265120000000003</v>
      </c>
      <c r="AU284" s="35">
        <v>-84.186599999999999</v>
      </c>
      <c r="AV284">
        <v>16.399999999999999</v>
      </c>
      <c r="AW284" t="s">
        <v>390</v>
      </c>
      <c r="AX284">
        <v>4.0816399999999993</v>
      </c>
      <c r="AY284">
        <v>3</v>
      </c>
      <c r="AZ284" t="s">
        <v>204</v>
      </c>
    </row>
    <row r="285" spans="1:52" x14ac:dyDescent="0.25">
      <c r="A285" t="str">
        <f t="shared" si="21"/>
        <v>URC</v>
      </c>
      <c r="C285" t="str">
        <f t="shared" si="22"/>
        <v>004</v>
      </c>
      <c r="D285">
        <v>3</v>
      </c>
      <c r="I285" s="18">
        <v>41016.734722222223</v>
      </c>
      <c r="J285" s="19">
        <f t="shared" si="23"/>
        <v>41016.568055555559</v>
      </c>
      <c r="K285" t="s">
        <v>161</v>
      </c>
      <c r="L285">
        <f t="shared" si="24"/>
        <v>46.286450000000002</v>
      </c>
      <c r="M285">
        <f t="shared" si="25"/>
        <v>-84.211519999999993</v>
      </c>
      <c r="N285">
        <f t="shared" si="18"/>
        <v>3.7490400000000004</v>
      </c>
      <c r="O285">
        <f t="shared" si="19"/>
        <v>0.60960000000000003</v>
      </c>
      <c r="P285">
        <f t="shared" si="20"/>
        <v>3.1394400000000005</v>
      </c>
      <c r="S285" t="s">
        <v>162</v>
      </c>
      <c r="T285">
        <v>69</v>
      </c>
      <c r="U285">
        <f t="shared" si="26"/>
        <v>109505</v>
      </c>
      <c r="AE285" t="s">
        <v>163</v>
      </c>
      <c r="AF285" t="s">
        <v>108</v>
      </c>
      <c r="AG285" t="s">
        <v>179</v>
      </c>
      <c r="AH285" s="21" t="s">
        <v>108</v>
      </c>
      <c r="AI285" s="32">
        <v>41016</v>
      </c>
      <c r="AJ285" t="s">
        <v>388</v>
      </c>
      <c r="AK285" t="s">
        <v>277</v>
      </c>
      <c r="AL285" t="s">
        <v>361</v>
      </c>
      <c r="AM285" t="s">
        <v>292</v>
      </c>
      <c r="AN285" t="s">
        <v>380</v>
      </c>
      <c r="AO285">
        <v>109505</v>
      </c>
      <c r="AP285" t="s">
        <v>235</v>
      </c>
      <c r="AQ285" t="s">
        <v>389</v>
      </c>
      <c r="AR285">
        <v>0.56805555555555554</v>
      </c>
      <c r="AS285">
        <v>41016.568055555559</v>
      </c>
      <c r="AT285" s="35">
        <v>46.286450000000002</v>
      </c>
      <c r="AU285" s="35">
        <v>-84.211519999999993</v>
      </c>
      <c r="AV285">
        <v>12.3</v>
      </c>
      <c r="AW285" t="s">
        <v>390</v>
      </c>
      <c r="AX285">
        <v>3.1373799999999998</v>
      </c>
      <c r="AY285">
        <v>2</v>
      </c>
      <c r="AZ285" t="s">
        <v>293</v>
      </c>
    </row>
    <row r="286" spans="1:52" x14ac:dyDescent="0.25">
      <c r="A286" t="str">
        <f t="shared" si="21"/>
        <v>PWC</v>
      </c>
      <c r="C286" t="str">
        <f t="shared" si="22"/>
        <v>001</v>
      </c>
      <c r="D286">
        <v>4</v>
      </c>
      <c r="I286" s="18">
        <v>41016.799305555556</v>
      </c>
      <c r="J286" s="19">
        <f t="shared" si="23"/>
        <v>41016.632638888892</v>
      </c>
      <c r="K286" t="s">
        <v>161</v>
      </c>
      <c r="L286">
        <f t="shared" si="24"/>
        <v>46.505369999999999</v>
      </c>
      <c r="M286">
        <f t="shared" si="25"/>
        <v>-84.351280000000003</v>
      </c>
      <c r="N286">
        <f t="shared" si="18"/>
        <v>3.6880800000000002</v>
      </c>
      <c r="O286">
        <f t="shared" si="19"/>
        <v>0.9144000000000001</v>
      </c>
      <c r="P286">
        <f t="shared" si="20"/>
        <v>2.7736800000000001</v>
      </c>
      <c r="S286" t="s">
        <v>162</v>
      </c>
      <c r="T286">
        <v>69</v>
      </c>
      <c r="U286">
        <f t="shared" si="26"/>
        <v>109900</v>
      </c>
      <c r="AE286" t="s">
        <v>163</v>
      </c>
      <c r="AF286" t="s">
        <v>108</v>
      </c>
      <c r="AG286" t="s">
        <v>179</v>
      </c>
      <c r="AH286" s="21" t="s">
        <v>108</v>
      </c>
      <c r="AI286" s="32">
        <v>41016</v>
      </c>
      <c r="AJ286" t="s">
        <v>388</v>
      </c>
      <c r="AK286" t="s">
        <v>277</v>
      </c>
      <c r="AL286" t="s">
        <v>361</v>
      </c>
      <c r="AM286" t="s">
        <v>294</v>
      </c>
      <c r="AN286" t="s">
        <v>380</v>
      </c>
      <c r="AO286">
        <v>109900</v>
      </c>
      <c r="AP286" t="s">
        <v>235</v>
      </c>
      <c r="AQ286" t="s">
        <v>389</v>
      </c>
      <c r="AR286">
        <v>0.63263888888888886</v>
      </c>
      <c r="AS286">
        <v>41016.632638888892</v>
      </c>
      <c r="AT286" s="35">
        <v>46.505369999999999</v>
      </c>
      <c r="AU286" s="35">
        <v>-84.351280000000003</v>
      </c>
      <c r="AV286">
        <v>12.1</v>
      </c>
      <c r="AW286" t="s">
        <v>390</v>
      </c>
      <c r="AX286">
        <v>2.7718599999999998</v>
      </c>
      <c r="AY286">
        <v>3</v>
      </c>
      <c r="AZ286" t="s">
        <v>190</v>
      </c>
    </row>
    <row r="287" spans="1:52" x14ac:dyDescent="0.25">
      <c r="A287" t="str">
        <f t="shared" si="21"/>
        <v>PWC</v>
      </c>
      <c r="C287" t="str">
        <f t="shared" si="22"/>
        <v>002</v>
      </c>
      <c r="D287">
        <v>4</v>
      </c>
      <c r="I287" s="18">
        <v>41016.803472222222</v>
      </c>
      <c r="J287" s="19">
        <f t="shared" si="23"/>
        <v>41016.636805555558</v>
      </c>
      <c r="K287" t="s">
        <v>161</v>
      </c>
      <c r="L287">
        <f t="shared" si="24"/>
        <v>46.505040000000001</v>
      </c>
      <c r="M287">
        <f t="shared" si="25"/>
        <v>-84.353129999999993</v>
      </c>
      <c r="N287">
        <f t="shared" si="18"/>
        <v>3.1699200000000003</v>
      </c>
      <c r="O287">
        <f t="shared" si="19"/>
        <v>0.9144000000000001</v>
      </c>
      <c r="P287">
        <f t="shared" si="20"/>
        <v>2.2555200000000002</v>
      </c>
      <c r="S287" t="s">
        <v>162</v>
      </c>
      <c r="T287">
        <v>69</v>
      </c>
      <c r="U287">
        <f t="shared" si="26"/>
        <v>109428</v>
      </c>
      <c r="AE287" t="s">
        <v>163</v>
      </c>
      <c r="AF287" t="s">
        <v>108</v>
      </c>
      <c r="AG287" t="s">
        <v>179</v>
      </c>
      <c r="AH287" s="21" t="s">
        <v>108</v>
      </c>
      <c r="AI287" s="32">
        <v>41016</v>
      </c>
      <c r="AJ287" t="s">
        <v>388</v>
      </c>
      <c r="AK287" t="s">
        <v>277</v>
      </c>
      <c r="AL287" t="s">
        <v>361</v>
      </c>
      <c r="AM287" t="s">
        <v>295</v>
      </c>
      <c r="AN287" t="s">
        <v>380</v>
      </c>
      <c r="AO287">
        <v>109428</v>
      </c>
      <c r="AP287" t="s">
        <v>235</v>
      </c>
      <c r="AQ287" t="s">
        <v>389</v>
      </c>
      <c r="AR287">
        <v>0.63680555555555551</v>
      </c>
      <c r="AS287">
        <v>41016.636805555558</v>
      </c>
      <c r="AT287" s="35">
        <v>46.505040000000001</v>
      </c>
      <c r="AU287" s="35">
        <v>-84.353129999999993</v>
      </c>
      <c r="AV287">
        <v>10.4</v>
      </c>
      <c r="AW287" t="s">
        <v>390</v>
      </c>
      <c r="AX287">
        <v>2.2540399999999998</v>
      </c>
      <c r="AY287">
        <v>3</v>
      </c>
      <c r="AZ287" t="s">
        <v>190</v>
      </c>
    </row>
    <row r="288" spans="1:52" x14ac:dyDescent="0.25">
      <c r="A288" t="str">
        <f t="shared" si="21"/>
        <v>OVP</v>
      </c>
      <c r="C288" t="str">
        <f t="shared" si="22"/>
        <v>002</v>
      </c>
      <c r="D288">
        <v>4</v>
      </c>
      <c r="I288" s="18">
        <v>41016.833333333336</v>
      </c>
      <c r="J288" s="19">
        <f t="shared" si="23"/>
        <v>41016.666666666664</v>
      </c>
      <c r="K288" t="s">
        <v>161</v>
      </c>
      <c r="L288">
        <f t="shared" si="24"/>
        <v>46.502029999999998</v>
      </c>
      <c r="M288">
        <f t="shared" si="25"/>
        <v>-84.392319999999998</v>
      </c>
      <c r="N288">
        <f t="shared" si="18"/>
        <v>2.80416</v>
      </c>
      <c r="O288">
        <f t="shared" si="19"/>
        <v>0.9144000000000001</v>
      </c>
      <c r="P288">
        <f t="shared" si="20"/>
        <v>1.8897599999999999</v>
      </c>
      <c r="S288" t="s">
        <v>162</v>
      </c>
      <c r="T288">
        <v>69</v>
      </c>
      <c r="U288">
        <f t="shared" si="26"/>
        <v>110012</v>
      </c>
      <c r="AE288" t="s">
        <v>163</v>
      </c>
      <c r="AF288" t="s">
        <v>108</v>
      </c>
      <c r="AG288" t="s">
        <v>179</v>
      </c>
      <c r="AH288" s="21" t="s">
        <v>108</v>
      </c>
      <c r="AI288" s="32">
        <v>41016</v>
      </c>
      <c r="AJ288" t="s">
        <v>388</v>
      </c>
      <c r="AK288" t="s">
        <v>277</v>
      </c>
      <c r="AL288" t="s">
        <v>361</v>
      </c>
      <c r="AM288" t="s">
        <v>296</v>
      </c>
      <c r="AN288" t="s">
        <v>380</v>
      </c>
      <c r="AO288">
        <v>110012</v>
      </c>
      <c r="AP288" t="s">
        <v>235</v>
      </c>
      <c r="AQ288" t="s">
        <v>389</v>
      </c>
      <c r="AR288">
        <v>0.66666666666666663</v>
      </c>
      <c r="AS288">
        <v>41016.666666666664</v>
      </c>
      <c r="AT288" s="35">
        <v>46.502029999999998</v>
      </c>
      <c r="AU288" s="35">
        <v>-84.392319999999998</v>
      </c>
      <c r="AV288">
        <v>9.1999999999999993</v>
      </c>
      <c r="AW288" t="s">
        <v>390</v>
      </c>
      <c r="AX288">
        <v>1.8885199999999998</v>
      </c>
      <c r="AY288">
        <v>3</v>
      </c>
      <c r="AZ288" t="s">
        <v>208</v>
      </c>
    </row>
    <row r="289" spans="1:52" x14ac:dyDescent="0.25">
      <c r="A289" t="str">
        <f t="shared" si="21"/>
        <v>OVP</v>
      </c>
      <c r="C289" t="str">
        <f t="shared" si="22"/>
        <v>003</v>
      </c>
      <c r="D289">
        <v>3</v>
      </c>
      <c r="I289" s="18">
        <v>41016.838194444441</v>
      </c>
      <c r="J289" s="19">
        <f t="shared" si="23"/>
        <v>41016.671527777777</v>
      </c>
      <c r="K289" t="s">
        <v>161</v>
      </c>
      <c r="L289">
        <f t="shared" si="24"/>
        <v>46.503230000000002</v>
      </c>
      <c r="M289">
        <f t="shared" si="25"/>
        <v>-84.393820000000005</v>
      </c>
      <c r="N289">
        <f t="shared" si="18"/>
        <v>3.5052000000000003</v>
      </c>
      <c r="O289">
        <f t="shared" si="19"/>
        <v>0.9144000000000001</v>
      </c>
      <c r="P289">
        <f t="shared" si="20"/>
        <v>2.5908000000000002</v>
      </c>
      <c r="S289" t="s">
        <v>162</v>
      </c>
      <c r="T289">
        <v>69</v>
      </c>
      <c r="U289">
        <f t="shared" si="26"/>
        <v>109883</v>
      </c>
      <c r="AE289" t="s">
        <v>163</v>
      </c>
      <c r="AF289" t="s">
        <v>108</v>
      </c>
      <c r="AG289" t="s">
        <v>179</v>
      </c>
      <c r="AH289" s="21" t="s">
        <v>108</v>
      </c>
      <c r="AI289" s="32">
        <v>41016</v>
      </c>
      <c r="AJ289" t="s">
        <v>388</v>
      </c>
      <c r="AK289" t="s">
        <v>277</v>
      </c>
      <c r="AL289" t="s">
        <v>361</v>
      </c>
      <c r="AM289" t="s">
        <v>297</v>
      </c>
      <c r="AN289" t="s">
        <v>380</v>
      </c>
      <c r="AO289">
        <v>109883</v>
      </c>
      <c r="AP289" t="s">
        <v>235</v>
      </c>
      <c r="AQ289" t="s">
        <v>389</v>
      </c>
      <c r="AR289">
        <v>0.67152777777777783</v>
      </c>
      <c r="AS289">
        <v>41016.671527777777</v>
      </c>
      <c r="AT289" s="35">
        <v>46.503230000000002</v>
      </c>
      <c r="AU289" s="35">
        <v>-84.393820000000005</v>
      </c>
      <c r="AV289">
        <v>11.5</v>
      </c>
      <c r="AW289" t="s">
        <v>390</v>
      </c>
      <c r="AX289">
        <v>2.5890999999999997</v>
      </c>
      <c r="AY289">
        <v>3</v>
      </c>
      <c r="AZ289" t="s">
        <v>217</v>
      </c>
    </row>
    <row r="290" spans="1:52" x14ac:dyDescent="0.25">
      <c r="A290" t="str">
        <f t="shared" si="21"/>
        <v>OVP</v>
      </c>
      <c r="C290" t="str">
        <f t="shared" si="22"/>
        <v>001</v>
      </c>
      <c r="D290">
        <v>3</v>
      </c>
      <c r="I290" s="18">
        <v>41016.845138888886</v>
      </c>
      <c r="J290" s="19">
        <f t="shared" si="23"/>
        <v>41016.678472222222</v>
      </c>
      <c r="K290" t="s">
        <v>161</v>
      </c>
      <c r="L290">
        <f t="shared" si="24"/>
        <v>46.497590000000002</v>
      </c>
      <c r="M290">
        <f t="shared" si="25"/>
        <v>-84.389449999999997</v>
      </c>
      <c r="N290">
        <f t="shared" si="18"/>
        <v>5.3340000000000005</v>
      </c>
      <c r="O290">
        <f t="shared" si="19"/>
        <v>0.9144000000000001</v>
      </c>
      <c r="P290">
        <f t="shared" si="20"/>
        <v>4.4196000000000009</v>
      </c>
      <c r="S290" t="s">
        <v>162</v>
      </c>
      <c r="T290">
        <v>69</v>
      </c>
      <c r="U290">
        <f t="shared" si="26"/>
        <v>109414</v>
      </c>
      <c r="AE290" t="s">
        <v>163</v>
      </c>
      <c r="AF290" t="s">
        <v>108</v>
      </c>
      <c r="AG290" t="s">
        <v>179</v>
      </c>
      <c r="AH290" s="21" t="s">
        <v>108</v>
      </c>
      <c r="AI290" s="32">
        <v>41016</v>
      </c>
      <c r="AJ290" t="s">
        <v>388</v>
      </c>
      <c r="AK290" t="s">
        <v>277</v>
      </c>
      <c r="AL290" t="s">
        <v>361</v>
      </c>
      <c r="AM290" t="s">
        <v>298</v>
      </c>
      <c r="AN290" t="s">
        <v>380</v>
      </c>
      <c r="AO290">
        <v>109414</v>
      </c>
      <c r="AP290" t="s">
        <v>235</v>
      </c>
      <c r="AQ290" t="s">
        <v>389</v>
      </c>
      <c r="AR290">
        <v>0.67847222222222225</v>
      </c>
      <c r="AS290">
        <v>41016.678472222222</v>
      </c>
      <c r="AT290" s="35">
        <v>46.497590000000002</v>
      </c>
      <c r="AU290" s="35">
        <v>-84.389449999999997</v>
      </c>
      <c r="AV290">
        <v>17.5</v>
      </c>
      <c r="AW290" t="s">
        <v>390</v>
      </c>
      <c r="AX290">
        <v>4.4166999999999996</v>
      </c>
      <c r="AY290">
        <v>3</v>
      </c>
      <c r="AZ290" t="s">
        <v>229</v>
      </c>
    </row>
    <row r="291" spans="1:52" x14ac:dyDescent="0.25">
      <c r="A291" t="str">
        <f t="shared" si="21"/>
        <v>BRS</v>
      </c>
      <c r="C291" t="str">
        <f t="shared" si="22"/>
        <v>001</v>
      </c>
      <c r="D291">
        <v>3</v>
      </c>
      <c r="I291" s="18">
        <v>41016.86041666667</v>
      </c>
      <c r="J291" s="19">
        <f t="shared" si="23"/>
        <v>41016.693749999999</v>
      </c>
      <c r="K291" t="s">
        <v>161</v>
      </c>
      <c r="L291">
        <f t="shared" si="24"/>
        <v>46.471170000000001</v>
      </c>
      <c r="M291">
        <f t="shared" si="25"/>
        <v>-84.459370000000007</v>
      </c>
      <c r="N291">
        <f t="shared" si="18"/>
        <v>2.9870400000000004</v>
      </c>
      <c r="O291">
        <f t="shared" si="19"/>
        <v>0.9144000000000001</v>
      </c>
      <c r="P291">
        <f t="shared" si="20"/>
        <v>2.0726400000000003</v>
      </c>
      <c r="S291" t="s">
        <v>162</v>
      </c>
      <c r="T291">
        <v>69</v>
      </c>
      <c r="U291">
        <f t="shared" si="26"/>
        <v>110007</v>
      </c>
      <c r="AE291" t="s">
        <v>163</v>
      </c>
      <c r="AF291" t="s">
        <v>108</v>
      </c>
      <c r="AG291" t="s">
        <v>179</v>
      </c>
      <c r="AH291" s="21" t="s">
        <v>108</v>
      </c>
      <c r="AI291" s="32">
        <v>41016</v>
      </c>
      <c r="AJ291" t="s">
        <v>388</v>
      </c>
      <c r="AK291" t="s">
        <v>277</v>
      </c>
      <c r="AL291" t="s">
        <v>361</v>
      </c>
      <c r="AM291" t="s">
        <v>299</v>
      </c>
      <c r="AN291" t="s">
        <v>380</v>
      </c>
      <c r="AO291">
        <v>110007</v>
      </c>
      <c r="AP291" t="s">
        <v>235</v>
      </c>
      <c r="AQ291" t="s">
        <v>389</v>
      </c>
      <c r="AR291">
        <v>0.69374999999999998</v>
      </c>
      <c r="AS291">
        <v>41016.693749999999</v>
      </c>
      <c r="AT291" s="35">
        <v>46.471170000000001</v>
      </c>
      <c r="AU291" s="35">
        <v>-84.459370000000007</v>
      </c>
      <c r="AV291">
        <v>9.8000000000000007</v>
      </c>
      <c r="AW291" t="s">
        <v>390</v>
      </c>
      <c r="AX291">
        <v>2.0712800000000002</v>
      </c>
      <c r="AY291">
        <v>3</v>
      </c>
      <c r="AZ291" t="s">
        <v>190</v>
      </c>
    </row>
    <row r="292" spans="1:52" x14ac:dyDescent="0.25">
      <c r="A292" t="str">
        <f t="shared" si="21"/>
        <v>BRS</v>
      </c>
      <c r="C292" t="str">
        <f t="shared" si="22"/>
        <v>002</v>
      </c>
      <c r="D292">
        <v>3</v>
      </c>
      <c r="I292" s="18">
        <v>41016.862500000003</v>
      </c>
      <c r="J292" s="19">
        <f t="shared" si="23"/>
        <v>41016.695833333331</v>
      </c>
      <c r="K292" t="s">
        <v>161</v>
      </c>
      <c r="L292">
        <f t="shared" si="24"/>
        <v>46.473149999999997</v>
      </c>
      <c r="M292">
        <f t="shared" si="25"/>
        <v>-84.464780000000005</v>
      </c>
      <c r="N292">
        <f t="shared" si="18"/>
        <v>7.0408800000000005</v>
      </c>
      <c r="O292">
        <f t="shared" si="19"/>
        <v>0.9144000000000001</v>
      </c>
      <c r="P292">
        <f t="shared" si="20"/>
        <v>6.1264800000000008</v>
      </c>
      <c r="S292" t="s">
        <v>162</v>
      </c>
      <c r="T292">
        <v>69</v>
      </c>
      <c r="U292">
        <f t="shared" si="26"/>
        <v>109513</v>
      </c>
      <c r="AE292" t="s">
        <v>163</v>
      </c>
      <c r="AF292" t="s">
        <v>108</v>
      </c>
      <c r="AG292" t="s">
        <v>179</v>
      </c>
      <c r="AH292" s="21" t="s">
        <v>108</v>
      </c>
      <c r="AI292" s="32">
        <v>41016</v>
      </c>
      <c r="AJ292" t="s">
        <v>388</v>
      </c>
      <c r="AK292" t="s">
        <v>277</v>
      </c>
      <c r="AL292" t="s">
        <v>361</v>
      </c>
      <c r="AM292" t="s">
        <v>300</v>
      </c>
      <c r="AN292" t="s">
        <v>380</v>
      </c>
      <c r="AO292">
        <v>109513</v>
      </c>
      <c r="AP292" t="s">
        <v>235</v>
      </c>
      <c r="AQ292" t="s">
        <v>389</v>
      </c>
      <c r="AR292">
        <v>0.6958333333333333</v>
      </c>
      <c r="AS292">
        <v>41016.695833333331</v>
      </c>
      <c r="AT292" s="35">
        <v>46.473149999999997</v>
      </c>
      <c r="AU292" s="35">
        <v>-84.464780000000005</v>
      </c>
      <c r="AV292">
        <v>23.1</v>
      </c>
      <c r="AW292" t="s">
        <v>390</v>
      </c>
      <c r="AX292">
        <v>6.1224600000000002</v>
      </c>
      <c r="AY292">
        <v>3</v>
      </c>
      <c r="AZ292" t="s">
        <v>197</v>
      </c>
    </row>
    <row r="293" spans="1:52" x14ac:dyDescent="0.25">
      <c r="A293" t="str">
        <f t="shared" si="21"/>
        <v>HPT</v>
      </c>
      <c r="C293" t="str">
        <f t="shared" si="22"/>
        <v>009</v>
      </c>
      <c r="D293">
        <v>1</v>
      </c>
      <c r="I293" s="18">
        <v>41017.557638888888</v>
      </c>
      <c r="J293" s="19">
        <f t="shared" si="23"/>
        <v>41017.390972222223</v>
      </c>
      <c r="K293" t="s">
        <v>161</v>
      </c>
      <c r="L293">
        <f t="shared" si="24"/>
        <v>46.465870000000002</v>
      </c>
      <c r="M293">
        <f t="shared" si="25"/>
        <v>-84.144779999999997</v>
      </c>
      <c r="N293">
        <f t="shared" si="18"/>
        <v>5.6997600000000004</v>
      </c>
      <c r="O293">
        <f t="shared" si="19"/>
        <v>1.2192000000000001</v>
      </c>
      <c r="P293">
        <f t="shared" si="20"/>
        <v>4.4805600000000005</v>
      </c>
      <c r="S293" t="s">
        <v>162</v>
      </c>
      <c r="T293">
        <v>69</v>
      </c>
      <c r="U293">
        <f t="shared" si="26"/>
        <v>109933</v>
      </c>
      <c r="AE293" t="s">
        <v>163</v>
      </c>
      <c r="AF293" t="s">
        <v>108</v>
      </c>
      <c r="AG293" t="s">
        <v>164</v>
      </c>
      <c r="AH293" s="21" t="s">
        <v>108</v>
      </c>
      <c r="AI293" s="32">
        <v>41017</v>
      </c>
      <c r="AJ293" t="s">
        <v>388</v>
      </c>
      <c r="AK293" t="s">
        <v>304</v>
      </c>
      <c r="AL293" t="s">
        <v>361</v>
      </c>
      <c r="AM293" t="s">
        <v>302</v>
      </c>
      <c r="AN293" t="s">
        <v>380</v>
      </c>
      <c r="AO293">
        <v>109933</v>
      </c>
      <c r="AP293" t="s">
        <v>235</v>
      </c>
      <c r="AQ293" t="s">
        <v>389</v>
      </c>
      <c r="AR293">
        <v>0.39097222222222222</v>
      </c>
      <c r="AS293">
        <v>41017.390972222223</v>
      </c>
      <c r="AT293" s="35">
        <v>46.465870000000002</v>
      </c>
      <c r="AU293" s="35">
        <v>-84.144779999999997</v>
      </c>
      <c r="AV293">
        <v>18.7</v>
      </c>
      <c r="AW293" t="s">
        <v>390</v>
      </c>
      <c r="AX293">
        <v>4.4776199999999999</v>
      </c>
      <c r="AY293">
        <v>4</v>
      </c>
      <c r="AZ293" t="s">
        <v>303</v>
      </c>
    </row>
    <row r="294" spans="1:52" x14ac:dyDescent="0.25">
      <c r="A294" t="str">
        <f t="shared" si="21"/>
        <v>HPT</v>
      </c>
      <c r="C294" t="str">
        <f t="shared" si="22"/>
        <v>001</v>
      </c>
      <c r="D294">
        <v>1</v>
      </c>
      <c r="I294" s="18">
        <v>41017.561111111114</v>
      </c>
      <c r="J294" s="19">
        <f t="shared" si="23"/>
        <v>41017.394444444442</v>
      </c>
      <c r="K294" t="s">
        <v>161</v>
      </c>
      <c r="L294">
        <f t="shared" si="24"/>
        <v>46.464509999999997</v>
      </c>
      <c r="M294">
        <f t="shared" si="25"/>
        <v>-84.147440000000003</v>
      </c>
      <c r="N294">
        <f t="shared" si="18"/>
        <v>3.6880800000000002</v>
      </c>
      <c r="O294">
        <f t="shared" si="19"/>
        <v>1.2192000000000001</v>
      </c>
      <c r="P294">
        <f t="shared" si="20"/>
        <v>2.4688800000000004</v>
      </c>
      <c r="S294" t="s">
        <v>162</v>
      </c>
      <c r="T294">
        <v>69</v>
      </c>
      <c r="U294">
        <f t="shared" si="26"/>
        <v>109472</v>
      </c>
      <c r="AE294" t="s">
        <v>163</v>
      </c>
      <c r="AF294" t="s">
        <v>108</v>
      </c>
      <c r="AG294" t="s">
        <v>164</v>
      </c>
      <c r="AH294" s="21" t="s">
        <v>108</v>
      </c>
      <c r="AI294" s="32">
        <v>41017</v>
      </c>
      <c r="AJ294" t="s">
        <v>388</v>
      </c>
      <c r="AK294" t="s">
        <v>304</v>
      </c>
      <c r="AL294" t="s">
        <v>361</v>
      </c>
      <c r="AM294" t="s">
        <v>305</v>
      </c>
      <c r="AN294" t="s">
        <v>380</v>
      </c>
      <c r="AO294">
        <v>109472</v>
      </c>
      <c r="AP294" t="s">
        <v>235</v>
      </c>
      <c r="AQ294" t="s">
        <v>389</v>
      </c>
      <c r="AR294">
        <v>0.39444444444444443</v>
      </c>
      <c r="AS294">
        <v>41017.394444444442</v>
      </c>
      <c r="AT294" s="35">
        <v>46.464509999999997</v>
      </c>
      <c r="AU294" s="35">
        <v>-84.147440000000003</v>
      </c>
      <c r="AV294">
        <v>12.1</v>
      </c>
      <c r="AW294" t="s">
        <v>390</v>
      </c>
      <c r="AX294">
        <v>2.4672599999999996</v>
      </c>
      <c r="AY294">
        <v>4</v>
      </c>
      <c r="AZ294" t="s">
        <v>204</v>
      </c>
    </row>
    <row r="295" spans="1:52" x14ac:dyDescent="0.25">
      <c r="A295" t="str">
        <f t="shared" si="21"/>
        <v>HPT</v>
      </c>
      <c r="C295" t="str">
        <f t="shared" si="22"/>
        <v>002</v>
      </c>
      <c r="D295">
        <v>1</v>
      </c>
      <c r="I295" s="18">
        <v>41017.569444444445</v>
      </c>
      <c r="J295" s="19">
        <f t="shared" si="23"/>
        <v>41017.402777777781</v>
      </c>
      <c r="K295" t="s">
        <v>161</v>
      </c>
      <c r="L295">
        <f t="shared" si="24"/>
        <v>46.463560000000001</v>
      </c>
      <c r="M295">
        <f t="shared" si="25"/>
        <v>-84.143749999999997</v>
      </c>
      <c r="N295">
        <f t="shared" si="18"/>
        <v>7.3761600000000005</v>
      </c>
      <c r="O295">
        <f t="shared" si="19"/>
        <v>1.524</v>
      </c>
      <c r="P295">
        <f t="shared" si="20"/>
        <v>5.8521600000000005</v>
      </c>
      <c r="S295" t="s">
        <v>162</v>
      </c>
      <c r="T295">
        <v>69</v>
      </c>
      <c r="U295">
        <f t="shared" si="26"/>
        <v>109489</v>
      </c>
      <c r="AE295" t="s">
        <v>163</v>
      </c>
      <c r="AF295" t="s">
        <v>108</v>
      </c>
      <c r="AG295" t="s">
        <v>164</v>
      </c>
      <c r="AH295" s="21" t="s">
        <v>108</v>
      </c>
      <c r="AI295" s="32">
        <v>41017</v>
      </c>
      <c r="AJ295" t="s">
        <v>388</v>
      </c>
      <c r="AK295" t="s">
        <v>304</v>
      </c>
      <c r="AL295" t="s">
        <v>361</v>
      </c>
      <c r="AM295" t="s">
        <v>306</v>
      </c>
      <c r="AN295" t="s">
        <v>380</v>
      </c>
      <c r="AO295">
        <v>109489</v>
      </c>
      <c r="AP295" t="s">
        <v>235</v>
      </c>
      <c r="AQ295" t="s">
        <v>389</v>
      </c>
      <c r="AR295">
        <v>0.40277777777777773</v>
      </c>
      <c r="AS295">
        <v>41017.402777777781</v>
      </c>
      <c r="AT295" s="35">
        <v>46.463560000000001</v>
      </c>
      <c r="AU295" s="35">
        <v>-84.143749999999997</v>
      </c>
      <c r="AV295">
        <v>24.2</v>
      </c>
      <c r="AW295" t="s">
        <v>390</v>
      </c>
      <c r="AX295">
        <v>5.8483199999999993</v>
      </c>
      <c r="AY295">
        <v>5</v>
      </c>
      <c r="AZ295" t="s">
        <v>307</v>
      </c>
    </row>
    <row r="296" spans="1:52" x14ac:dyDescent="0.25">
      <c r="A296" t="str">
        <f t="shared" si="21"/>
        <v>HPT</v>
      </c>
      <c r="C296" t="str">
        <f t="shared" si="22"/>
        <v>010</v>
      </c>
      <c r="D296">
        <v>1</v>
      </c>
      <c r="I296" s="18">
        <v>41017.57708333333</v>
      </c>
      <c r="J296" s="19">
        <f t="shared" si="23"/>
        <v>41017.410416666666</v>
      </c>
      <c r="K296" t="s">
        <v>161</v>
      </c>
      <c r="L296">
        <f t="shared" si="24"/>
        <v>46.46499</v>
      </c>
      <c r="M296">
        <f t="shared" si="25"/>
        <v>-84.141090000000005</v>
      </c>
      <c r="N296">
        <f t="shared" si="18"/>
        <v>8.8696800000000007</v>
      </c>
      <c r="O296">
        <f t="shared" si="19"/>
        <v>1.524</v>
      </c>
      <c r="P296">
        <f t="shared" si="20"/>
        <v>7.3456800000000007</v>
      </c>
      <c r="S296" t="s">
        <v>162</v>
      </c>
      <c r="T296">
        <v>69</v>
      </c>
      <c r="U296">
        <f t="shared" si="26"/>
        <v>109953</v>
      </c>
      <c r="AE296" t="s">
        <v>163</v>
      </c>
      <c r="AF296" t="s">
        <v>108</v>
      </c>
      <c r="AG296" t="s">
        <v>164</v>
      </c>
      <c r="AH296" s="21" t="s">
        <v>108</v>
      </c>
      <c r="AI296" s="32">
        <v>41017</v>
      </c>
      <c r="AJ296" t="s">
        <v>388</v>
      </c>
      <c r="AK296" t="s">
        <v>304</v>
      </c>
      <c r="AL296" t="s">
        <v>361</v>
      </c>
      <c r="AM296" t="s">
        <v>308</v>
      </c>
      <c r="AN296" t="s">
        <v>380</v>
      </c>
      <c r="AO296">
        <v>109953</v>
      </c>
      <c r="AP296" t="s">
        <v>235</v>
      </c>
      <c r="AQ296" t="s">
        <v>389</v>
      </c>
      <c r="AR296">
        <v>0.41041666666666665</v>
      </c>
      <c r="AS296">
        <v>41017.410416666666</v>
      </c>
      <c r="AT296" s="35">
        <v>46.46499</v>
      </c>
      <c r="AU296" s="35">
        <v>-84.141090000000005</v>
      </c>
      <c r="AV296">
        <v>29.1</v>
      </c>
      <c r="AW296" t="s">
        <v>390</v>
      </c>
      <c r="AX296">
        <v>7.3408600000000002</v>
      </c>
      <c r="AY296">
        <v>5</v>
      </c>
      <c r="AZ296" t="s">
        <v>309</v>
      </c>
    </row>
    <row r="297" spans="1:52" x14ac:dyDescent="0.25">
      <c r="A297" t="str">
        <f t="shared" si="21"/>
        <v>HPT</v>
      </c>
      <c r="C297" s="39" t="str">
        <f t="shared" si="22"/>
        <v>003</v>
      </c>
      <c r="D297">
        <v>1</v>
      </c>
      <c r="I297" s="18">
        <v>41017.582638888889</v>
      </c>
      <c r="J297" s="19">
        <f t="shared" si="23"/>
        <v>41017.415972222225</v>
      </c>
      <c r="K297" t="s">
        <v>161</v>
      </c>
      <c r="L297">
        <f t="shared" si="24"/>
        <v>46.462800000000001</v>
      </c>
      <c r="M297">
        <f t="shared" si="25"/>
        <v>-84.140199999999993</v>
      </c>
      <c r="N297">
        <f t="shared" si="18"/>
        <v>9.7231199999999998</v>
      </c>
      <c r="O297">
        <f t="shared" si="19"/>
        <v>1.524</v>
      </c>
      <c r="P297">
        <f t="shared" si="20"/>
        <v>8.1991200000000006</v>
      </c>
      <c r="S297" t="s">
        <v>162</v>
      </c>
      <c r="T297">
        <v>69</v>
      </c>
      <c r="U297">
        <f t="shared" si="26"/>
        <v>109516</v>
      </c>
      <c r="AE297" t="s">
        <v>163</v>
      </c>
      <c r="AF297" t="s">
        <v>108</v>
      </c>
      <c r="AG297" t="s">
        <v>164</v>
      </c>
      <c r="AH297" s="21" t="s">
        <v>108</v>
      </c>
      <c r="AI297" s="32">
        <v>41017</v>
      </c>
      <c r="AJ297" t="s">
        <v>388</v>
      </c>
      <c r="AK297" t="s">
        <v>304</v>
      </c>
      <c r="AL297" t="s">
        <v>361</v>
      </c>
      <c r="AM297" t="s">
        <v>310</v>
      </c>
      <c r="AN297" t="s">
        <v>380</v>
      </c>
      <c r="AO297">
        <v>109516</v>
      </c>
      <c r="AP297" t="s">
        <v>235</v>
      </c>
      <c r="AQ297" t="s">
        <v>389</v>
      </c>
      <c r="AR297">
        <v>0.41597222222222219</v>
      </c>
      <c r="AS297">
        <v>41017.415972222225</v>
      </c>
      <c r="AT297" s="35">
        <v>46.462800000000001</v>
      </c>
      <c r="AU297" s="35">
        <v>-84.140199999999993</v>
      </c>
      <c r="AV297">
        <v>31.9</v>
      </c>
      <c r="AW297" t="s">
        <v>390</v>
      </c>
      <c r="AX297">
        <v>8.1937399999999982</v>
      </c>
      <c r="AY297">
        <v>5</v>
      </c>
      <c r="AZ297" t="s">
        <v>307</v>
      </c>
    </row>
    <row r="298" spans="1:52" x14ac:dyDescent="0.25">
      <c r="A298" t="str">
        <f t="shared" si="21"/>
        <v>HPT</v>
      </c>
      <c r="C298" s="39" t="str">
        <f t="shared" si="22"/>
        <v>011</v>
      </c>
      <c r="D298">
        <v>1</v>
      </c>
      <c r="I298" s="18">
        <v>41017.591666666667</v>
      </c>
      <c r="J298" s="19">
        <f t="shared" si="23"/>
        <v>41017.425000000003</v>
      </c>
      <c r="K298" t="s">
        <v>161</v>
      </c>
      <c r="L298">
        <f t="shared" si="24"/>
        <v>46.463700000000003</v>
      </c>
      <c r="M298">
        <f t="shared" si="25"/>
        <v>-84.135409999999993</v>
      </c>
      <c r="N298">
        <f t="shared" si="18"/>
        <v>11.277600000000001</v>
      </c>
      <c r="O298">
        <f t="shared" si="19"/>
        <v>1.524</v>
      </c>
      <c r="P298">
        <f t="shared" si="20"/>
        <v>9.7536000000000023</v>
      </c>
      <c r="S298" t="s">
        <v>162</v>
      </c>
      <c r="T298">
        <v>69</v>
      </c>
      <c r="U298">
        <f t="shared" si="26"/>
        <v>109947</v>
      </c>
      <c r="AE298" t="s">
        <v>163</v>
      </c>
      <c r="AF298" t="s">
        <v>108</v>
      </c>
      <c r="AG298" t="s">
        <v>164</v>
      </c>
      <c r="AH298" s="21" t="s">
        <v>108</v>
      </c>
      <c r="AI298" s="32">
        <v>41017</v>
      </c>
      <c r="AJ298" t="s">
        <v>388</v>
      </c>
      <c r="AK298" t="s">
        <v>304</v>
      </c>
      <c r="AL298" t="s">
        <v>361</v>
      </c>
      <c r="AM298" t="s">
        <v>311</v>
      </c>
      <c r="AN298" t="s">
        <v>380</v>
      </c>
      <c r="AO298">
        <v>109947</v>
      </c>
      <c r="AP298" t="s">
        <v>235</v>
      </c>
      <c r="AQ298" t="s">
        <v>389</v>
      </c>
      <c r="AR298">
        <v>0.42499999999999999</v>
      </c>
      <c r="AS298">
        <v>41017.425000000003</v>
      </c>
      <c r="AT298" s="35">
        <v>46.463700000000003</v>
      </c>
      <c r="AU298" s="35">
        <v>-84.135409999999993</v>
      </c>
      <c r="AV298">
        <v>37</v>
      </c>
      <c r="AW298" t="s">
        <v>390</v>
      </c>
      <c r="AX298">
        <v>9.7471999999999994</v>
      </c>
      <c r="AY298">
        <v>5</v>
      </c>
      <c r="AZ298" t="s">
        <v>309</v>
      </c>
    </row>
    <row r="299" spans="1:52" x14ac:dyDescent="0.25">
      <c r="A299" t="str">
        <f t="shared" si="21"/>
        <v>HPT</v>
      </c>
      <c r="C299" s="41" t="str">
        <f t="shared" si="22"/>
        <v>004</v>
      </c>
      <c r="D299">
        <v>1</v>
      </c>
      <c r="I299" s="18">
        <v>41017.595833333333</v>
      </c>
      <c r="J299" s="19">
        <f t="shared" si="23"/>
        <v>41017.429166666669</v>
      </c>
      <c r="K299" t="s">
        <v>161</v>
      </c>
      <c r="L299">
        <f t="shared" si="24"/>
        <v>46.461210000000001</v>
      </c>
      <c r="M299">
        <f t="shared" si="25"/>
        <v>-84.132570000000001</v>
      </c>
      <c r="N299">
        <f t="shared" si="18"/>
        <v>10.454639999999999</v>
      </c>
      <c r="O299">
        <f t="shared" si="19"/>
        <v>1.524</v>
      </c>
      <c r="P299">
        <f t="shared" si="20"/>
        <v>8.9306400000000004</v>
      </c>
      <c r="S299" t="s">
        <v>162</v>
      </c>
      <c r="T299">
        <v>69</v>
      </c>
      <c r="U299">
        <f t="shared" si="26"/>
        <v>109126</v>
      </c>
      <c r="AE299" t="s">
        <v>163</v>
      </c>
      <c r="AF299" t="s">
        <v>108</v>
      </c>
      <c r="AG299" t="s">
        <v>164</v>
      </c>
      <c r="AH299" s="21" t="s">
        <v>108</v>
      </c>
      <c r="AI299" s="32">
        <v>41017</v>
      </c>
      <c r="AJ299" t="s">
        <v>388</v>
      </c>
      <c r="AK299" t="s">
        <v>304</v>
      </c>
      <c r="AL299" t="s">
        <v>361</v>
      </c>
      <c r="AM299" t="s">
        <v>312</v>
      </c>
      <c r="AN299" t="s">
        <v>380</v>
      </c>
      <c r="AO299">
        <v>109126</v>
      </c>
      <c r="AP299" t="s">
        <v>235</v>
      </c>
      <c r="AQ299" t="s">
        <v>389</v>
      </c>
      <c r="AR299">
        <v>0.4291666666666667</v>
      </c>
      <c r="AS299">
        <v>41017.429166666669</v>
      </c>
      <c r="AT299" s="35">
        <v>46.461210000000001</v>
      </c>
      <c r="AU299" s="35">
        <v>-84.132570000000001</v>
      </c>
      <c r="AV299">
        <v>34.299999999999997</v>
      </c>
      <c r="AW299" t="s">
        <v>390</v>
      </c>
      <c r="AX299">
        <v>8.9247799999999984</v>
      </c>
      <c r="AY299">
        <v>5</v>
      </c>
      <c r="AZ299" t="s">
        <v>309</v>
      </c>
    </row>
    <row r="300" spans="1:52" x14ac:dyDescent="0.25">
      <c r="A300" t="str">
        <f t="shared" si="21"/>
        <v>HPT</v>
      </c>
      <c r="C300" s="41" t="str">
        <f t="shared" si="22"/>
        <v>012</v>
      </c>
      <c r="D300">
        <v>1</v>
      </c>
      <c r="I300" s="18">
        <v>41017.606249999997</v>
      </c>
      <c r="J300" s="19">
        <f t="shared" si="23"/>
        <v>41017.439583333333</v>
      </c>
      <c r="K300" t="s">
        <v>161</v>
      </c>
      <c r="L300">
        <f t="shared" si="24"/>
        <v>46.462029999999999</v>
      </c>
      <c r="M300">
        <f t="shared" si="25"/>
        <v>-84.128169999999997</v>
      </c>
      <c r="N300">
        <f t="shared" ref="N300:N328" si="27">AV300*0.3048</f>
        <v>10.33272</v>
      </c>
      <c r="O300">
        <f t="shared" ref="O300:O316" si="28">AY300*0.3048</f>
        <v>1.524</v>
      </c>
      <c r="P300">
        <f t="shared" ref="P300:P328" si="29">N300-O300</f>
        <v>8.808720000000001</v>
      </c>
      <c r="S300" t="s">
        <v>162</v>
      </c>
      <c r="T300">
        <v>69</v>
      </c>
      <c r="U300">
        <f t="shared" si="26"/>
        <v>113226</v>
      </c>
      <c r="AE300" t="s">
        <v>163</v>
      </c>
      <c r="AF300" t="s">
        <v>108</v>
      </c>
      <c r="AG300" t="s">
        <v>164</v>
      </c>
      <c r="AH300" s="21" t="s">
        <v>108</v>
      </c>
      <c r="AI300" s="32">
        <v>41017</v>
      </c>
      <c r="AJ300" t="s">
        <v>388</v>
      </c>
      <c r="AK300" t="s">
        <v>304</v>
      </c>
      <c r="AL300" t="s">
        <v>361</v>
      </c>
      <c r="AM300" t="s">
        <v>313</v>
      </c>
      <c r="AN300" t="s">
        <v>380</v>
      </c>
      <c r="AO300">
        <v>113226</v>
      </c>
      <c r="AP300" t="s">
        <v>235</v>
      </c>
      <c r="AQ300" t="s">
        <v>389</v>
      </c>
      <c r="AR300">
        <v>0.43958333333333338</v>
      </c>
      <c r="AS300">
        <v>41017.439583333333</v>
      </c>
      <c r="AT300" s="35">
        <v>46.462029999999999</v>
      </c>
      <c r="AU300" s="35">
        <v>-84.128169999999997</v>
      </c>
      <c r="AV300">
        <v>33.9</v>
      </c>
      <c r="AW300" t="s">
        <v>390</v>
      </c>
      <c r="AX300">
        <v>8.8029399999999995</v>
      </c>
      <c r="AY300">
        <v>5</v>
      </c>
      <c r="AZ300" t="s">
        <v>309</v>
      </c>
    </row>
    <row r="301" spans="1:52" x14ac:dyDescent="0.25">
      <c r="A301" t="str">
        <f t="shared" si="21"/>
        <v>HPT</v>
      </c>
      <c r="C301" s="41" t="str">
        <f t="shared" si="22"/>
        <v>005</v>
      </c>
      <c r="D301">
        <v>1</v>
      </c>
      <c r="I301" s="18">
        <v>41017.61041666667</v>
      </c>
      <c r="J301" s="19">
        <f t="shared" si="23"/>
        <v>41017.443749999999</v>
      </c>
      <c r="K301" t="s">
        <v>161</v>
      </c>
      <c r="L301">
        <f t="shared" si="24"/>
        <v>46.459719999999997</v>
      </c>
      <c r="M301">
        <f t="shared" si="25"/>
        <v>-84.125129999999999</v>
      </c>
      <c r="N301">
        <f t="shared" si="27"/>
        <v>8.9916</v>
      </c>
      <c r="O301">
        <f t="shared" si="28"/>
        <v>1.524</v>
      </c>
      <c r="P301">
        <f t="shared" si="29"/>
        <v>7.4676</v>
      </c>
      <c r="S301" t="s">
        <v>162</v>
      </c>
      <c r="T301">
        <v>69</v>
      </c>
      <c r="U301">
        <f t="shared" si="26"/>
        <v>109899</v>
      </c>
      <c r="AE301" t="s">
        <v>163</v>
      </c>
      <c r="AF301" t="s">
        <v>108</v>
      </c>
      <c r="AG301" t="s">
        <v>164</v>
      </c>
      <c r="AH301" s="21" t="s">
        <v>108</v>
      </c>
      <c r="AI301" s="32">
        <v>41017</v>
      </c>
      <c r="AJ301" t="s">
        <v>388</v>
      </c>
      <c r="AK301" t="s">
        <v>304</v>
      </c>
      <c r="AL301" t="s">
        <v>361</v>
      </c>
      <c r="AM301" t="s">
        <v>314</v>
      </c>
      <c r="AN301" t="s">
        <v>380</v>
      </c>
      <c r="AO301">
        <v>109899</v>
      </c>
      <c r="AP301" t="s">
        <v>235</v>
      </c>
      <c r="AQ301" t="s">
        <v>389</v>
      </c>
      <c r="AR301">
        <v>0.44375000000000003</v>
      </c>
      <c r="AS301">
        <v>41017.443749999999</v>
      </c>
      <c r="AT301" s="35">
        <v>46.459719999999997</v>
      </c>
      <c r="AU301" s="35">
        <v>-84.125129999999999</v>
      </c>
      <c r="AV301">
        <v>29.5</v>
      </c>
      <c r="AW301" t="s">
        <v>390</v>
      </c>
      <c r="AX301">
        <v>7.4626999999999999</v>
      </c>
      <c r="AY301">
        <v>5</v>
      </c>
      <c r="AZ301" t="s">
        <v>315</v>
      </c>
    </row>
    <row r="302" spans="1:52" x14ac:dyDescent="0.25">
      <c r="A302" t="str">
        <f t="shared" si="21"/>
        <v>HPT</v>
      </c>
      <c r="C302" s="41" t="str">
        <f t="shared" si="22"/>
        <v>013</v>
      </c>
      <c r="D302">
        <v>1</v>
      </c>
      <c r="I302" s="18">
        <v>41017.619444444441</v>
      </c>
      <c r="J302" s="19">
        <f t="shared" si="23"/>
        <v>41017.452777777777</v>
      </c>
      <c r="K302" t="s">
        <v>161</v>
      </c>
      <c r="L302">
        <f t="shared" si="24"/>
        <v>46.460549999999998</v>
      </c>
      <c r="M302">
        <f t="shared" si="25"/>
        <v>-84.120440000000002</v>
      </c>
      <c r="N302">
        <f t="shared" si="27"/>
        <v>7.98576</v>
      </c>
      <c r="O302">
        <f t="shared" si="28"/>
        <v>1.524</v>
      </c>
      <c r="P302">
        <f t="shared" si="29"/>
        <v>6.4617599999999999</v>
      </c>
      <c r="S302" t="s">
        <v>162</v>
      </c>
      <c r="T302">
        <v>69</v>
      </c>
      <c r="U302">
        <f t="shared" si="26"/>
        <v>109417</v>
      </c>
      <c r="AE302" t="s">
        <v>163</v>
      </c>
      <c r="AF302" t="s">
        <v>108</v>
      </c>
      <c r="AG302" t="s">
        <v>164</v>
      </c>
      <c r="AH302" s="21" t="s">
        <v>108</v>
      </c>
      <c r="AI302" s="32">
        <v>41017</v>
      </c>
      <c r="AJ302" t="s">
        <v>388</v>
      </c>
      <c r="AK302" t="s">
        <v>304</v>
      </c>
      <c r="AL302" t="s">
        <v>361</v>
      </c>
      <c r="AM302" t="s">
        <v>316</v>
      </c>
      <c r="AN302" t="s">
        <v>380</v>
      </c>
      <c r="AO302">
        <v>109417</v>
      </c>
      <c r="AP302" t="s">
        <v>235</v>
      </c>
      <c r="AQ302" t="s">
        <v>389</v>
      </c>
      <c r="AR302">
        <v>0.45277777777777778</v>
      </c>
      <c r="AS302">
        <v>41017.452777777777</v>
      </c>
      <c r="AT302" s="35">
        <v>46.460549999999998</v>
      </c>
      <c r="AU302" s="35">
        <v>-84.120440000000002</v>
      </c>
      <c r="AV302">
        <v>26.2</v>
      </c>
      <c r="AW302" t="s">
        <v>390</v>
      </c>
      <c r="AX302">
        <v>6.4575199999999997</v>
      </c>
      <c r="AY302">
        <v>5</v>
      </c>
      <c r="AZ302" t="s">
        <v>309</v>
      </c>
    </row>
    <row r="303" spans="1:52" x14ac:dyDescent="0.25">
      <c r="A303" t="str">
        <f t="shared" si="21"/>
        <v>HPT</v>
      </c>
      <c r="C303" s="41" t="str">
        <f t="shared" si="22"/>
        <v>006</v>
      </c>
      <c r="D303">
        <v>1</v>
      </c>
      <c r="I303" s="18">
        <v>41017.623611111114</v>
      </c>
      <c r="J303" s="19">
        <f t="shared" si="23"/>
        <v>41017.456944444442</v>
      </c>
      <c r="K303" t="s">
        <v>161</v>
      </c>
      <c r="L303">
        <f t="shared" si="24"/>
        <v>46.458010000000002</v>
      </c>
      <c r="M303">
        <f t="shared" si="25"/>
        <v>-84.117500000000007</v>
      </c>
      <c r="N303">
        <f t="shared" si="27"/>
        <v>7.3456800000000007</v>
      </c>
      <c r="O303">
        <f t="shared" si="28"/>
        <v>1.524</v>
      </c>
      <c r="P303">
        <f t="shared" si="29"/>
        <v>5.8216800000000006</v>
      </c>
      <c r="S303" t="s">
        <v>162</v>
      </c>
      <c r="T303">
        <v>69</v>
      </c>
      <c r="U303">
        <f t="shared" si="26"/>
        <v>109432</v>
      </c>
      <c r="AE303" t="s">
        <v>163</v>
      </c>
      <c r="AF303" t="s">
        <v>108</v>
      </c>
      <c r="AG303" t="s">
        <v>164</v>
      </c>
      <c r="AH303" s="21" t="s">
        <v>108</v>
      </c>
      <c r="AI303" s="32">
        <v>41017</v>
      </c>
      <c r="AJ303" t="s">
        <v>388</v>
      </c>
      <c r="AK303" t="s">
        <v>304</v>
      </c>
      <c r="AL303" t="s">
        <v>361</v>
      </c>
      <c r="AM303" t="s">
        <v>386</v>
      </c>
      <c r="AN303" t="s">
        <v>380</v>
      </c>
      <c r="AO303">
        <v>109432</v>
      </c>
      <c r="AP303" t="s">
        <v>235</v>
      </c>
      <c r="AQ303" t="s">
        <v>389</v>
      </c>
      <c r="AR303">
        <v>0.45694444444444443</v>
      </c>
      <c r="AS303">
        <v>41017.456944444442</v>
      </c>
      <c r="AT303" s="35">
        <v>46.458010000000002</v>
      </c>
      <c r="AU303" s="35">
        <v>-84.117500000000007</v>
      </c>
      <c r="AV303">
        <v>24.1</v>
      </c>
      <c r="AW303" t="s">
        <v>390</v>
      </c>
      <c r="AX303">
        <v>5.8178600000000005</v>
      </c>
      <c r="AY303">
        <v>5</v>
      </c>
      <c r="AZ303" t="s">
        <v>307</v>
      </c>
    </row>
    <row r="304" spans="1:52" x14ac:dyDescent="0.25">
      <c r="A304" t="str">
        <f t="shared" ref="A304:A328" si="30">LEFT(AM304,3)</f>
        <v>HPT</v>
      </c>
      <c r="C304" s="41" t="str">
        <f t="shared" ref="C304:C328" si="31">RIGHT(AM304,3)</f>
        <v>014</v>
      </c>
      <c r="D304">
        <v>1</v>
      </c>
      <c r="I304" s="18">
        <v>41017.630555555559</v>
      </c>
      <c r="J304" s="19">
        <f t="shared" ref="J304:J328" si="32">AS304</f>
        <v>41017.463888888888</v>
      </c>
      <c r="K304" t="s">
        <v>161</v>
      </c>
      <c r="L304">
        <f t="shared" ref="L304:L328" si="33">AT304</f>
        <v>46.45926</v>
      </c>
      <c r="M304">
        <f t="shared" ref="M304:M328" si="34">AU304</f>
        <v>-84.114919999999998</v>
      </c>
      <c r="N304">
        <f t="shared" si="27"/>
        <v>7.2847200000000001</v>
      </c>
      <c r="O304">
        <f t="shared" si="28"/>
        <v>1.524</v>
      </c>
      <c r="P304">
        <f t="shared" si="29"/>
        <v>5.7607200000000001</v>
      </c>
      <c r="S304" t="s">
        <v>162</v>
      </c>
      <c r="T304">
        <v>69</v>
      </c>
      <c r="U304">
        <f t="shared" ref="U304:U316" si="35">AO304</f>
        <v>109452</v>
      </c>
      <c r="AE304" t="s">
        <v>163</v>
      </c>
      <c r="AF304" t="s">
        <v>108</v>
      </c>
      <c r="AG304" t="s">
        <v>164</v>
      </c>
      <c r="AH304" s="21" t="s">
        <v>108</v>
      </c>
      <c r="AI304" s="32">
        <v>41017</v>
      </c>
      <c r="AJ304" t="s">
        <v>388</v>
      </c>
      <c r="AK304" t="s">
        <v>304</v>
      </c>
      <c r="AL304" t="s">
        <v>361</v>
      </c>
      <c r="AM304" t="s">
        <v>317</v>
      </c>
      <c r="AN304" t="s">
        <v>380</v>
      </c>
      <c r="AO304">
        <v>109452</v>
      </c>
      <c r="AP304" t="s">
        <v>235</v>
      </c>
      <c r="AQ304" t="s">
        <v>389</v>
      </c>
      <c r="AR304">
        <v>0.46388888888888885</v>
      </c>
      <c r="AS304">
        <v>41017.463888888888</v>
      </c>
      <c r="AT304" s="35">
        <v>46.45926</v>
      </c>
      <c r="AU304" s="35">
        <v>-84.114919999999998</v>
      </c>
      <c r="AV304">
        <v>23.9</v>
      </c>
      <c r="AW304" t="s">
        <v>390</v>
      </c>
      <c r="AX304">
        <v>5.7569399999999993</v>
      </c>
      <c r="AY304">
        <v>5</v>
      </c>
      <c r="AZ304" t="s">
        <v>309</v>
      </c>
    </row>
    <row r="305" spans="1:52" x14ac:dyDescent="0.25">
      <c r="A305" t="str">
        <f t="shared" si="30"/>
        <v>HPT</v>
      </c>
      <c r="C305" s="41" t="str">
        <f t="shared" si="31"/>
        <v>007</v>
      </c>
      <c r="D305">
        <v>1</v>
      </c>
      <c r="I305" s="18">
        <v>41017.642361111109</v>
      </c>
      <c r="J305" s="19">
        <f t="shared" si="32"/>
        <v>41017.475694444445</v>
      </c>
      <c r="K305" t="s">
        <v>161</v>
      </c>
      <c r="L305">
        <f t="shared" si="33"/>
        <v>46.4572</v>
      </c>
      <c r="M305">
        <f t="shared" si="34"/>
        <v>-84.113699999999994</v>
      </c>
      <c r="N305">
        <f t="shared" si="27"/>
        <v>7.0713600000000003</v>
      </c>
      <c r="O305">
        <f t="shared" si="28"/>
        <v>1.524</v>
      </c>
      <c r="P305">
        <f t="shared" si="29"/>
        <v>5.5473600000000003</v>
      </c>
      <c r="S305" t="s">
        <v>162</v>
      </c>
      <c r="T305">
        <v>69</v>
      </c>
      <c r="U305">
        <f t="shared" si="35"/>
        <v>109514</v>
      </c>
      <c r="AE305" t="s">
        <v>163</v>
      </c>
      <c r="AF305" t="s">
        <v>108</v>
      </c>
      <c r="AG305" t="s">
        <v>164</v>
      </c>
      <c r="AH305" s="21" t="s">
        <v>108</v>
      </c>
      <c r="AI305" s="32">
        <v>41017</v>
      </c>
      <c r="AJ305" t="s">
        <v>388</v>
      </c>
      <c r="AK305" t="s">
        <v>304</v>
      </c>
      <c r="AL305" t="s">
        <v>361</v>
      </c>
      <c r="AM305" t="s">
        <v>384</v>
      </c>
      <c r="AN305" t="s">
        <v>380</v>
      </c>
      <c r="AO305">
        <v>109514</v>
      </c>
      <c r="AP305" t="s">
        <v>235</v>
      </c>
      <c r="AQ305" t="s">
        <v>389</v>
      </c>
      <c r="AR305">
        <v>0.47569444444444442</v>
      </c>
      <c r="AS305">
        <v>41017.475694444445</v>
      </c>
      <c r="AT305" s="35">
        <v>46.4572</v>
      </c>
      <c r="AU305" s="35">
        <v>-84.113699999999994</v>
      </c>
      <c r="AV305">
        <v>23.2</v>
      </c>
      <c r="AW305" t="s">
        <v>390</v>
      </c>
      <c r="AX305">
        <v>5.5437199999999995</v>
      </c>
      <c r="AY305">
        <v>5</v>
      </c>
      <c r="AZ305">
        <v>25</v>
      </c>
    </row>
    <row r="306" spans="1:52" x14ac:dyDescent="0.25">
      <c r="A306" t="str">
        <f t="shared" si="30"/>
        <v>HPT</v>
      </c>
      <c r="C306" s="41" t="str">
        <f t="shared" si="31"/>
        <v>015</v>
      </c>
      <c r="D306">
        <v>1</v>
      </c>
      <c r="I306" s="18">
        <v>41017.652777777781</v>
      </c>
      <c r="J306" s="19">
        <f t="shared" si="32"/>
        <v>41017.486111111109</v>
      </c>
      <c r="K306" t="s">
        <v>161</v>
      </c>
      <c r="L306">
        <f t="shared" si="33"/>
        <v>46.458329999999997</v>
      </c>
      <c r="M306">
        <f t="shared" si="34"/>
        <v>-84.110550000000003</v>
      </c>
      <c r="N306">
        <f t="shared" si="27"/>
        <v>6.6751199999999997</v>
      </c>
      <c r="O306">
        <f t="shared" si="28"/>
        <v>1.2192000000000001</v>
      </c>
      <c r="P306">
        <f t="shared" si="29"/>
        <v>5.4559199999999999</v>
      </c>
      <c r="S306" t="s">
        <v>162</v>
      </c>
      <c r="T306">
        <v>69</v>
      </c>
      <c r="U306">
        <f t="shared" si="35"/>
        <v>109490</v>
      </c>
      <c r="AE306" t="s">
        <v>163</v>
      </c>
      <c r="AF306" t="s">
        <v>108</v>
      </c>
      <c r="AG306" t="s">
        <v>164</v>
      </c>
      <c r="AH306" s="21" t="s">
        <v>108</v>
      </c>
      <c r="AI306" s="32">
        <v>41017</v>
      </c>
      <c r="AJ306" t="s">
        <v>388</v>
      </c>
      <c r="AK306" t="s">
        <v>304</v>
      </c>
      <c r="AL306" t="s">
        <v>361</v>
      </c>
      <c r="AM306" t="s">
        <v>318</v>
      </c>
      <c r="AN306" t="s">
        <v>380</v>
      </c>
      <c r="AO306">
        <v>109490</v>
      </c>
      <c r="AP306" t="s">
        <v>235</v>
      </c>
      <c r="AQ306" t="s">
        <v>389</v>
      </c>
      <c r="AR306">
        <v>0.4861111111111111</v>
      </c>
      <c r="AS306">
        <v>41017.486111111109</v>
      </c>
      <c r="AT306" s="35">
        <v>46.458329999999997</v>
      </c>
      <c r="AU306" s="35">
        <v>-84.110550000000003</v>
      </c>
      <c r="AV306">
        <v>21.9</v>
      </c>
      <c r="AW306" t="s">
        <v>390</v>
      </c>
      <c r="AX306">
        <v>5.4523399999999995</v>
      </c>
      <c r="AY306">
        <v>4</v>
      </c>
      <c r="AZ306" t="s">
        <v>197</v>
      </c>
    </row>
    <row r="307" spans="1:52" x14ac:dyDescent="0.25">
      <c r="A307" t="str">
        <f t="shared" si="30"/>
        <v>HPT</v>
      </c>
      <c r="C307" s="41" t="str">
        <f t="shared" si="31"/>
        <v>008</v>
      </c>
      <c r="D307">
        <v>1</v>
      </c>
      <c r="I307" s="18">
        <v>41017.657638888886</v>
      </c>
      <c r="J307" s="19">
        <f t="shared" si="32"/>
        <v>41017.490972222222</v>
      </c>
      <c r="K307" t="s">
        <v>161</v>
      </c>
      <c r="L307">
        <f t="shared" si="33"/>
        <v>46.456220000000002</v>
      </c>
      <c r="M307">
        <f t="shared" si="34"/>
        <v>-84.109039999999993</v>
      </c>
      <c r="N307">
        <f t="shared" si="27"/>
        <v>5.0292000000000003</v>
      </c>
      <c r="O307">
        <f t="shared" si="28"/>
        <v>1.2192000000000001</v>
      </c>
      <c r="P307">
        <f t="shared" si="29"/>
        <v>3.8100000000000005</v>
      </c>
      <c r="S307" t="s">
        <v>162</v>
      </c>
      <c r="T307">
        <v>69</v>
      </c>
      <c r="U307">
        <f t="shared" si="35"/>
        <v>109957</v>
      </c>
      <c r="AE307" t="s">
        <v>163</v>
      </c>
      <c r="AF307" t="s">
        <v>108</v>
      </c>
      <c r="AG307" t="s">
        <v>164</v>
      </c>
      <c r="AH307" s="21" t="s">
        <v>108</v>
      </c>
      <c r="AI307" s="32">
        <v>41017</v>
      </c>
      <c r="AJ307" t="s">
        <v>388</v>
      </c>
      <c r="AK307" t="s">
        <v>304</v>
      </c>
      <c r="AL307" t="s">
        <v>361</v>
      </c>
      <c r="AM307" t="s">
        <v>319</v>
      </c>
      <c r="AN307" t="s">
        <v>380</v>
      </c>
      <c r="AO307">
        <v>109957</v>
      </c>
      <c r="AP307" t="s">
        <v>235</v>
      </c>
      <c r="AQ307" t="s">
        <v>389</v>
      </c>
      <c r="AR307">
        <v>0.4909722222222222</v>
      </c>
      <c r="AS307">
        <v>41017.490972222222</v>
      </c>
      <c r="AT307" s="35">
        <v>46.456220000000002</v>
      </c>
      <c r="AU307" s="35">
        <v>-84.109039999999993</v>
      </c>
      <c r="AV307">
        <v>16.5</v>
      </c>
      <c r="AW307" t="s">
        <v>390</v>
      </c>
      <c r="AX307">
        <v>3.8074999999999997</v>
      </c>
      <c r="AY307">
        <v>4</v>
      </c>
      <c r="AZ307" t="s">
        <v>222</v>
      </c>
    </row>
    <row r="308" spans="1:52" x14ac:dyDescent="0.25">
      <c r="A308" t="str">
        <f t="shared" si="30"/>
        <v>GRD</v>
      </c>
      <c r="C308" s="41" t="str">
        <f t="shared" si="31"/>
        <v>007</v>
      </c>
      <c r="D308">
        <v>2</v>
      </c>
      <c r="I308" s="18">
        <v>41031.753472222219</v>
      </c>
      <c r="J308" s="19">
        <f t="shared" si="32"/>
        <v>41031.586805555555</v>
      </c>
      <c r="K308" t="s">
        <v>161</v>
      </c>
      <c r="L308">
        <f t="shared" si="33"/>
        <v>46.527819999999998</v>
      </c>
      <c r="M308">
        <f t="shared" si="34"/>
        <v>-84.153710000000004</v>
      </c>
      <c r="N308">
        <f t="shared" si="27"/>
        <v>6.8884800000000004</v>
      </c>
      <c r="O308">
        <f t="shared" si="28"/>
        <v>1.2192000000000001</v>
      </c>
      <c r="P308">
        <f t="shared" si="29"/>
        <v>5.6692800000000005</v>
      </c>
      <c r="S308" t="s">
        <v>162</v>
      </c>
      <c r="T308">
        <v>69</v>
      </c>
      <c r="U308">
        <f t="shared" si="35"/>
        <v>114481</v>
      </c>
      <c r="AE308" t="s">
        <v>163</v>
      </c>
      <c r="AF308" t="s">
        <v>108</v>
      </c>
      <c r="AG308" t="s">
        <v>164</v>
      </c>
      <c r="AH308" s="21" t="s">
        <v>108</v>
      </c>
      <c r="AI308" s="32">
        <v>41031</v>
      </c>
      <c r="AJ308" t="s">
        <v>379</v>
      </c>
      <c r="AK308" t="s">
        <v>320</v>
      </c>
      <c r="AL308" t="s">
        <v>361</v>
      </c>
      <c r="AM308" t="s">
        <v>215</v>
      </c>
      <c r="AN308" t="s">
        <v>380</v>
      </c>
      <c r="AO308">
        <v>114481</v>
      </c>
      <c r="AP308" t="s">
        <v>235</v>
      </c>
      <c r="AQ308" t="s">
        <v>389</v>
      </c>
      <c r="AR308">
        <v>0.58680555555555558</v>
      </c>
      <c r="AS308">
        <v>41031.586805555555</v>
      </c>
      <c r="AT308" s="35">
        <v>46.527819999999998</v>
      </c>
      <c r="AU308" s="35">
        <v>-84.153710000000004</v>
      </c>
      <c r="AV308">
        <v>22.6</v>
      </c>
      <c r="AW308" t="s">
        <v>382</v>
      </c>
      <c r="AX308">
        <v>5.6655600000000002</v>
      </c>
      <c r="AY308">
        <v>4</v>
      </c>
      <c r="AZ308" t="s">
        <v>391</v>
      </c>
    </row>
    <row r="309" spans="1:52" x14ac:dyDescent="0.25">
      <c r="A309" t="str">
        <f t="shared" si="30"/>
        <v>GRD</v>
      </c>
      <c r="C309" s="41" t="str">
        <f t="shared" si="31"/>
        <v>002</v>
      </c>
      <c r="D309">
        <v>8</v>
      </c>
      <c r="I309" s="18">
        <v>41031.788194444445</v>
      </c>
      <c r="J309" s="19">
        <f t="shared" si="32"/>
        <v>41031.621527777781</v>
      </c>
      <c r="K309" t="s">
        <v>161</v>
      </c>
      <c r="L309">
        <f t="shared" si="33"/>
        <v>46.529760000000003</v>
      </c>
      <c r="M309">
        <f t="shared" si="34"/>
        <v>-84.151600000000002</v>
      </c>
      <c r="N309">
        <f t="shared" si="27"/>
        <v>3.81</v>
      </c>
      <c r="O309">
        <f t="shared" si="28"/>
        <v>1.2192000000000001</v>
      </c>
      <c r="P309">
        <f t="shared" si="29"/>
        <v>2.5907999999999998</v>
      </c>
      <c r="S309" t="s">
        <v>162</v>
      </c>
      <c r="T309">
        <v>69</v>
      </c>
      <c r="U309">
        <f t="shared" si="35"/>
        <v>109922</v>
      </c>
      <c r="AE309" t="s">
        <v>163</v>
      </c>
      <c r="AF309" t="s">
        <v>108</v>
      </c>
      <c r="AG309" t="s">
        <v>164</v>
      </c>
      <c r="AH309" s="21" t="s">
        <v>108</v>
      </c>
      <c r="AI309" s="32">
        <v>41031</v>
      </c>
      <c r="AJ309" t="s">
        <v>379</v>
      </c>
      <c r="AK309" t="s">
        <v>320</v>
      </c>
      <c r="AL309" t="s">
        <v>361</v>
      </c>
      <c r="AM309" t="s">
        <v>210</v>
      </c>
      <c r="AN309" t="s">
        <v>380</v>
      </c>
      <c r="AO309">
        <v>109922</v>
      </c>
      <c r="AP309" t="s">
        <v>235</v>
      </c>
      <c r="AQ309" t="s">
        <v>389</v>
      </c>
      <c r="AR309">
        <v>0.62152777777777779</v>
      </c>
      <c r="AS309">
        <v>41031.621527777781</v>
      </c>
      <c r="AT309" s="35">
        <v>46.529760000000003</v>
      </c>
      <c r="AU309" s="35">
        <v>-84.151600000000002</v>
      </c>
      <c r="AV309">
        <v>12.5</v>
      </c>
      <c r="AW309" t="s">
        <v>382</v>
      </c>
      <c r="AX309">
        <v>2.5890999999999997</v>
      </c>
      <c r="AY309">
        <v>4</v>
      </c>
      <c r="AZ309" t="s">
        <v>321</v>
      </c>
    </row>
    <row r="310" spans="1:52" x14ac:dyDescent="0.25">
      <c r="A310" t="str">
        <f t="shared" si="30"/>
        <v>HPT</v>
      </c>
      <c r="C310" s="41" t="str">
        <f t="shared" si="31"/>
        <v>007</v>
      </c>
      <c r="D310">
        <v>2</v>
      </c>
      <c r="I310" s="18">
        <v>41033.570833333331</v>
      </c>
      <c r="J310" s="19">
        <f t="shared" si="32"/>
        <v>41033.404166666667</v>
      </c>
      <c r="K310" t="s">
        <v>161</v>
      </c>
      <c r="L310">
        <f t="shared" si="33"/>
        <v>46.456890000000001</v>
      </c>
      <c r="M310">
        <f t="shared" si="34"/>
        <v>-84.114410000000007</v>
      </c>
      <c r="N310">
        <f t="shared" si="27"/>
        <v>6.9189600000000002</v>
      </c>
      <c r="O310">
        <f t="shared" si="28"/>
        <v>1.8288000000000002</v>
      </c>
      <c r="P310">
        <f t="shared" si="29"/>
        <v>5.09016</v>
      </c>
      <c r="S310" t="s">
        <v>162</v>
      </c>
      <c r="T310">
        <v>69</v>
      </c>
      <c r="U310">
        <f t="shared" si="35"/>
        <v>109514</v>
      </c>
      <c r="AE310" t="s">
        <v>163</v>
      </c>
      <c r="AF310" t="s">
        <v>108</v>
      </c>
      <c r="AG310" t="s">
        <v>164</v>
      </c>
      <c r="AH310" s="21" t="s">
        <v>108</v>
      </c>
      <c r="AI310" s="32">
        <v>41033</v>
      </c>
      <c r="AJ310" t="s">
        <v>379</v>
      </c>
      <c r="AK310" t="s">
        <v>383</v>
      </c>
      <c r="AL310" t="s">
        <v>361</v>
      </c>
      <c r="AM310" t="s">
        <v>384</v>
      </c>
      <c r="AN310" t="s">
        <v>380</v>
      </c>
      <c r="AO310">
        <v>109514</v>
      </c>
      <c r="AP310" t="s">
        <v>235</v>
      </c>
      <c r="AQ310" t="s">
        <v>389</v>
      </c>
      <c r="AR310">
        <v>0.40416666666666662</v>
      </c>
      <c r="AS310">
        <v>41033.404166666667</v>
      </c>
      <c r="AT310" s="35">
        <v>46.456890000000001</v>
      </c>
      <c r="AU310" s="35">
        <v>-84.114410000000007</v>
      </c>
      <c r="AV310">
        <v>22.7</v>
      </c>
      <c r="AW310" t="s">
        <v>382</v>
      </c>
      <c r="AX310">
        <v>5.0868199999999995</v>
      </c>
      <c r="AY310">
        <v>6</v>
      </c>
      <c r="AZ310" t="s">
        <v>392</v>
      </c>
    </row>
    <row r="311" spans="1:52" x14ac:dyDescent="0.25">
      <c r="A311" t="str">
        <f t="shared" si="30"/>
        <v>HPT</v>
      </c>
      <c r="C311" s="41" t="str">
        <f t="shared" si="31"/>
        <v>001</v>
      </c>
      <c r="D311">
        <v>2</v>
      </c>
      <c r="I311" s="18">
        <v>41033.598611111112</v>
      </c>
      <c r="J311" s="19">
        <f t="shared" si="32"/>
        <v>41033.431944444441</v>
      </c>
      <c r="K311" t="s">
        <v>161</v>
      </c>
      <c r="L311">
        <f t="shared" si="33"/>
        <v>46.464550000000003</v>
      </c>
      <c r="M311">
        <f t="shared" si="34"/>
        <v>-84.147409999999994</v>
      </c>
      <c r="N311">
        <f t="shared" si="27"/>
        <v>3.56616</v>
      </c>
      <c r="O311">
        <f t="shared" si="28"/>
        <v>1.2192000000000001</v>
      </c>
      <c r="P311">
        <f t="shared" si="29"/>
        <v>2.3469600000000002</v>
      </c>
      <c r="S311" t="s">
        <v>162</v>
      </c>
      <c r="T311">
        <v>69</v>
      </c>
      <c r="U311">
        <f t="shared" si="35"/>
        <v>109472</v>
      </c>
      <c r="AE311" t="s">
        <v>163</v>
      </c>
      <c r="AF311" t="s">
        <v>108</v>
      </c>
      <c r="AG311" t="s">
        <v>164</v>
      </c>
      <c r="AH311" s="21" t="s">
        <v>108</v>
      </c>
      <c r="AI311" s="32">
        <v>41033</v>
      </c>
      <c r="AJ311" t="s">
        <v>379</v>
      </c>
      <c r="AK311" t="s">
        <v>393</v>
      </c>
      <c r="AL311" t="s">
        <v>361</v>
      </c>
      <c r="AM311" t="s">
        <v>305</v>
      </c>
      <c r="AN311" t="s">
        <v>380</v>
      </c>
      <c r="AO311">
        <v>109472</v>
      </c>
      <c r="AP311" t="s">
        <v>235</v>
      </c>
      <c r="AQ311" t="s">
        <v>389</v>
      </c>
      <c r="AR311">
        <v>0.43194444444444446</v>
      </c>
      <c r="AS311">
        <v>41033.431944444441</v>
      </c>
      <c r="AT311" s="35">
        <v>46.464550000000003</v>
      </c>
      <c r="AU311" s="35">
        <v>-84.147409999999994</v>
      </c>
      <c r="AV311">
        <v>11.7</v>
      </c>
      <c r="AW311" t="s">
        <v>382</v>
      </c>
      <c r="AX311">
        <v>2.3454199999999998</v>
      </c>
      <c r="AY311">
        <v>4</v>
      </c>
      <c r="AZ311" t="s">
        <v>394</v>
      </c>
    </row>
    <row r="312" spans="1:52" x14ac:dyDescent="0.25">
      <c r="A312" t="str">
        <f t="shared" si="30"/>
        <v>EDS</v>
      </c>
      <c r="C312" s="41" t="str">
        <f t="shared" si="31"/>
        <v>004</v>
      </c>
      <c r="D312">
        <v>3</v>
      </c>
      <c r="I312" s="18">
        <v>41067.520833333336</v>
      </c>
      <c r="J312" s="19">
        <f t="shared" si="32"/>
        <v>41067.354166666664</v>
      </c>
      <c r="K312" t="s">
        <v>161</v>
      </c>
      <c r="L312">
        <f t="shared" si="33"/>
        <v>46.498318040000001</v>
      </c>
      <c r="M312">
        <f t="shared" si="34"/>
        <v>-84.333605210000002</v>
      </c>
      <c r="N312">
        <f t="shared" si="27"/>
        <v>6.4008000000000003</v>
      </c>
      <c r="O312">
        <f t="shared" si="28"/>
        <v>1.2192000000000001</v>
      </c>
      <c r="P312">
        <f t="shared" si="29"/>
        <v>5.1816000000000004</v>
      </c>
      <c r="S312" t="s">
        <v>162</v>
      </c>
      <c r="T312">
        <v>69</v>
      </c>
      <c r="U312">
        <f t="shared" si="35"/>
        <v>109491</v>
      </c>
      <c r="AE312" t="s">
        <v>163</v>
      </c>
      <c r="AF312" t="s">
        <v>108</v>
      </c>
      <c r="AG312" t="s">
        <v>164</v>
      </c>
      <c r="AH312" s="21" t="s">
        <v>108</v>
      </c>
      <c r="AI312" s="32">
        <v>41067</v>
      </c>
      <c r="AJ312" t="s">
        <v>379</v>
      </c>
      <c r="AK312" t="s">
        <v>385</v>
      </c>
      <c r="AL312" t="s">
        <v>361</v>
      </c>
      <c r="AM312" t="s">
        <v>248</v>
      </c>
      <c r="AN312" t="s">
        <v>380</v>
      </c>
      <c r="AO312">
        <v>109491</v>
      </c>
      <c r="AP312" t="s">
        <v>235</v>
      </c>
      <c r="AQ312" t="s">
        <v>389</v>
      </c>
      <c r="AR312">
        <v>0.35416666666666669</v>
      </c>
      <c r="AS312">
        <v>41067.354166666664</v>
      </c>
      <c r="AT312" s="35">
        <v>46.498318040000001</v>
      </c>
      <c r="AU312" s="35">
        <v>-84.333605210000002</v>
      </c>
      <c r="AV312">
        <v>21</v>
      </c>
      <c r="AW312" t="s">
        <v>390</v>
      </c>
      <c r="AX312">
        <v>5.1781999999999995</v>
      </c>
      <c r="AY312">
        <v>4</v>
      </c>
      <c r="AZ312" t="s">
        <v>244</v>
      </c>
    </row>
    <row r="313" spans="1:52" x14ac:dyDescent="0.25">
      <c r="A313" t="str">
        <f t="shared" si="30"/>
        <v>URC</v>
      </c>
      <c r="C313" s="41" t="str">
        <f t="shared" si="31"/>
        <v>004</v>
      </c>
      <c r="D313">
        <v>4</v>
      </c>
      <c r="I313" s="18">
        <v>41115.701388888891</v>
      </c>
      <c r="J313" s="19">
        <f t="shared" si="32"/>
        <v>41115.534722222219</v>
      </c>
      <c r="K313" t="s">
        <v>161</v>
      </c>
      <c r="L313">
        <f t="shared" si="33"/>
        <v>46.286450000000002</v>
      </c>
      <c r="M313">
        <f t="shared" si="34"/>
        <v>-84.211519999999993</v>
      </c>
      <c r="N313">
        <f t="shared" si="27"/>
        <v>3.7490400000000004</v>
      </c>
      <c r="O313">
        <f t="shared" si="28"/>
        <v>0.60960000000000003</v>
      </c>
      <c r="P313">
        <f t="shared" si="29"/>
        <v>3.1394400000000005</v>
      </c>
      <c r="S313" t="s">
        <v>162</v>
      </c>
      <c r="T313">
        <v>69</v>
      </c>
      <c r="U313">
        <f t="shared" si="35"/>
        <v>109505</v>
      </c>
      <c r="AE313" t="s">
        <v>163</v>
      </c>
      <c r="AF313" t="s">
        <v>108</v>
      </c>
      <c r="AG313" t="s">
        <v>179</v>
      </c>
      <c r="AH313" s="21" t="s">
        <v>108</v>
      </c>
      <c r="AI313" s="32">
        <v>41115</v>
      </c>
      <c r="AJ313" t="s">
        <v>235</v>
      </c>
      <c r="AK313" t="s">
        <v>235</v>
      </c>
      <c r="AL313" t="s">
        <v>361</v>
      </c>
      <c r="AM313" t="s">
        <v>292</v>
      </c>
      <c r="AN313" t="s">
        <v>380</v>
      </c>
      <c r="AO313">
        <v>109505</v>
      </c>
      <c r="AP313" t="s">
        <v>235</v>
      </c>
      <c r="AQ313" t="s">
        <v>389</v>
      </c>
      <c r="AR313">
        <v>0.53472222222222221</v>
      </c>
      <c r="AS313">
        <v>41115.534722222219</v>
      </c>
      <c r="AT313" s="35">
        <v>46.286450000000002</v>
      </c>
      <c r="AU313" s="35">
        <v>-84.211519999999993</v>
      </c>
      <c r="AV313">
        <v>12.3</v>
      </c>
      <c r="AW313" t="s">
        <v>390</v>
      </c>
      <c r="AX313">
        <v>3.1373799999999998</v>
      </c>
      <c r="AY313">
        <v>2</v>
      </c>
      <c r="AZ313" t="s">
        <v>293</v>
      </c>
    </row>
    <row r="314" spans="1:52" x14ac:dyDescent="0.25">
      <c r="A314" t="str">
        <f t="shared" si="30"/>
        <v>DCK</v>
      </c>
      <c r="C314" s="41" t="str">
        <f t="shared" si="31"/>
        <v>001</v>
      </c>
      <c r="D314">
        <v>4</v>
      </c>
      <c r="I314" s="18">
        <v>41121.75277777778</v>
      </c>
      <c r="J314" s="19">
        <f t="shared" si="32"/>
        <v>41121.586111111108</v>
      </c>
      <c r="K314" t="s">
        <v>161</v>
      </c>
      <c r="L314">
        <f t="shared" si="33"/>
        <v>46.358730000000001</v>
      </c>
      <c r="M314">
        <f t="shared" si="34"/>
        <v>-84.135170000000002</v>
      </c>
      <c r="N314">
        <f t="shared" si="27"/>
        <v>6.7056000000000004</v>
      </c>
      <c r="O314">
        <f t="shared" si="28"/>
        <v>0.60960000000000003</v>
      </c>
      <c r="P314">
        <f t="shared" si="29"/>
        <v>6.0960000000000001</v>
      </c>
      <c r="S314" t="s">
        <v>162</v>
      </c>
      <c r="T314">
        <v>69</v>
      </c>
      <c r="U314">
        <f t="shared" si="35"/>
        <v>109431</v>
      </c>
      <c r="AE314" t="s">
        <v>163</v>
      </c>
      <c r="AF314" t="s">
        <v>108</v>
      </c>
      <c r="AG314" t="s">
        <v>179</v>
      </c>
      <c r="AH314" s="21" t="s">
        <v>108</v>
      </c>
      <c r="AI314" s="32">
        <v>41121</v>
      </c>
      <c r="AJ314" t="s">
        <v>235</v>
      </c>
      <c r="AK314" t="s">
        <v>235</v>
      </c>
      <c r="AL314" t="s">
        <v>361</v>
      </c>
      <c r="AM314" t="s">
        <v>221</v>
      </c>
      <c r="AN314" t="s">
        <v>380</v>
      </c>
      <c r="AO314">
        <v>109431</v>
      </c>
      <c r="AP314" t="s">
        <v>235</v>
      </c>
      <c r="AQ314" t="s">
        <v>389</v>
      </c>
      <c r="AR314">
        <v>0.58611111111111114</v>
      </c>
      <c r="AS314">
        <v>41121.586111111108</v>
      </c>
      <c r="AT314" s="35">
        <v>46.358730000000001</v>
      </c>
      <c r="AU314" s="35">
        <v>-84.135170000000002</v>
      </c>
      <c r="AV314">
        <v>22</v>
      </c>
      <c r="AW314" t="s">
        <v>382</v>
      </c>
      <c r="AX314">
        <v>6.0919999999999996</v>
      </c>
      <c r="AY314">
        <v>2</v>
      </c>
      <c r="AZ314" t="s">
        <v>395</v>
      </c>
    </row>
    <row r="315" spans="1:52" x14ac:dyDescent="0.25">
      <c r="A315" s="39" t="str">
        <f t="shared" si="30"/>
        <v>DCK</v>
      </c>
      <c r="C315" s="41" t="str">
        <f t="shared" si="31"/>
        <v>003</v>
      </c>
      <c r="D315">
        <v>2</v>
      </c>
      <c r="I315" s="18">
        <v>41121.756944444445</v>
      </c>
      <c r="J315" s="19">
        <f t="shared" si="32"/>
        <v>41121.590277777781</v>
      </c>
      <c r="K315" t="s">
        <v>161</v>
      </c>
      <c r="L315" s="39">
        <f t="shared" si="33"/>
        <v>46.360259999999997</v>
      </c>
      <c r="M315" s="39">
        <f t="shared" si="34"/>
        <v>-84.129419999999996</v>
      </c>
      <c r="N315" s="39">
        <f t="shared" si="27"/>
        <v>6.7056000000000004</v>
      </c>
      <c r="O315" s="39">
        <f t="shared" si="28"/>
        <v>0.60960000000000003</v>
      </c>
      <c r="P315" s="39">
        <f t="shared" si="29"/>
        <v>6.0960000000000001</v>
      </c>
      <c r="S315" s="39" t="s">
        <v>162</v>
      </c>
      <c r="T315" s="39">
        <v>69</v>
      </c>
      <c r="U315" s="39">
        <f t="shared" si="35"/>
        <v>109877</v>
      </c>
      <c r="AE315" s="39" t="s">
        <v>163</v>
      </c>
      <c r="AF315" s="39" t="s">
        <v>108</v>
      </c>
      <c r="AG315" s="39" t="s">
        <v>179</v>
      </c>
      <c r="AH315" s="21" t="s">
        <v>108</v>
      </c>
      <c r="AI315" s="32">
        <v>41121</v>
      </c>
      <c r="AJ315" s="39" t="s">
        <v>235</v>
      </c>
      <c r="AK315" s="39" t="s">
        <v>235</v>
      </c>
      <c r="AL315" s="39" t="s">
        <v>361</v>
      </c>
      <c r="AM315" s="39" t="s">
        <v>224</v>
      </c>
      <c r="AN315" s="39" t="s">
        <v>380</v>
      </c>
      <c r="AO315" s="39">
        <v>109877</v>
      </c>
      <c r="AP315" s="39" t="s">
        <v>235</v>
      </c>
      <c r="AQ315" s="39" t="s">
        <v>389</v>
      </c>
      <c r="AR315" s="39">
        <v>0.59027777777777779</v>
      </c>
      <c r="AS315" s="39">
        <v>41121.590277777781</v>
      </c>
      <c r="AT315" s="35">
        <v>46.360259999999997</v>
      </c>
      <c r="AU315" s="35">
        <v>-84.129419999999996</v>
      </c>
      <c r="AV315" s="39">
        <v>22</v>
      </c>
      <c r="AW315" s="39" t="s">
        <v>382</v>
      </c>
      <c r="AX315" s="39">
        <v>6.0919999999999996</v>
      </c>
      <c r="AY315" s="39">
        <v>2</v>
      </c>
      <c r="AZ315" t="s">
        <v>396</v>
      </c>
    </row>
    <row r="316" spans="1:52" x14ac:dyDescent="0.25">
      <c r="A316" s="39" t="str">
        <f t="shared" si="30"/>
        <v>LRC</v>
      </c>
      <c r="C316" s="41" t="str">
        <f t="shared" si="31"/>
        <v>004</v>
      </c>
      <c r="D316">
        <v>4</v>
      </c>
      <c r="I316" s="18">
        <v>41123.561805555553</v>
      </c>
      <c r="J316" s="19">
        <f t="shared" si="32"/>
        <v>41123.395138888889</v>
      </c>
      <c r="K316" t="s">
        <v>161</v>
      </c>
      <c r="L316" s="39">
        <f t="shared" si="33"/>
        <v>46.264119999999998</v>
      </c>
      <c r="M316" s="39">
        <f t="shared" si="34"/>
        <v>-84.188419999999994</v>
      </c>
      <c r="N316" s="39">
        <f t="shared" si="27"/>
        <v>7.0104000000000006</v>
      </c>
      <c r="O316" s="39">
        <f t="shared" si="28"/>
        <v>1.2192000000000001</v>
      </c>
      <c r="P316" s="39">
        <f t="shared" si="29"/>
        <v>5.7912000000000008</v>
      </c>
      <c r="S316" s="39" t="s">
        <v>162</v>
      </c>
      <c r="T316" s="39">
        <v>69</v>
      </c>
      <c r="U316" s="39">
        <f t="shared" si="35"/>
        <v>109993</v>
      </c>
      <c r="AE316" s="39" t="s">
        <v>163</v>
      </c>
      <c r="AF316" s="39" t="s">
        <v>108</v>
      </c>
      <c r="AG316" s="39" t="s">
        <v>179</v>
      </c>
      <c r="AH316" s="21" t="s">
        <v>108</v>
      </c>
      <c r="AI316" s="32">
        <v>41123</v>
      </c>
      <c r="AJ316" s="39" t="s">
        <v>235</v>
      </c>
      <c r="AK316" s="39" t="s">
        <v>235</v>
      </c>
      <c r="AL316" s="39" t="s">
        <v>361</v>
      </c>
      <c r="AM316" s="39" t="s">
        <v>288</v>
      </c>
      <c r="AN316" s="39" t="s">
        <v>380</v>
      </c>
      <c r="AO316" s="39">
        <v>109993</v>
      </c>
      <c r="AP316" s="39" t="s">
        <v>235</v>
      </c>
      <c r="AQ316" s="39" t="s">
        <v>389</v>
      </c>
      <c r="AR316" s="39">
        <v>0.39513888888888887</v>
      </c>
      <c r="AS316" s="39">
        <v>41123.395138888889</v>
      </c>
      <c r="AT316" s="35">
        <v>46.264119999999998</v>
      </c>
      <c r="AU316" s="35">
        <v>-84.188419999999994</v>
      </c>
      <c r="AV316" s="39">
        <v>23</v>
      </c>
      <c r="AW316" t="s">
        <v>390</v>
      </c>
      <c r="AX316">
        <v>5.7873999999999999</v>
      </c>
      <c r="AY316">
        <v>4</v>
      </c>
      <c r="AZ316" t="s">
        <v>397</v>
      </c>
    </row>
    <row r="317" spans="1:52" x14ac:dyDescent="0.25">
      <c r="A317" s="39" t="str">
        <f t="shared" si="30"/>
        <v>URC</v>
      </c>
      <c r="C317" s="41" t="str">
        <f t="shared" si="31"/>
        <v>004</v>
      </c>
      <c r="D317">
        <v>5</v>
      </c>
      <c r="I317" s="18">
        <v>41430.643750000003</v>
      </c>
      <c r="J317" s="19">
        <f t="shared" si="32"/>
        <v>41430.477083333331</v>
      </c>
      <c r="K317" t="s">
        <v>161</v>
      </c>
      <c r="L317" s="39">
        <f t="shared" si="33"/>
        <v>46.286432308999998</v>
      </c>
      <c r="M317" s="39">
        <f t="shared" si="34"/>
        <v>-84.211605509999998</v>
      </c>
      <c r="N317" s="39">
        <f t="shared" si="27"/>
        <v>4.5720000000000001</v>
      </c>
      <c r="O317" s="39">
        <v>1.3</v>
      </c>
      <c r="P317" s="39">
        <f t="shared" si="29"/>
        <v>3.2720000000000002</v>
      </c>
      <c r="S317" t="s">
        <v>162</v>
      </c>
      <c r="T317" s="39">
        <v>69</v>
      </c>
      <c r="U317">
        <v>109906</v>
      </c>
      <c r="AE317" t="s">
        <v>336</v>
      </c>
      <c r="AF317" t="s">
        <v>108</v>
      </c>
      <c r="AG317" t="s">
        <v>179</v>
      </c>
      <c r="AH317" s="21" t="s">
        <v>108</v>
      </c>
      <c r="AI317" s="32">
        <v>41430</v>
      </c>
      <c r="AJ317" s="1" t="s">
        <v>379</v>
      </c>
      <c r="AK317" s="1" t="s">
        <v>436</v>
      </c>
      <c r="AL317" s="1" t="s">
        <v>361</v>
      </c>
      <c r="AM317" s="1" t="s">
        <v>292</v>
      </c>
      <c r="AN317" s="39" t="s">
        <v>380</v>
      </c>
      <c r="AO317">
        <v>109906</v>
      </c>
      <c r="AP317" s="39" t="s">
        <v>235</v>
      </c>
      <c r="AQ317" s="39" t="s">
        <v>389</v>
      </c>
      <c r="AR317" s="33">
        <v>0.4770833333333333</v>
      </c>
      <c r="AS317" s="40">
        <f t="shared" ref="AS317:AS328" si="36">AI317+AR317</f>
        <v>41430.477083333331</v>
      </c>
      <c r="AT317" s="35">
        <v>46.286432308999998</v>
      </c>
      <c r="AU317" s="35">
        <v>-84.211605509999998</v>
      </c>
      <c r="AV317">
        <v>15</v>
      </c>
      <c r="AW317" s="39" t="s">
        <v>390</v>
      </c>
      <c r="AX317">
        <v>2</v>
      </c>
      <c r="AY317">
        <f t="shared" ref="AY317:AY328" si="37">AV317-AX317</f>
        <v>13</v>
      </c>
      <c r="AZ317" t="s">
        <v>439</v>
      </c>
    </row>
    <row r="318" spans="1:52" x14ac:dyDescent="0.25">
      <c r="A318" s="39" t="str">
        <f t="shared" si="30"/>
        <v>LRC</v>
      </c>
      <c r="C318" s="41" t="str">
        <f t="shared" si="31"/>
        <v>004</v>
      </c>
      <c r="D318">
        <v>5</v>
      </c>
      <c r="I318" s="18">
        <v>41430.670138888891</v>
      </c>
      <c r="J318" s="19">
        <f t="shared" si="32"/>
        <v>41430.503472222219</v>
      </c>
      <c r="K318" t="s">
        <v>161</v>
      </c>
      <c r="L318" s="39">
        <f t="shared" si="33"/>
        <v>46.264162282000001</v>
      </c>
      <c r="M318" s="39">
        <f t="shared" si="34"/>
        <v>-84.188545445000003</v>
      </c>
      <c r="N318" s="39">
        <f t="shared" si="27"/>
        <v>6.0960000000000001</v>
      </c>
      <c r="O318" s="39">
        <v>2.2999999999999998</v>
      </c>
      <c r="P318" s="39">
        <f t="shared" si="29"/>
        <v>3.7960000000000003</v>
      </c>
      <c r="S318" t="s">
        <v>162</v>
      </c>
      <c r="T318">
        <v>69</v>
      </c>
      <c r="U318">
        <v>109947</v>
      </c>
      <c r="AE318" t="s">
        <v>336</v>
      </c>
      <c r="AF318" t="s">
        <v>108</v>
      </c>
      <c r="AG318" t="s">
        <v>179</v>
      </c>
      <c r="AH318" s="21" t="s">
        <v>108</v>
      </c>
      <c r="AI318" s="32">
        <v>41430</v>
      </c>
      <c r="AJ318" s="1" t="s">
        <v>379</v>
      </c>
      <c r="AK318" s="1" t="s">
        <v>436</v>
      </c>
      <c r="AL318" s="1" t="s">
        <v>361</v>
      </c>
      <c r="AM318" s="1" t="s">
        <v>288</v>
      </c>
      <c r="AN318" s="39" t="s">
        <v>380</v>
      </c>
      <c r="AO318">
        <v>109947</v>
      </c>
      <c r="AP318" s="39" t="s">
        <v>235</v>
      </c>
      <c r="AQ318" s="39" t="s">
        <v>389</v>
      </c>
      <c r="AR318" s="33">
        <v>0.50347222222222221</v>
      </c>
      <c r="AS318" s="40">
        <f t="shared" si="36"/>
        <v>41430.503472222219</v>
      </c>
      <c r="AT318" s="35">
        <v>46.264162282000001</v>
      </c>
      <c r="AU318" s="35">
        <v>-84.188545445000003</v>
      </c>
      <c r="AV318">
        <v>20</v>
      </c>
      <c r="AW318" s="39" t="s">
        <v>390</v>
      </c>
      <c r="AX318">
        <v>2</v>
      </c>
      <c r="AY318" s="39">
        <f t="shared" si="37"/>
        <v>18</v>
      </c>
      <c r="AZ318" t="s">
        <v>440</v>
      </c>
    </row>
    <row r="319" spans="1:52" x14ac:dyDescent="0.25">
      <c r="A319" s="39" t="str">
        <f t="shared" si="30"/>
        <v>MNB</v>
      </c>
      <c r="C319" s="41" t="str">
        <f t="shared" si="31"/>
        <v>011</v>
      </c>
      <c r="D319">
        <v>1</v>
      </c>
      <c r="I319" s="18">
        <v>41430.693055555559</v>
      </c>
      <c r="J319" s="19">
        <f t="shared" si="32"/>
        <v>41430.526388888888</v>
      </c>
      <c r="K319" t="s">
        <v>161</v>
      </c>
      <c r="L319" s="39">
        <f t="shared" si="33"/>
        <v>46.3298068</v>
      </c>
      <c r="M319" s="39">
        <f t="shared" si="34"/>
        <v>-84.171374728000004</v>
      </c>
      <c r="N319" s="39">
        <f t="shared" si="27"/>
        <v>6.4008000000000003</v>
      </c>
      <c r="O319" s="39">
        <v>3.3</v>
      </c>
      <c r="P319" s="39">
        <f t="shared" si="29"/>
        <v>3.1008000000000004</v>
      </c>
      <c r="S319" s="39" t="s">
        <v>162</v>
      </c>
      <c r="T319" s="39">
        <v>69</v>
      </c>
      <c r="U319">
        <v>113213</v>
      </c>
      <c r="AE319" t="s">
        <v>336</v>
      </c>
      <c r="AF319" t="s">
        <v>108</v>
      </c>
      <c r="AG319" t="s">
        <v>179</v>
      </c>
      <c r="AH319" s="21" t="s">
        <v>108</v>
      </c>
      <c r="AI319" s="32">
        <v>41430</v>
      </c>
      <c r="AJ319" s="1" t="s">
        <v>379</v>
      </c>
      <c r="AK319" s="1" t="s">
        <v>436</v>
      </c>
      <c r="AL319" s="1" t="s">
        <v>361</v>
      </c>
      <c r="AM319" s="1" t="s">
        <v>437</v>
      </c>
      <c r="AN319" s="39" t="s">
        <v>380</v>
      </c>
      <c r="AO319">
        <v>113213</v>
      </c>
      <c r="AP319" s="39" t="s">
        <v>235</v>
      </c>
      <c r="AQ319" s="39" t="s">
        <v>389</v>
      </c>
      <c r="AR319" s="33">
        <v>0.52638888888888891</v>
      </c>
      <c r="AS319" s="40">
        <f t="shared" si="36"/>
        <v>41430.526388888888</v>
      </c>
      <c r="AT319" s="35">
        <v>46.3298068</v>
      </c>
      <c r="AU319" s="35">
        <v>-84.171374728000004</v>
      </c>
      <c r="AV319">
        <v>21</v>
      </c>
      <c r="AW319" s="39" t="s">
        <v>390</v>
      </c>
      <c r="AX319">
        <v>2</v>
      </c>
      <c r="AY319" s="39">
        <f t="shared" si="37"/>
        <v>19</v>
      </c>
      <c r="AZ319" t="s">
        <v>441</v>
      </c>
    </row>
    <row r="320" spans="1:52" x14ac:dyDescent="0.25">
      <c r="A320" s="39" t="str">
        <f t="shared" si="30"/>
        <v>MNB</v>
      </c>
      <c r="C320" s="41" t="str">
        <f t="shared" si="31"/>
        <v>010</v>
      </c>
      <c r="D320">
        <v>1</v>
      </c>
      <c r="I320" s="18">
        <v>41430.737500000003</v>
      </c>
      <c r="J320" s="19">
        <f t="shared" si="32"/>
        <v>41430.570833333331</v>
      </c>
      <c r="K320" t="s">
        <v>161</v>
      </c>
      <c r="L320" s="39">
        <f t="shared" si="33"/>
        <v>46.322631672</v>
      </c>
      <c r="M320" s="39">
        <f t="shared" si="34"/>
        <v>-84.144698599999998</v>
      </c>
      <c r="N320" s="39">
        <f t="shared" si="27"/>
        <v>4.8768000000000002</v>
      </c>
      <c r="O320" s="39">
        <v>4.3</v>
      </c>
      <c r="P320" s="39">
        <f t="shared" si="29"/>
        <v>0.57680000000000042</v>
      </c>
      <c r="S320" s="39" t="s">
        <v>162</v>
      </c>
      <c r="T320" s="39">
        <v>69</v>
      </c>
      <c r="U320">
        <v>109495</v>
      </c>
      <c r="AE320" s="39" t="s">
        <v>336</v>
      </c>
      <c r="AF320" s="39" t="s">
        <v>108</v>
      </c>
      <c r="AG320" s="39" t="s">
        <v>179</v>
      </c>
      <c r="AH320" s="21" t="s">
        <v>108</v>
      </c>
      <c r="AI320" s="32">
        <v>41430</v>
      </c>
      <c r="AJ320" s="1" t="s">
        <v>379</v>
      </c>
      <c r="AK320" s="1" t="s">
        <v>436</v>
      </c>
      <c r="AL320" s="1" t="s">
        <v>361</v>
      </c>
      <c r="AM320" s="1" t="s">
        <v>438</v>
      </c>
      <c r="AN320" s="39" t="s">
        <v>380</v>
      </c>
      <c r="AO320">
        <v>109495</v>
      </c>
      <c r="AP320" s="39" t="s">
        <v>235</v>
      </c>
      <c r="AQ320" s="39" t="s">
        <v>389</v>
      </c>
      <c r="AR320" s="33">
        <v>0.5708333333333333</v>
      </c>
      <c r="AS320" s="40">
        <f t="shared" si="36"/>
        <v>41430.570833333331</v>
      </c>
      <c r="AT320" s="35">
        <v>46.322631672</v>
      </c>
      <c r="AU320" s="35">
        <v>-84.144698599999998</v>
      </c>
      <c r="AV320">
        <v>16</v>
      </c>
      <c r="AW320" s="39" t="s">
        <v>390</v>
      </c>
      <c r="AX320">
        <v>2</v>
      </c>
      <c r="AY320" s="39">
        <f t="shared" si="37"/>
        <v>14</v>
      </c>
      <c r="AZ320" t="s">
        <v>442</v>
      </c>
    </row>
    <row r="321" spans="1:53" x14ac:dyDescent="0.25">
      <c r="A321" s="39" t="str">
        <f t="shared" si="30"/>
        <v>DCK</v>
      </c>
      <c r="C321" s="41" t="str">
        <f t="shared" si="31"/>
        <v>001</v>
      </c>
      <c r="D321">
        <v>5</v>
      </c>
      <c r="I321" s="18">
        <v>41430.756944444445</v>
      </c>
      <c r="J321" s="19">
        <f t="shared" si="32"/>
        <v>41430.590277777781</v>
      </c>
      <c r="K321" t="s">
        <v>161</v>
      </c>
      <c r="L321" s="39">
        <f t="shared" si="33"/>
        <v>46.360282357000003</v>
      </c>
      <c r="M321" s="39">
        <f t="shared" si="34"/>
        <v>-84.129502536999993</v>
      </c>
      <c r="N321" s="39">
        <f t="shared" si="27"/>
        <v>9.1440000000000001</v>
      </c>
      <c r="O321" s="39">
        <v>5.3</v>
      </c>
      <c r="P321" s="39">
        <f t="shared" si="29"/>
        <v>3.8440000000000003</v>
      </c>
      <c r="S321" s="39" t="s">
        <v>162</v>
      </c>
      <c r="T321" s="39">
        <v>69</v>
      </c>
      <c r="U321">
        <v>109498</v>
      </c>
      <c r="AE321" s="39" t="s">
        <v>336</v>
      </c>
      <c r="AF321" s="39" t="s">
        <v>108</v>
      </c>
      <c r="AG321" s="39" t="s">
        <v>179</v>
      </c>
      <c r="AH321" s="21" t="s">
        <v>108</v>
      </c>
      <c r="AI321" s="32">
        <v>41430</v>
      </c>
      <c r="AJ321" s="1" t="s">
        <v>379</v>
      </c>
      <c r="AK321" s="1" t="s">
        <v>436</v>
      </c>
      <c r="AL321" s="1" t="s">
        <v>361</v>
      </c>
      <c r="AM321" s="1" t="s">
        <v>221</v>
      </c>
      <c r="AN321" s="39" t="s">
        <v>380</v>
      </c>
      <c r="AO321">
        <v>109498</v>
      </c>
      <c r="AP321" s="39" t="s">
        <v>235</v>
      </c>
      <c r="AQ321" s="39" t="s">
        <v>389</v>
      </c>
      <c r="AR321" s="33">
        <v>0.59027777777777779</v>
      </c>
      <c r="AS321" s="40">
        <f t="shared" si="36"/>
        <v>41430.590277777781</v>
      </c>
      <c r="AT321" s="35">
        <v>46.360282357000003</v>
      </c>
      <c r="AU321" s="35">
        <v>-84.129502536999993</v>
      </c>
      <c r="AV321">
        <v>30</v>
      </c>
      <c r="AW321" s="39" t="s">
        <v>390</v>
      </c>
      <c r="AX321">
        <v>3</v>
      </c>
      <c r="AY321" s="39">
        <f t="shared" si="37"/>
        <v>27</v>
      </c>
      <c r="AZ321" t="s">
        <v>443</v>
      </c>
    </row>
    <row r="322" spans="1:53" x14ac:dyDescent="0.25">
      <c r="A322" s="39" t="str">
        <f t="shared" si="30"/>
        <v>DCK</v>
      </c>
      <c r="C322" s="41" t="str">
        <f t="shared" si="31"/>
        <v>003</v>
      </c>
      <c r="D322">
        <v>3</v>
      </c>
      <c r="I322" s="18">
        <v>41430.772222222222</v>
      </c>
      <c r="J322" s="19">
        <f t="shared" si="32"/>
        <v>41430.605555555558</v>
      </c>
      <c r="K322" t="s">
        <v>161</v>
      </c>
      <c r="L322" s="39">
        <f t="shared" si="33"/>
        <v>46.358744977000001</v>
      </c>
      <c r="M322" s="39">
        <f t="shared" si="34"/>
        <v>-84.135204483999999</v>
      </c>
      <c r="N322" s="39">
        <f t="shared" si="27"/>
        <v>6.0960000000000001</v>
      </c>
      <c r="O322" s="39">
        <v>6.3</v>
      </c>
      <c r="P322" s="39">
        <f t="shared" si="29"/>
        <v>-0.20399999999999974</v>
      </c>
      <c r="S322" s="39" t="s">
        <v>162</v>
      </c>
      <c r="T322" s="39">
        <v>69</v>
      </c>
      <c r="U322">
        <v>119322</v>
      </c>
      <c r="AE322" s="39" t="s">
        <v>336</v>
      </c>
      <c r="AF322" s="39" t="s">
        <v>108</v>
      </c>
      <c r="AG322" s="39" t="s">
        <v>179</v>
      </c>
      <c r="AH322" s="21" t="s">
        <v>108</v>
      </c>
      <c r="AI322" s="32">
        <v>41430</v>
      </c>
      <c r="AJ322" s="1" t="s">
        <v>379</v>
      </c>
      <c r="AK322" s="1" t="s">
        <v>436</v>
      </c>
      <c r="AL322" s="1" t="s">
        <v>361</v>
      </c>
      <c r="AM322" s="1" t="s">
        <v>224</v>
      </c>
      <c r="AN322" s="39" t="s">
        <v>380</v>
      </c>
      <c r="AO322">
        <v>119322</v>
      </c>
      <c r="AP322" s="39" t="s">
        <v>235</v>
      </c>
      <c r="AQ322" s="39" t="s">
        <v>389</v>
      </c>
      <c r="AR322" s="33">
        <v>0.60555555555555551</v>
      </c>
      <c r="AS322" s="40">
        <f t="shared" si="36"/>
        <v>41430.605555555558</v>
      </c>
      <c r="AT322" s="35">
        <v>46.358744977000001</v>
      </c>
      <c r="AU322" s="35">
        <v>-84.135204483999999</v>
      </c>
      <c r="AV322">
        <v>20</v>
      </c>
      <c r="AW322" s="39" t="s">
        <v>390</v>
      </c>
      <c r="AX322">
        <v>3</v>
      </c>
      <c r="AY322" s="39">
        <f t="shared" si="37"/>
        <v>17</v>
      </c>
      <c r="AZ322" t="s">
        <v>444</v>
      </c>
    </row>
    <row r="323" spans="1:53" x14ac:dyDescent="0.25">
      <c r="A323" t="str">
        <f t="shared" si="30"/>
        <v>URC</v>
      </c>
      <c r="C323" s="41" t="str">
        <f t="shared" si="31"/>
        <v>004</v>
      </c>
      <c r="D323">
        <v>6</v>
      </c>
      <c r="I323" s="18">
        <v>41834.677083333336</v>
      </c>
      <c r="J323" s="19">
        <f t="shared" si="32"/>
        <v>41834.510416666664</v>
      </c>
      <c r="K323" s="39" t="s">
        <v>161</v>
      </c>
      <c r="L323" s="39">
        <f t="shared" si="33"/>
        <v>46.286479981600003</v>
      </c>
      <c r="M323" s="39">
        <f t="shared" si="34"/>
        <v>-84.211715277600007</v>
      </c>
      <c r="N323">
        <f t="shared" si="27"/>
        <v>7.0104000000000006</v>
      </c>
      <c r="O323" s="39">
        <f t="shared" ref="O323:O328" si="38">AY323*0.3048</f>
        <v>6.4008000000000003</v>
      </c>
      <c r="P323" s="39">
        <f t="shared" si="29"/>
        <v>0.60960000000000036</v>
      </c>
      <c r="S323" s="39" t="s">
        <v>162</v>
      </c>
      <c r="T323" s="39">
        <v>69</v>
      </c>
      <c r="U323" s="39">
        <f t="shared" ref="U323:U328" si="39">AO323</f>
        <v>109477</v>
      </c>
      <c r="AE323" s="39" t="s">
        <v>336</v>
      </c>
      <c r="AF323" s="39" t="s">
        <v>108</v>
      </c>
      <c r="AG323" s="39" t="s">
        <v>179</v>
      </c>
      <c r="AH323" s="21" t="s">
        <v>108</v>
      </c>
      <c r="AI323" s="32">
        <v>41834</v>
      </c>
      <c r="AJ323" s="1" t="s">
        <v>379</v>
      </c>
      <c r="AK323" s="1" t="s">
        <v>445</v>
      </c>
      <c r="AL323" s="1" t="s">
        <v>361</v>
      </c>
      <c r="AM323" s="1" t="s">
        <v>292</v>
      </c>
      <c r="AN323" s="39" t="s">
        <v>380</v>
      </c>
      <c r="AO323">
        <v>109477</v>
      </c>
      <c r="AP323" s="39" t="s">
        <v>235</v>
      </c>
      <c r="AQ323" t="s">
        <v>389</v>
      </c>
      <c r="AR323" s="33">
        <v>0.51041666666666663</v>
      </c>
      <c r="AS323" s="40">
        <f t="shared" si="36"/>
        <v>41834.510416666664</v>
      </c>
      <c r="AT323" s="35">
        <v>46.286479981600003</v>
      </c>
      <c r="AU323" s="35">
        <v>-84.211715277600007</v>
      </c>
      <c r="AV323">
        <v>23</v>
      </c>
      <c r="AW323" s="39" t="s">
        <v>390</v>
      </c>
      <c r="AX323">
        <v>2</v>
      </c>
      <c r="AY323" s="39">
        <f t="shared" si="37"/>
        <v>21</v>
      </c>
      <c r="AZ323" t="s">
        <v>396</v>
      </c>
    </row>
    <row r="324" spans="1:53" x14ac:dyDescent="0.25">
      <c r="A324" t="str">
        <f t="shared" si="30"/>
        <v>LRC</v>
      </c>
      <c r="C324" s="41" t="str">
        <f t="shared" si="31"/>
        <v>004</v>
      </c>
      <c r="D324">
        <v>6</v>
      </c>
      <c r="I324" s="18">
        <v>41834.6875</v>
      </c>
      <c r="J324" s="19">
        <f t="shared" si="32"/>
        <v>41834.520833333336</v>
      </c>
      <c r="K324" s="39" t="s">
        <v>161</v>
      </c>
      <c r="L324" s="39">
        <f t="shared" si="33"/>
        <v>46.2641762258</v>
      </c>
      <c r="M324" s="39">
        <f t="shared" si="34"/>
        <v>-84.188506408200013</v>
      </c>
      <c r="N324">
        <f t="shared" si="27"/>
        <v>6.0960000000000001</v>
      </c>
      <c r="O324" s="39">
        <f t="shared" si="38"/>
        <v>5.4864000000000006</v>
      </c>
      <c r="P324" s="39">
        <f t="shared" si="29"/>
        <v>0.60959999999999948</v>
      </c>
      <c r="S324" s="39" t="s">
        <v>162</v>
      </c>
      <c r="T324" s="39">
        <v>69</v>
      </c>
      <c r="U324" s="39">
        <f t="shared" si="39"/>
        <v>122448</v>
      </c>
      <c r="AE324" s="39" t="s">
        <v>336</v>
      </c>
      <c r="AF324" s="39" t="s">
        <v>108</v>
      </c>
      <c r="AG324" s="39" t="s">
        <v>179</v>
      </c>
      <c r="AH324" s="21" t="s">
        <v>108</v>
      </c>
      <c r="AI324" s="32">
        <v>41834</v>
      </c>
      <c r="AJ324" s="1" t="s">
        <v>379</v>
      </c>
      <c r="AK324" s="1" t="s">
        <v>445</v>
      </c>
      <c r="AL324" s="1" t="s">
        <v>361</v>
      </c>
      <c r="AM324" s="1" t="s">
        <v>288</v>
      </c>
      <c r="AN324" s="39" t="s">
        <v>380</v>
      </c>
      <c r="AO324">
        <v>122448</v>
      </c>
      <c r="AP324" s="39" t="s">
        <v>235</v>
      </c>
      <c r="AQ324" t="s">
        <v>389</v>
      </c>
      <c r="AR324" s="33">
        <v>0.52083333333333337</v>
      </c>
      <c r="AS324" s="40">
        <f t="shared" si="36"/>
        <v>41834.520833333336</v>
      </c>
      <c r="AT324" s="35">
        <v>46.2641762258</v>
      </c>
      <c r="AU324" s="35">
        <v>-84.188506408200013</v>
      </c>
      <c r="AV324">
        <v>20</v>
      </c>
      <c r="AW324" s="39" t="s">
        <v>390</v>
      </c>
      <c r="AX324" s="39">
        <v>2</v>
      </c>
      <c r="AY324" s="39">
        <f t="shared" si="37"/>
        <v>18</v>
      </c>
      <c r="AZ324" t="s">
        <v>440</v>
      </c>
    </row>
    <row r="325" spans="1:53" x14ac:dyDescent="0.25">
      <c r="A325" t="str">
        <f t="shared" si="30"/>
        <v>DCK</v>
      </c>
      <c r="C325" s="41" t="str">
        <f t="shared" si="31"/>
        <v>003</v>
      </c>
      <c r="D325">
        <v>4</v>
      </c>
      <c r="I325" s="18">
        <v>41834.716666666667</v>
      </c>
      <c r="J325" s="19">
        <f t="shared" si="32"/>
        <v>41834.550000000003</v>
      </c>
      <c r="K325" s="39" t="s">
        <v>161</v>
      </c>
      <c r="L325" s="39">
        <f t="shared" si="33"/>
        <v>46.358724962399997</v>
      </c>
      <c r="M325" s="39">
        <f t="shared" si="34"/>
        <v>-84.135213793399998</v>
      </c>
      <c r="N325">
        <f t="shared" si="27"/>
        <v>6.0960000000000001</v>
      </c>
      <c r="O325" s="39">
        <f t="shared" si="38"/>
        <v>5.1816000000000004</v>
      </c>
      <c r="P325" s="39">
        <f t="shared" si="29"/>
        <v>0.91439999999999966</v>
      </c>
      <c r="S325" s="39" t="s">
        <v>162</v>
      </c>
      <c r="T325" s="39">
        <v>69</v>
      </c>
      <c r="U325" s="39">
        <f t="shared" si="39"/>
        <v>109923</v>
      </c>
      <c r="AE325" s="39" t="s">
        <v>336</v>
      </c>
      <c r="AF325" s="39" t="s">
        <v>108</v>
      </c>
      <c r="AG325" s="39" t="s">
        <v>179</v>
      </c>
      <c r="AH325" s="21" t="s">
        <v>108</v>
      </c>
      <c r="AI325" s="32">
        <v>41834</v>
      </c>
      <c r="AJ325" s="1" t="s">
        <v>379</v>
      </c>
      <c r="AK325" s="1" t="s">
        <v>445</v>
      </c>
      <c r="AL325" s="1" t="s">
        <v>361</v>
      </c>
      <c r="AM325" s="1" t="s">
        <v>224</v>
      </c>
      <c r="AN325" s="39" t="s">
        <v>380</v>
      </c>
      <c r="AO325">
        <v>109923</v>
      </c>
      <c r="AP325" s="39" t="s">
        <v>235</v>
      </c>
      <c r="AQ325" t="s">
        <v>389</v>
      </c>
      <c r="AR325" s="33">
        <v>0.54999999999999993</v>
      </c>
      <c r="AS325" s="40">
        <f t="shared" si="36"/>
        <v>41834.550000000003</v>
      </c>
      <c r="AT325" s="35">
        <v>46.358724962399997</v>
      </c>
      <c r="AU325" s="35">
        <v>-84.135213793399998</v>
      </c>
      <c r="AV325">
        <v>20</v>
      </c>
      <c r="AW325" s="39" t="s">
        <v>390</v>
      </c>
      <c r="AX325" s="39">
        <v>3</v>
      </c>
      <c r="AY325" s="39">
        <f t="shared" si="37"/>
        <v>17</v>
      </c>
      <c r="AZ325" t="s">
        <v>439</v>
      </c>
    </row>
    <row r="326" spans="1:53" x14ac:dyDescent="0.25">
      <c r="A326" t="str">
        <f t="shared" si="30"/>
        <v>DCK</v>
      </c>
      <c r="C326" s="41" t="str">
        <f t="shared" si="31"/>
        <v>001</v>
      </c>
      <c r="D326">
        <v>6</v>
      </c>
      <c r="I326" s="18">
        <v>41834.722916666666</v>
      </c>
      <c r="J326" s="19">
        <f t="shared" si="32"/>
        <v>41834.556250000001</v>
      </c>
      <c r="K326" s="39" t="s">
        <v>161</v>
      </c>
      <c r="L326" s="39">
        <f t="shared" si="33"/>
        <v>46.360232540199995</v>
      </c>
      <c r="M326" s="39">
        <f t="shared" si="34"/>
        <v>-84.1295008564</v>
      </c>
      <c r="N326">
        <f t="shared" si="27"/>
        <v>6.4008000000000003</v>
      </c>
      <c r="O326" s="39">
        <f t="shared" si="38"/>
        <v>5.4864000000000006</v>
      </c>
      <c r="P326" s="39">
        <f t="shared" si="29"/>
        <v>0.91439999999999966</v>
      </c>
      <c r="S326" s="39" t="s">
        <v>162</v>
      </c>
      <c r="T326" s="39">
        <v>69</v>
      </c>
      <c r="U326" s="39">
        <f t="shared" si="39"/>
        <v>109457</v>
      </c>
      <c r="AE326" s="39" t="s">
        <v>336</v>
      </c>
      <c r="AF326" s="39" t="s">
        <v>108</v>
      </c>
      <c r="AG326" s="39" t="s">
        <v>179</v>
      </c>
      <c r="AH326" s="21" t="s">
        <v>108</v>
      </c>
      <c r="AI326" s="32">
        <v>41834</v>
      </c>
      <c r="AJ326" s="1" t="s">
        <v>379</v>
      </c>
      <c r="AK326" s="1" t="s">
        <v>445</v>
      </c>
      <c r="AL326" s="1" t="s">
        <v>361</v>
      </c>
      <c r="AM326" s="1" t="s">
        <v>221</v>
      </c>
      <c r="AN326" s="39" t="s">
        <v>380</v>
      </c>
      <c r="AO326">
        <v>109457</v>
      </c>
      <c r="AP326" s="39" t="s">
        <v>235</v>
      </c>
      <c r="AQ326" t="s">
        <v>389</v>
      </c>
      <c r="AR326" s="33">
        <v>0.55625000000000002</v>
      </c>
      <c r="AS326" s="40">
        <f t="shared" si="36"/>
        <v>41834.556250000001</v>
      </c>
      <c r="AT326" s="35">
        <v>46.360232540199995</v>
      </c>
      <c r="AU326" s="35">
        <v>-84.1295008564</v>
      </c>
      <c r="AV326">
        <v>21</v>
      </c>
      <c r="AW326" s="39" t="s">
        <v>390</v>
      </c>
      <c r="AX326" s="39">
        <v>3</v>
      </c>
      <c r="AY326" s="39">
        <f t="shared" si="37"/>
        <v>18</v>
      </c>
      <c r="AZ326" t="s">
        <v>439</v>
      </c>
      <c r="BA326" t="s">
        <v>448</v>
      </c>
    </row>
    <row r="327" spans="1:53" x14ac:dyDescent="0.25">
      <c r="A327" t="str">
        <f t="shared" si="30"/>
        <v>MNB</v>
      </c>
      <c r="C327" s="41" t="str">
        <f t="shared" si="31"/>
        <v>010</v>
      </c>
      <c r="D327">
        <v>2</v>
      </c>
      <c r="I327" s="18">
        <v>41834.736805555556</v>
      </c>
      <c r="J327" s="19">
        <f t="shared" si="32"/>
        <v>41834.570138888892</v>
      </c>
      <c r="K327" s="39" t="s">
        <v>161</v>
      </c>
      <c r="L327" s="39">
        <f t="shared" si="33"/>
        <v>46.322644941200004</v>
      </c>
      <c r="M327" s="39">
        <f t="shared" si="34"/>
        <v>-84.144686495800016</v>
      </c>
      <c r="N327">
        <f t="shared" si="27"/>
        <v>5.4864000000000006</v>
      </c>
      <c r="O327" s="39">
        <f t="shared" si="38"/>
        <v>4.8768000000000002</v>
      </c>
      <c r="P327" s="39">
        <f t="shared" si="29"/>
        <v>0.60960000000000036</v>
      </c>
      <c r="S327" s="39" t="s">
        <v>162</v>
      </c>
      <c r="T327" s="39">
        <v>69</v>
      </c>
      <c r="U327" s="39">
        <f t="shared" si="39"/>
        <v>113220</v>
      </c>
      <c r="AE327" s="39" t="s">
        <v>336</v>
      </c>
      <c r="AF327" s="39" t="s">
        <v>108</v>
      </c>
      <c r="AG327" s="39" t="s">
        <v>179</v>
      </c>
      <c r="AH327" s="21" t="s">
        <v>108</v>
      </c>
      <c r="AI327" s="32">
        <v>41834</v>
      </c>
      <c r="AJ327" s="1" t="s">
        <v>379</v>
      </c>
      <c r="AK327" s="1" t="s">
        <v>445</v>
      </c>
      <c r="AL327" s="1" t="s">
        <v>361</v>
      </c>
      <c r="AM327" s="1" t="s">
        <v>438</v>
      </c>
      <c r="AN327" s="39" t="s">
        <v>380</v>
      </c>
      <c r="AO327">
        <v>113220</v>
      </c>
      <c r="AP327" s="39" t="s">
        <v>235</v>
      </c>
      <c r="AQ327" t="s">
        <v>389</v>
      </c>
      <c r="AR327" s="33">
        <v>0.57013888888888886</v>
      </c>
      <c r="AS327" s="40">
        <f t="shared" si="36"/>
        <v>41834.570138888892</v>
      </c>
      <c r="AT327" s="35">
        <v>46.322644941200004</v>
      </c>
      <c r="AU327" s="35">
        <v>-84.144686495800016</v>
      </c>
      <c r="AV327">
        <v>18</v>
      </c>
      <c r="AW327" s="39" t="s">
        <v>390</v>
      </c>
      <c r="AX327" s="39">
        <v>2</v>
      </c>
      <c r="AY327" s="39">
        <f t="shared" si="37"/>
        <v>16</v>
      </c>
      <c r="AZ327" t="s">
        <v>446</v>
      </c>
    </row>
    <row r="328" spans="1:53" x14ac:dyDescent="0.25">
      <c r="A328" t="str">
        <f t="shared" si="30"/>
        <v>MNB</v>
      </c>
      <c r="C328" s="41" t="str">
        <f t="shared" si="31"/>
        <v>011</v>
      </c>
      <c r="D328">
        <v>2</v>
      </c>
      <c r="I328" s="18">
        <v>41834.754861111112</v>
      </c>
      <c r="J328" s="19">
        <f t="shared" si="32"/>
        <v>41834.588194444441</v>
      </c>
      <c r="K328" s="39" t="s">
        <v>161</v>
      </c>
      <c r="L328" s="39">
        <f t="shared" si="33"/>
        <v>46.330174942749998</v>
      </c>
      <c r="M328" s="39">
        <f t="shared" si="34"/>
        <v>-84.172707258000003</v>
      </c>
      <c r="N328">
        <f t="shared" si="27"/>
        <v>7.0104000000000006</v>
      </c>
      <c r="O328" s="39">
        <f t="shared" si="38"/>
        <v>6.4008000000000003</v>
      </c>
      <c r="P328" s="39">
        <f t="shared" si="29"/>
        <v>0.60960000000000036</v>
      </c>
      <c r="S328" s="39" t="s">
        <v>162</v>
      </c>
      <c r="T328" s="39">
        <v>69</v>
      </c>
      <c r="U328" s="39">
        <f t="shared" si="39"/>
        <v>106324</v>
      </c>
      <c r="AE328" s="39" t="s">
        <v>336</v>
      </c>
      <c r="AF328" s="39" t="s">
        <v>108</v>
      </c>
      <c r="AG328" s="39" t="s">
        <v>179</v>
      </c>
      <c r="AH328" s="21" t="s">
        <v>108</v>
      </c>
      <c r="AI328" s="32">
        <v>41834</v>
      </c>
      <c r="AJ328" s="1" t="s">
        <v>379</v>
      </c>
      <c r="AK328" s="1" t="s">
        <v>445</v>
      </c>
      <c r="AL328" s="1" t="s">
        <v>361</v>
      </c>
      <c r="AM328" s="1" t="s">
        <v>437</v>
      </c>
      <c r="AN328" s="39" t="s">
        <v>380</v>
      </c>
      <c r="AO328">
        <v>106324</v>
      </c>
      <c r="AP328" s="39" t="s">
        <v>235</v>
      </c>
      <c r="AQ328" t="s">
        <v>389</v>
      </c>
      <c r="AR328" s="33">
        <v>0.58819444444444446</v>
      </c>
      <c r="AS328" s="40">
        <f t="shared" si="36"/>
        <v>41834.588194444441</v>
      </c>
      <c r="AT328" s="35">
        <v>46.330174942749998</v>
      </c>
      <c r="AU328" s="35">
        <v>-84.172707258000003</v>
      </c>
      <c r="AV328">
        <v>23</v>
      </c>
      <c r="AW328" s="39" t="s">
        <v>390</v>
      </c>
      <c r="AX328" s="39">
        <v>2</v>
      </c>
      <c r="AY328" s="39">
        <f t="shared" si="37"/>
        <v>21</v>
      </c>
      <c r="AZ328" t="s">
        <v>447</v>
      </c>
    </row>
  </sheetData>
  <sortState ref="A3:AZ328">
    <sortCondition ref="I2:I328"/>
  </sortState>
  <customSheetViews>
    <customSheetView guid="{E035D73C-6DE8-4728-BCA6-2ACE00DC88C2}">
      <selection activeCell="E8" sqref="E8"/>
      <pageMargins left="0.7" right="0.7" top="0.75" bottom="0.75" header="0.3" footer="0.3"/>
    </customSheetView>
    <customSheetView guid="{0B94B745-F070-4122-A4FD-5713832B364A}">
      <selection activeCell="E8" sqref="E8"/>
      <pageMargins left="0.7" right="0.7" top="0.75" bottom="0.75" header="0.3" footer="0.3"/>
    </customSheetView>
    <customSheetView guid="{EFF2F100-1E68-4EDA-87D3-99AEFF2EEB3E}">
      <pane ySplit="2" topLeftCell="A3" activePane="bottomLeft" state="frozenSplit"/>
      <selection pane="bottomLeft" activeCell="C2" sqref="C2"/>
      <pageMargins left="0.7" right="0.7" top="0.75" bottom="0.75" header="0.3" footer="0.3"/>
    </customSheetView>
    <customSheetView guid="{775315B8-81A0-46D0-A21B-5042A6D17E8A}">
      <pageMargins left="0.7" right="0.7" top="0.75" bottom="0.75" header="0.3" footer="0.3"/>
    </customSheetView>
    <customSheetView guid="{30D09489-9F7F-4F99-80CC-972D52CE044F}">
      <selection activeCell="E7" sqref="E7"/>
      <pageMargins left="0.7" right="0.7" top="0.75" bottom="0.75" header="0.3" footer="0.3"/>
    </customSheetView>
    <customSheetView guid="{732025B7-2BD2-4974-B1FD-67C3CE0944B1}" hiddenColumns="1">
      <pane ySplit="2" topLeftCell="A3" activePane="bottomLeft" state="frozenSplit"/>
      <selection pane="bottomLeft" activeCell="E4" sqref="E4"/>
      <pageMargins left="0.7" right="0.7" top="0.75" bottom="0.75" header="0.3" footer="0.3"/>
    </customSheetView>
    <customSheetView guid="{4A0EEECC-BF7F-4C3E-AC2A-DEB5263DBBAE}">
      <selection activeCell="E8" sqref="E8"/>
      <pageMargins left="0.7" right="0.7" top="0.75" bottom="0.75" header="0.3" footer="0.3"/>
    </customSheetView>
    <customSheetView guid="{BECCC96E-1854-41BE-8C23-F96A36206D6D}">
      <selection activeCell="E8" sqref="E8"/>
      <pageMargins left="0.7" right="0.7" top="0.75" bottom="0.75" header="0.3" footer="0.3"/>
    </customSheetView>
    <customSheetView guid="{BFE66E2E-FE12-4330-B1B7-C7EB0B371589}">
      <selection activeCell="E8" sqref="E8"/>
      <pageMargins left="0.7" right="0.7" top="0.75" bottom="0.75" header="0.3" footer="0.3"/>
    </customSheetView>
  </customSheetViews>
  <mergeCells count="1">
    <mergeCell ref="A1:A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heckBox1">
          <controlPr autoLine="0" r:id="rId5">
            <anchor moveWithCells="1">
              <from>
                <xdr:col>0</xdr:col>
                <xdr:colOff>19050</xdr:colOff>
                <xdr:row>0</xdr:row>
                <xdr:rowOff>304800</xdr:rowOff>
              </from>
              <to>
                <xdr:col>2</xdr:col>
                <xdr:colOff>142875</xdr:colOff>
                <xdr:row>0</xdr:row>
                <xdr:rowOff>571500</xdr:rowOff>
              </to>
            </anchor>
          </controlPr>
        </control>
      </mc:Choice>
      <mc:Fallback>
        <control shapeId="3074" r:id="rId4" name="CheckBox1"/>
      </mc:Fallback>
    </mc:AlternateContent>
    <mc:AlternateContent xmlns:mc="http://schemas.openxmlformats.org/markup-compatibility/2006">
      <mc:Choice Requires="x14">
        <control shapeId="3075" r:id="rId6" name="Label1">
          <controlPr autoLine="0" r:id="rId7">
            <anchor moveWithCells="1">
              <from>
                <xdr:col>0</xdr:col>
                <xdr:colOff>19050</xdr:colOff>
                <xdr:row>0</xdr:row>
                <xdr:rowOff>76200</xdr:rowOff>
              </from>
              <to>
                <xdr:col>2</xdr:col>
                <xdr:colOff>257175</xdr:colOff>
                <xdr:row>0</xdr:row>
                <xdr:rowOff>247650</xdr:rowOff>
              </to>
            </anchor>
          </controlPr>
        </control>
      </mc:Choice>
      <mc:Fallback>
        <control shapeId="3075" r:id="rId6" name="Label1"/>
      </mc:Fallback>
    </mc:AlternateContent>
    <mc:AlternateContent xmlns:mc="http://schemas.openxmlformats.org/markup-compatibility/2006">
      <mc:Choice Requires="x14">
        <control shapeId="3076" r:id="rId8" name="Label2">
          <controlPr autoLine="0" r:id="rId9">
            <anchor moveWithCells="1">
              <from>
                <xdr:col>33</xdr:col>
                <xdr:colOff>47625</xdr:colOff>
                <xdr:row>0</xdr:row>
                <xdr:rowOff>85725</xdr:rowOff>
              </from>
              <to>
                <xdr:col>37</xdr:col>
                <xdr:colOff>542925</xdr:colOff>
                <xdr:row>0</xdr:row>
                <xdr:rowOff>295275</xdr:rowOff>
              </to>
            </anchor>
          </controlPr>
        </control>
      </mc:Choice>
      <mc:Fallback>
        <control shapeId="3076" r:id="rId8" name="Label2"/>
      </mc:Fallback>
    </mc:AlternateContent>
    <mc:AlternateContent xmlns:mc="http://schemas.openxmlformats.org/markup-compatibility/2006">
      <mc:Choice Requires="x14">
        <control shapeId="3110" r:id="rId10" name="Button 38">
          <controlPr defaultSize="0" print="0" autoFill="0" autoPict="0" macro="[0]!Sheet3.fill_DEPLOY_DATE_TIME">
            <anchor moveWithCells="1" sizeWithCells="1">
              <from>
                <xdr:col>8</xdr:col>
                <xdr:colOff>47625</xdr:colOff>
                <xdr:row>0</xdr:row>
                <xdr:rowOff>219075</xdr:rowOff>
              </from>
              <to>
                <xdr:col>8</xdr:col>
                <xdr:colOff>1219200</xdr:colOff>
                <xdr:row>0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11" name="Button 39">
          <controlPr defaultSize="0" print="0" autoFill="0" autoPict="0" macro="[0]!update_CONSECUTIVE_DEPLOY_NO">
            <anchor moveWithCells="1" sizeWithCells="1">
              <from>
                <xdr:col>3</xdr:col>
                <xdr:colOff>47625</xdr:colOff>
                <xdr:row>0</xdr:row>
                <xdr:rowOff>219075</xdr:rowOff>
              </from>
              <to>
                <xdr:col>3</xdr:col>
                <xdr:colOff>1590675</xdr:colOff>
                <xdr:row>0</xdr:row>
                <xdr:rowOff>638175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M321"/>
  <sheetViews>
    <sheetView topLeftCell="F1" workbookViewId="0">
      <pane ySplit="2" topLeftCell="A300" activePane="bottomLeft" state="frozenSplit"/>
      <selection pane="bottomLeft" activeCell="P321" sqref="P321:Q321"/>
    </sheetView>
  </sheetViews>
  <sheetFormatPr defaultRowHeight="15" x14ac:dyDescent="0.25"/>
  <cols>
    <col min="1" max="1" width="14.85546875" bestFit="1" customWidth="1"/>
    <col min="2" max="2" width="11.7109375" customWidth="1"/>
    <col min="3" max="3" width="12.5703125" bestFit="1" customWidth="1"/>
    <col min="4" max="4" width="25.28515625" customWidth="1"/>
    <col min="5" max="5" width="16.5703125" customWidth="1"/>
    <col min="6" max="6" width="12.85546875" customWidth="1"/>
    <col min="7" max="8" width="20.28515625" customWidth="1"/>
    <col min="9" max="9" width="19.85546875" customWidth="1"/>
    <col min="10" max="10" width="11.42578125" customWidth="1"/>
    <col min="11" max="11" width="20.28515625" style="18" customWidth="1"/>
    <col min="12" max="12" width="28.42578125" style="19" customWidth="1"/>
    <col min="13" max="13" width="18.28515625" customWidth="1"/>
    <col min="14" max="14" width="13.42578125" customWidth="1"/>
    <col min="15" max="15" width="15.28515625" customWidth="1"/>
    <col min="16" max="16" width="16.5703125" bestFit="1" customWidth="1"/>
    <col min="17" max="17" width="12.28515625" bestFit="1" customWidth="1"/>
    <col min="18" max="18" width="14" style="21" customWidth="1"/>
    <col min="19" max="19" width="9.7109375" style="32" bestFit="1" customWidth="1"/>
    <col min="22" max="22" width="9.7109375" bestFit="1" customWidth="1"/>
    <col min="28" max="28" width="11.5703125" style="43" bestFit="1" customWidth="1"/>
    <col min="29" max="29" width="13.85546875" style="45" bestFit="1" customWidth="1"/>
  </cols>
  <sheetData>
    <row r="1" spans="1:39" ht="54.9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22"/>
    </row>
    <row r="2" spans="1:39" s="15" customFormat="1" x14ac:dyDescent="0.25">
      <c r="A2" s="16" t="s">
        <v>2</v>
      </c>
      <c r="B2" s="15" t="s">
        <v>4</v>
      </c>
      <c r="C2" s="16" t="s">
        <v>6</v>
      </c>
      <c r="D2" s="24" t="s">
        <v>9</v>
      </c>
      <c r="E2" s="15" t="s">
        <v>13</v>
      </c>
      <c r="F2" s="15" t="s">
        <v>17</v>
      </c>
      <c r="G2" s="15" t="s">
        <v>21</v>
      </c>
      <c r="H2" s="15" t="s">
        <v>24</v>
      </c>
      <c r="I2" s="16" t="s">
        <v>28</v>
      </c>
      <c r="J2" s="15" t="s">
        <v>32</v>
      </c>
      <c r="K2" s="15" t="s">
        <v>36</v>
      </c>
      <c r="L2" s="16" t="s">
        <v>40</v>
      </c>
      <c r="M2" s="16" t="s">
        <v>35</v>
      </c>
      <c r="N2" s="15" t="s">
        <v>44</v>
      </c>
      <c r="O2" s="15" t="s">
        <v>47</v>
      </c>
      <c r="P2" s="16" t="s">
        <v>34</v>
      </c>
      <c r="Q2" s="16" t="s">
        <v>38</v>
      </c>
      <c r="R2" s="15" t="s">
        <v>362</v>
      </c>
      <c r="S2" s="42" t="s">
        <v>359</v>
      </c>
      <c r="T2" s="15" t="s">
        <v>363</v>
      </c>
      <c r="U2" s="15" t="s">
        <v>364</v>
      </c>
      <c r="V2" s="15" t="s">
        <v>365</v>
      </c>
      <c r="W2" s="15" t="s">
        <v>366</v>
      </c>
      <c r="X2" s="15" t="s">
        <v>367</v>
      </c>
      <c r="Y2" s="15" t="s">
        <v>368</v>
      </c>
      <c r="Z2" s="15" t="s">
        <v>369</v>
      </c>
      <c r="AA2" s="15" t="s">
        <v>370</v>
      </c>
      <c r="AB2" s="44" t="s">
        <v>360</v>
      </c>
      <c r="AC2" s="46" t="s">
        <v>371</v>
      </c>
      <c r="AD2" s="15" t="s">
        <v>372</v>
      </c>
      <c r="AE2" s="15" t="s">
        <v>373</v>
      </c>
      <c r="AF2" s="15" t="s">
        <v>374</v>
      </c>
      <c r="AG2" s="15" t="s">
        <v>375</v>
      </c>
      <c r="AH2" s="15" t="s">
        <v>376</v>
      </c>
      <c r="AI2" s="15" t="s">
        <v>377</v>
      </c>
      <c r="AJ2" s="15" t="s">
        <v>323</v>
      </c>
      <c r="AK2" s="15" t="s">
        <v>74</v>
      </c>
      <c r="AL2" s="15" t="s">
        <v>378</v>
      </c>
      <c r="AM2" s="15" t="s">
        <v>74</v>
      </c>
    </row>
    <row r="3" spans="1:39" x14ac:dyDescent="0.25">
      <c r="A3" t="s">
        <v>154</v>
      </c>
      <c r="C3" t="s">
        <v>165</v>
      </c>
      <c r="D3">
        <v>1</v>
      </c>
      <c r="I3">
        <v>106324</v>
      </c>
      <c r="K3" s="18">
        <v>40283.874305555553</v>
      </c>
      <c r="L3" s="19">
        <v>40283.707638888889</v>
      </c>
      <c r="M3" t="s">
        <v>161</v>
      </c>
      <c r="P3" t="s">
        <v>108</v>
      </c>
      <c r="Q3" t="s">
        <v>164</v>
      </c>
    </row>
    <row r="4" spans="1:39" x14ac:dyDescent="0.25">
      <c r="A4" t="s">
        <v>154</v>
      </c>
      <c r="C4" t="s">
        <v>160</v>
      </c>
      <c r="D4">
        <v>1</v>
      </c>
      <c r="I4">
        <v>109125</v>
      </c>
      <c r="K4" s="18">
        <v>40283.884027777778</v>
      </c>
      <c r="L4" s="19">
        <v>40283.717361111114</v>
      </c>
      <c r="M4" t="s">
        <v>161</v>
      </c>
      <c r="P4" t="s">
        <v>108</v>
      </c>
      <c r="Q4" t="s">
        <v>164</v>
      </c>
    </row>
    <row r="5" spans="1:39" x14ac:dyDescent="0.25">
      <c r="A5" t="s">
        <v>154</v>
      </c>
      <c r="C5" t="s">
        <v>166</v>
      </c>
      <c r="D5">
        <v>1</v>
      </c>
      <c r="I5">
        <v>109121</v>
      </c>
      <c r="K5" s="18">
        <v>40283.895138888889</v>
      </c>
      <c r="L5" s="19">
        <v>40283.728472222225</v>
      </c>
      <c r="M5" t="s">
        <v>161</v>
      </c>
      <c r="P5" t="s">
        <v>108</v>
      </c>
      <c r="Q5" t="s">
        <v>164</v>
      </c>
    </row>
    <row r="6" spans="1:39" x14ac:dyDescent="0.25">
      <c r="A6" t="s">
        <v>142</v>
      </c>
      <c r="C6" t="s">
        <v>178</v>
      </c>
      <c r="D6">
        <v>1</v>
      </c>
      <c r="I6">
        <v>109408</v>
      </c>
      <c r="K6" s="18">
        <v>40287.619444444441</v>
      </c>
      <c r="L6" s="19">
        <v>40287.452777777777</v>
      </c>
      <c r="M6" t="s">
        <v>161</v>
      </c>
      <c r="P6" t="s">
        <v>108</v>
      </c>
      <c r="Q6" t="s">
        <v>179</v>
      </c>
    </row>
    <row r="7" spans="1:39" x14ac:dyDescent="0.25">
      <c r="A7" t="s">
        <v>126</v>
      </c>
      <c r="C7" t="s">
        <v>177</v>
      </c>
      <c r="D7">
        <v>1</v>
      </c>
      <c r="I7">
        <v>109417</v>
      </c>
      <c r="K7" s="18">
        <v>40294.958333333336</v>
      </c>
      <c r="L7" s="19">
        <v>40294.791666666664</v>
      </c>
      <c r="M7" t="s">
        <v>161</v>
      </c>
      <c r="P7" t="s">
        <v>108</v>
      </c>
      <c r="Q7" t="s">
        <v>164</v>
      </c>
    </row>
    <row r="8" spans="1:39" x14ac:dyDescent="0.25">
      <c r="A8" t="s">
        <v>134</v>
      </c>
      <c r="C8" t="s">
        <v>181</v>
      </c>
      <c r="D8">
        <v>1</v>
      </c>
      <c r="I8">
        <v>109465</v>
      </c>
      <c r="K8" s="18">
        <v>40295.60833333333</v>
      </c>
      <c r="L8" s="19">
        <v>40295.441666666666</v>
      </c>
      <c r="M8" t="s">
        <v>161</v>
      </c>
      <c r="P8" t="s">
        <v>108</v>
      </c>
      <c r="Q8" t="s">
        <v>164</v>
      </c>
    </row>
    <row r="9" spans="1:39" x14ac:dyDescent="0.25">
      <c r="A9" t="s">
        <v>134</v>
      </c>
      <c r="C9" t="s">
        <v>178</v>
      </c>
      <c r="D9">
        <v>1</v>
      </c>
      <c r="I9">
        <v>109436</v>
      </c>
      <c r="K9" s="18">
        <v>40295.647222222222</v>
      </c>
      <c r="L9" s="19">
        <v>40295.480555555558</v>
      </c>
      <c r="M9" t="s">
        <v>161</v>
      </c>
      <c r="P9" t="s">
        <v>108</v>
      </c>
      <c r="Q9" t="s">
        <v>164</v>
      </c>
    </row>
    <row r="10" spans="1:39" x14ac:dyDescent="0.25">
      <c r="A10" t="s">
        <v>146</v>
      </c>
      <c r="C10" t="s">
        <v>181</v>
      </c>
      <c r="D10">
        <v>1</v>
      </c>
      <c r="I10">
        <v>109464</v>
      </c>
      <c r="K10" s="18">
        <v>40295.708333333336</v>
      </c>
      <c r="L10" s="19">
        <v>40295.541666666664</v>
      </c>
      <c r="M10" t="s">
        <v>161</v>
      </c>
      <c r="P10" t="s">
        <v>108</v>
      </c>
      <c r="Q10" t="s">
        <v>164</v>
      </c>
    </row>
    <row r="11" spans="1:39" x14ac:dyDescent="0.25">
      <c r="A11" t="s">
        <v>146</v>
      </c>
      <c r="C11" t="s">
        <v>178</v>
      </c>
      <c r="D11">
        <v>1</v>
      </c>
      <c r="I11">
        <v>109410</v>
      </c>
      <c r="K11" s="18">
        <v>40295.732638888891</v>
      </c>
      <c r="L11" s="19">
        <v>40295.565972222219</v>
      </c>
      <c r="M11" t="s">
        <v>161</v>
      </c>
      <c r="P11" t="s">
        <v>108</v>
      </c>
      <c r="Q11" t="s">
        <v>164</v>
      </c>
      <c r="AM11" s="39"/>
    </row>
    <row r="12" spans="1:39" x14ac:dyDescent="0.25">
      <c r="A12" t="s">
        <v>146</v>
      </c>
      <c r="C12" t="s">
        <v>177</v>
      </c>
      <c r="D12">
        <v>1</v>
      </c>
      <c r="I12">
        <v>109421</v>
      </c>
      <c r="K12" s="18">
        <v>40295.750694444447</v>
      </c>
      <c r="L12" s="19">
        <v>40295.584027777775</v>
      </c>
      <c r="M12" t="s">
        <v>161</v>
      </c>
      <c r="P12" t="s">
        <v>108</v>
      </c>
      <c r="Q12" t="s">
        <v>164</v>
      </c>
    </row>
    <row r="13" spans="1:39" x14ac:dyDescent="0.25">
      <c r="A13" t="s">
        <v>126</v>
      </c>
      <c r="C13" t="s">
        <v>178</v>
      </c>
      <c r="D13">
        <v>1</v>
      </c>
      <c r="I13">
        <v>109442</v>
      </c>
      <c r="K13" s="18">
        <v>40295.835416666669</v>
      </c>
      <c r="L13" s="19">
        <v>40295.668749999997</v>
      </c>
      <c r="M13" t="s">
        <v>161</v>
      </c>
      <c r="P13" t="s">
        <v>108</v>
      </c>
      <c r="Q13" t="s">
        <v>164</v>
      </c>
    </row>
    <row r="14" spans="1:39" x14ac:dyDescent="0.25">
      <c r="A14" t="s">
        <v>118</v>
      </c>
      <c r="C14" t="s">
        <v>183</v>
      </c>
      <c r="D14">
        <v>1</v>
      </c>
      <c r="I14">
        <v>109457</v>
      </c>
      <c r="K14" s="18">
        <v>40296.5</v>
      </c>
      <c r="L14" s="19">
        <v>40296.333333333336</v>
      </c>
      <c r="M14" t="s">
        <v>161</v>
      </c>
      <c r="P14" t="s">
        <v>108</v>
      </c>
      <c r="Q14" t="s">
        <v>164</v>
      </c>
    </row>
    <row r="15" spans="1:39" x14ac:dyDescent="0.25">
      <c r="A15" t="s">
        <v>118</v>
      </c>
      <c r="C15" t="s">
        <v>178</v>
      </c>
      <c r="D15">
        <v>1</v>
      </c>
      <c r="I15">
        <v>109450</v>
      </c>
      <c r="K15" s="18">
        <v>40296.522222222222</v>
      </c>
      <c r="L15" s="19">
        <v>40296.355555555558</v>
      </c>
      <c r="M15" t="s">
        <v>161</v>
      </c>
      <c r="P15" t="s">
        <v>108</v>
      </c>
      <c r="Q15" t="s">
        <v>164</v>
      </c>
    </row>
    <row r="16" spans="1:39" x14ac:dyDescent="0.25">
      <c r="A16" t="s">
        <v>118</v>
      </c>
      <c r="C16" t="s">
        <v>183</v>
      </c>
      <c r="D16">
        <v>2</v>
      </c>
      <c r="I16">
        <v>109457</v>
      </c>
      <c r="K16" s="18">
        <v>40296.546527777777</v>
      </c>
      <c r="L16" s="19">
        <v>40296.379861111112</v>
      </c>
      <c r="M16" t="s">
        <v>161</v>
      </c>
      <c r="P16" t="s">
        <v>108</v>
      </c>
      <c r="Q16" t="s">
        <v>164</v>
      </c>
    </row>
    <row r="17" spans="1:17" x14ac:dyDescent="0.25">
      <c r="A17" t="s">
        <v>118</v>
      </c>
      <c r="C17" t="s">
        <v>177</v>
      </c>
      <c r="D17">
        <v>1</v>
      </c>
      <c r="I17">
        <v>109409</v>
      </c>
      <c r="K17" s="18">
        <v>40296.55972222222</v>
      </c>
      <c r="L17" s="19">
        <v>40296.393055555556</v>
      </c>
      <c r="M17" t="s">
        <v>161</v>
      </c>
      <c r="P17" t="s">
        <v>108</v>
      </c>
      <c r="Q17" t="s">
        <v>164</v>
      </c>
    </row>
    <row r="18" spans="1:17" x14ac:dyDescent="0.25">
      <c r="A18" t="s">
        <v>118</v>
      </c>
      <c r="C18" t="s">
        <v>182</v>
      </c>
      <c r="D18">
        <v>1</v>
      </c>
      <c r="I18">
        <v>109440</v>
      </c>
      <c r="K18" s="18">
        <v>40296.574999999997</v>
      </c>
      <c r="L18" s="19">
        <v>40296.408333333333</v>
      </c>
      <c r="M18" t="s">
        <v>161</v>
      </c>
      <c r="P18" t="s">
        <v>108</v>
      </c>
      <c r="Q18" t="s">
        <v>164</v>
      </c>
    </row>
    <row r="19" spans="1:17" x14ac:dyDescent="0.25">
      <c r="A19" t="s">
        <v>126</v>
      </c>
      <c r="C19" t="s">
        <v>178</v>
      </c>
      <c r="D19">
        <v>2</v>
      </c>
      <c r="I19">
        <v>109442</v>
      </c>
      <c r="K19" s="18">
        <v>40311.813194444447</v>
      </c>
      <c r="L19" s="19">
        <v>40311.646527777775</v>
      </c>
      <c r="M19" t="s">
        <v>161</v>
      </c>
      <c r="P19" t="s">
        <v>108</v>
      </c>
      <c r="Q19" t="s">
        <v>164</v>
      </c>
    </row>
    <row r="20" spans="1:17" x14ac:dyDescent="0.25">
      <c r="A20" t="s">
        <v>126</v>
      </c>
      <c r="C20" t="s">
        <v>177</v>
      </c>
      <c r="D20">
        <v>2</v>
      </c>
      <c r="I20">
        <v>109417</v>
      </c>
      <c r="K20" s="18">
        <v>40311.850694444445</v>
      </c>
      <c r="L20" s="19">
        <v>40311.684027777781</v>
      </c>
      <c r="M20" t="s">
        <v>161</v>
      </c>
      <c r="P20" t="s">
        <v>108</v>
      </c>
      <c r="Q20" t="s">
        <v>164</v>
      </c>
    </row>
    <row r="21" spans="1:17" x14ac:dyDescent="0.25">
      <c r="A21" t="s">
        <v>126</v>
      </c>
      <c r="C21" t="s">
        <v>182</v>
      </c>
      <c r="D21">
        <v>1</v>
      </c>
      <c r="I21">
        <v>109412</v>
      </c>
      <c r="K21" s="18">
        <v>40311.89166666667</v>
      </c>
      <c r="L21" s="19">
        <v>40311.724999999999</v>
      </c>
      <c r="M21" t="s">
        <v>161</v>
      </c>
      <c r="P21" t="s">
        <v>108</v>
      </c>
      <c r="Q21" t="s">
        <v>164</v>
      </c>
    </row>
    <row r="22" spans="1:17" x14ac:dyDescent="0.25">
      <c r="A22" t="s">
        <v>126</v>
      </c>
      <c r="C22" t="s">
        <v>181</v>
      </c>
      <c r="D22">
        <v>1</v>
      </c>
      <c r="I22">
        <v>109462</v>
      </c>
      <c r="K22" s="18">
        <v>40311.912499999999</v>
      </c>
      <c r="L22" s="19">
        <v>40311.745833333334</v>
      </c>
      <c r="M22" t="s">
        <v>161</v>
      </c>
      <c r="P22" t="s">
        <v>108</v>
      </c>
      <c r="Q22" t="s">
        <v>164</v>
      </c>
    </row>
    <row r="23" spans="1:17" x14ac:dyDescent="0.25">
      <c r="A23" t="s">
        <v>126</v>
      </c>
      <c r="C23" t="s">
        <v>177</v>
      </c>
      <c r="D23">
        <v>3</v>
      </c>
      <c r="I23">
        <v>109417</v>
      </c>
      <c r="K23" s="18">
        <v>40324.956250000003</v>
      </c>
      <c r="L23" s="19">
        <v>40324.789583333331</v>
      </c>
      <c r="M23" t="s">
        <v>161</v>
      </c>
      <c r="P23" t="s">
        <v>108</v>
      </c>
      <c r="Q23" t="s">
        <v>164</v>
      </c>
    </row>
    <row r="24" spans="1:17" x14ac:dyDescent="0.25">
      <c r="A24" t="s">
        <v>154</v>
      </c>
      <c r="C24" t="s">
        <v>183</v>
      </c>
      <c r="D24">
        <v>1</v>
      </c>
      <c r="I24">
        <v>109416</v>
      </c>
      <c r="K24" s="18">
        <v>40331.745833333334</v>
      </c>
      <c r="L24" s="19">
        <v>40331.57916666667</v>
      </c>
      <c r="M24" t="s">
        <v>161</v>
      </c>
      <c r="P24" t="s">
        <v>108</v>
      </c>
      <c r="Q24" t="s">
        <v>179</v>
      </c>
    </row>
    <row r="25" spans="1:17" x14ac:dyDescent="0.25">
      <c r="A25" t="s">
        <v>144</v>
      </c>
      <c r="C25" t="s">
        <v>178</v>
      </c>
      <c r="D25">
        <v>1</v>
      </c>
      <c r="I25">
        <v>109461</v>
      </c>
      <c r="K25" s="18">
        <v>40332.638888888891</v>
      </c>
      <c r="L25" s="19">
        <v>40332.472222222219</v>
      </c>
      <c r="M25" t="s">
        <v>161</v>
      </c>
      <c r="P25" t="s">
        <v>108</v>
      </c>
      <c r="Q25" t="s">
        <v>179</v>
      </c>
    </row>
    <row r="26" spans="1:17" x14ac:dyDescent="0.25">
      <c r="A26" t="s">
        <v>144</v>
      </c>
      <c r="C26" t="s">
        <v>177</v>
      </c>
      <c r="D26">
        <v>1</v>
      </c>
      <c r="I26">
        <v>109418</v>
      </c>
      <c r="K26" s="18">
        <v>40332.658333333333</v>
      </c>
      <c r="L26" s="19">
        <v>40332.491666666669</v>
      </c>
      <c r="M26" t="s">
        <v>161</v>
      </c>
      <c r="P26" t="s">
        <v>108</v>
      </c>
      <c r="Q26" t="s">
        <v>179</v>
      </c>
    </row>
    <row r="27" spans="1:17" x14ac:dyDescent="0.25">
      <c r="A27" t="s">
        <v>128</v>
      </c>
      <c r="C27" t="s">
        <v>178</v>
      </c>
      <c r="D27">
        <v>1</v>
      </c>
      <c r="I27">
        <v>109458</v>
      </c>
      <c r="K27" s="18">
        <v>40332.802083333336</v>
      </c>
      <c r="L27" s="19">
        <v>40332.635416666664</v>
      </c>
      <c r="M27" t="s">
        <v>161</v>
      </c>
      <c r="P27" t="s">
        <v>108</v>
      </c>
      <c r="Q27" t="s">
        <v>179</v>
      </c>
    </row>
    <row r="28" spans="1:17" x14ac:dyDescent="0.25">
      <c r="A28" t="s">
        <v>126</v>
      </c>
      <c r="C28" t="s">
        <v>181</v>
      </c>
      <c r="D28">
        <v>2</v>
      </c>
      <c r="I28">
        <v>109462</v>
      </c>
      <c r="K28" s="18">
        <v>40350.760416666664</v>
      </c>
      <c r="L28" s="19">
        <v>40350.59375</v>
      </c>
      <c r="M28" t="s">
        <v>161</v>
      </c>
      <c r="P28" t="s">
        <v>108</v>
      </c>
      <c r="Q28" t="s">
        <v>164</v>
      </c>
    </row>
    <row r="29" spans="1:17" x14ac:dyDescent="0.25">
      <c r="A29" t="s">
        <v>126</v>
      </c>
      <c r="C29" t="s">
        <v>183</v>
      </c>
      <c r="D29">
        <v>1</v>
      </c>
      <c r="I29">
        <v>109469</v>
      </c>
      <c r="K29" s="18">
        <v>40350.785416666666</v>
      </c>
      <c r="L29" s="19">
        <v>40350.618750000001</v>
      </c>
      <c r="M29" t="s">
        <v>161</v>
      </c>
      <c r="P29" t="s">
        <v>108</v>
      </c>
      <c r="Q29" t="s">
        <v>164</v>
      </c>
    </row>
    <row r="30" spans="1:17" x14ac:dyDescent="0.25">
      <c r="A30" t="s">
        <v>126</v>
      </c>
      <c r="C30" t="s">
        <v>177</v>
      </c>
      <c r="D30">
        <v>4</v>
      </c>
      <c r="I30">
        <v>109417</v>
      </c>
      <c r="K30" s="18">
        <v>40350.804861111108</v>
      </c>
      <c r="L30" s="19">
        <v>40350.638194444444</v>
      </c>
      <c r="M30" t="s">
        <v>161</v>
      </c>
      <c r="P30" t="s">
        <v>108</v>
      </c>
      <c r="Q30" t="s">
        <v>164</v>
      </c>
    </row>
    <row r="31" spans="1:17" x14ac:dyDescent="0.25">
      <c r="A31" t="s">
        <v>126</v>
      </c>
      <c r="C31" t="s">
        <v>178</v>
      </c>
      <c r="D31">
        <v>3</v>
      </c>
      <c r="I31">
        <v>109442</v>
      </c>
      <c r="K31" s="18">
        <v>40350.829861111109</v>
      </c>
      <c r="L31" s="19">
        <v>40350.663194444445</v>
      </c>
      <c r="M31" t="s">
        <v>161</v>
      </c>
      <c r="P31" t="s">
        <v>108</v>
      </c>
      <c r="Q31" t="s">
        <v>164</v>
      </c>
    </row>
    <row r="32" spans="1:17" x14ac:dyDescent="0.25">
      <c r="A32" t="s">
        <v>126</v>
      </c>
      <c r="C32" t="s">
        <v>182</v>
      </c>
      <c r="D32">
        <v>2</v>
      </c>
      <c r="I32">
        <v>109412</v>
      </c>
      <c r="K32" s="18">
        <v>40350.847222222219</v>
      </c>
      <c r="L32" s="19">
        <v>40350.680555555555</v>
      </c>
      <c r="M32" t="s">
        <v>161</v>
      </c>
      <c r="P32" t="s">
        <v>108</v>
      </c>
      <c r="Q32" t="s">
        <v>164</v>
      </c>
    </row>
    <row r="33" spans="1:24" x14ac:dyDescent="0.25">
      <c r="A33" t="s">
        <v>126</v>
      </c>
      <c r="C33" t="s">
        <v>176</v>
      </c>
      <c r="D33">
        <v>1</v>
      </c>
      <c r="I33">
        <v>106328</v>
      </c>
      <c r="K33" s="18">
        <v>40350.887499999997</v>
      </c>
      <c r="L33" s="19">
        <v>40350.720833333333</v>
      </c>
      <c r="M33" t="s">
        <v>161</v>
      </c>
      <c r="P33" t="s">
        <v>108</v>
      </c>
      <c r="Q33" t="s">
        <v>164</v>
      </c>
    </row>
    <row r="34" spans="1:24" x14ac:dyDescent="0.25">
      <c r="A34" t="s">
        <v>146</v>
      </c>
      <c r="C34" t="s">
        <v>181</v>
      </c>
      <c r="D34">
        <v>2</v>
      </c>
      <c r="I34">
        <v>109464</v>
      </c>
      <c r="K34" s="18">
        <v>40351.589583333334</v>
      </c>
      <c r="L34" s="19">
        <v>40351.42291666667</v>
      </c>
      <c r="M34" t="s">
        <v>161</v>
      </c>
      <c r="P34" t="s">
        <v>108</v>
      </c>
      <c r="Q34" t="s">
        <v>164</v>
      </c>
    </row>
    <row r="35" spans="1:24" x14ac:dyDescent="0.25">
      <c r="A35" t="s">
        <v>146</v>
      </c>
      <c r="C35" t="s">
        <v>178</v>
      </c>
      <c r="D35">
        <v>2</v>
      </c>
      <c r="I35">
        <v>109410</v>
      </c>
      <c r="K35" s="18">
        <v>40351.613888888889</v>
      </c>
      <c r="L35" s="19">
        <v>40351.447222222225</v>
      </c>
      <c r="M35" t="s">
        <v>161</v>
      </c>
      <c r="P35" t="s">
        <v>108</v>
      </c>
      <c r="Q35" t="s">
        <v>164</v>
      </c>
    </row>
    <row r="36" spans="1:24" x14ac:dyDescent="0.25">
      <c r="A36" t="s">
        <v>146</v>
      </c>
      <c r="C36" t="s">
        <v>176</v>
      </c>
      <c r="D36">
        <v>1</v>
      </c>
      <c r="I36">
        <v>109459</v>
      </c>
      <c r="K36" s="18">
        <v>40351.654861111114</v>
      </c>
      <c r="L36" s="19">
        <v>40351.488194444442</v>
      </c>
      <c r="M36" t="s">
        <v>161</v>
      </c>
      <c r="P36" t="s">
        <v>108</v>
      </c>
      <c r="Q36" t="s">
        <v>164</v>
      </c>
      <c r="V36" s="39"/>
      <c r="W36" s="39"/>
      <c r="X36" s="39"/>
    </row>
    <row r="37" spans="1:24" x14ac:dyDescent="0.25">
      <c r="A37" t="s">
        <v>134</v>
      </c>
      <c r="C37" t="s">
        <v>176</v>
      </c>
      <c r="D37">
        <v>1</v>
      </c>
      <c r="I37">
        <v>109455</v>
      </c>
      <c r="K37" s="18">
        <v>40351.818749999999</v>
      </c>
      <c r="L37" s="19">
        <v>40351.652083333334</v>
      </c>
      <c r="M37" t="s">
        <v>161</v>
      </c>
      <c r="P37" t="s">
        <v>108</v>
      </c>
      <c r="Q37" t="s">
        <v>164</v>
      </c>
    </row>
    <row r="38" spans="1:24" x14ac:dyDescent="0.25">
      <c r="A38" t="s">
        <v>120</v>
      </c>
      <c r="C38" t="s">
        <v>177</v>
      </c>
      <c r="D38">
        <v>1</v>
      </c>
      <c r="I38">
        <v>109429</v>
      </c>
      <c r="K38" s="18">
        <v>40352.779166666667</v>
      </c>
      <c r="L38" s="19">
        <v>40352.612500000003</v>
      </c>
      <c r="M38" t="s">
        <v>161</v>
      </c>
      <c r="P38" t="s">
        <v>108</v>
      </c>
      <c r="Q38" t="s">
        <v>179</v>
      </c>
    </row>
    <row r="39" spans="1:24" x14ac:dyDescent="0.25">
      <c r="A39" t="s">
        <v>138</v>
      </c>
      <c r="C39" t="s">
        <v>178</v>
      </c>
      <c r="D39">
        <v>1</v>
      </c>
      <c r="I39">
        <v>109430</v>
      </c>
      <c r="K39" s="18">
        <v>40352.842361111114</v>
      </c>
      <c r="L39" s="19">
        <v>40352.675694444442</v>
      </c>
      <c r="M39" t="s">
        <v>161</v>
      </c>
      <c r="P39" t="s">
        <v>108</v>
      </c>
      <c r="Q39" t="s">
        <v>179</v>
      </c>
    </row>
    <row r="40" spans="1:24" x14ac:dyDescent="0.25">
      <c r="A40" t="s">
        <v>154</v>
      </c>
      <c r="C40" t="s">
        <v>160</v>
      </c>
      <c r="D40">
        <v>2</v>
      </c>
      <c r="I40">
        <v>109125</v>
      </c>
      <c r="K40" s="18">
        <v>40353.505555555559</v>
      </c>
      <c r="L40" s="19">
        <v>40353.338888888888</v>
      </c>
      <c r="M40" t="s">
        <v>161</v>
      </c>
      <c r="P40" t="s">
        <v>108</v>
      </c>
      <c r="Q40" t="s">
        <v>164</v>
      </c>
    </row>
    <row r="41" spans="1:24" x14ac:dyDescent="0.25">
      <c r="A41" t="s">
        <v>154</v>
      </c>
      <c r="C41" t="s">
        <v>166</v>
      </c>
      <c r="D41">
        <v>2</v>
      </c>
      <c r="I41">
        <v>109121</v>
      </c>
      <c r="K41" s="18">
        <v>40353.534722222219</v>
      </c>
      <c r="L41" s="19">
        <v>40353.368055555555</v>
      </c>
      <c r="M41" t="s">
        <v>161</v>
      </c>
      <c r="P41" t="s">
        <v>108</v>
      </c>
      <c r="Q41" t="s">
        <v>164</v>
      </c>
    </row>
    <row r="42" spans="1:24" x14ac:dyDescent="0.25">
      <c r="A42" t="s">
        <v>154</v>
      </c>
      <c r="C42" t="s">
        <v>168</v>
      </c>
      <c r="D42">
        <v>1</v>
      </c>
      <c r="I42">
        <v>109460</v>
      </c>
      <c r="K42" s="18">
        <v>40353.553472222222</v>
      </c>
      <c r="L42" s="19">
        <v>40353.386805555558</v>
      </c>
      <c r="M42" t="s">
        <v>161</v>
      </c>
      <c r="P42" t="s">
        <v>108</v>
      </c>
      <c r="Q42" t="s">
        <v>164</v>
      </c>
    </row>
    <row r="43" spans="1:24" x14ac:dyDescent="0.25">
      <c r="A43" t="s">
        <v>154</v>
      </c>
      <c r="C43" t="s">
        <v>172</v>
      </c>
      <c r="D43">
        <v>1</v>
      </c>
      <c r="I43">
        <v>109124</v>
      </c>
      <c r="K43" s="18">
        <v>40353.580555555556</v>
      </c>
      <c r="L43" s="19">
        <v>40353.413888888892</v>
      </c>
      <c r="M43" t="s">
        <v>161</v>
      </c>
      <c r="P43" t="s">
        <v>108</v>
      </c>
      <c r="Q43" t="s">
        <v>164</v>
      </c>
      <c r="V43" s="39"/>
      <c r="W43" s="39"/>
      <c r="X43" s="39"/>
    </row>
    <row r="44" spans="1:24" x14ac:dyDescent="0.25">
      <c r="A44" t="s">
        <v>154</v>
      </c>
      <c r="C44" t="s">
        <v>181</v>
      </c>
      <c r="D44">
        <v>1</v>
      </c>
      <c r="I44">
        <v>109123</v>
      </c>
      <c r="K44" s="18">
        <v>40353.597916666666</v>
      </c>
      <c r="L44" s="19">
        <v>40353.431250000001</v>
      </c>
      <c r="M44" t="s">
        <v>161</v>
      </c>
      <c r="P44" t="s">
        <v>108</v>
      </c>
      <c r="Q44" t="s">
        <v>164</v>
      </c>
    </row>
    <row r="45" spans="1:24" x14ac:dyDescent="0.25">
      <c r="A45" t="s">
        <v>124</v>
      </c>
      <c r="C45" t="s">
        <v>177</v>
      </c>
      <c r="D45">
        <v>1</v>
      </c>
      <c r="I45">
        <v>109463</v>
      </c>
      <c r="K45" s="18">
        <v>40353.633333333331</v>
      </c>
      <c r="L45" s="19">
        <v>40353.466666666667</v>
      </c>
      <c r="M45" t="s">
        <v>161</v>
      </c>
      <c r="P45" t="s">
        <v>108</v>
      </c>
      <c r="Q45" t="s">
        <v>164</v>
      </c>
    </row>
    <row r="46" spans="1:24" x14ac:dyDescent="0.25">
      <c r="A46" t="s">
        <v>140</v>
      </c>
      <c r="C46" t="s">
        <v>177</v>
      </c>
      <c r="D46">
        <v>1</v>
      </c>
      <c r="I46">
        <v>109445</v>
      </c>
      <c r="K46" s="18">
        <v>40353.669444444444</v>
      </c>
      <c r="L46" s="19">
        <v>40353.50277777778</v>
      </c>
      <c r="M46" t="s">
        <v>161</v>
      </c>
      <c r="P46" t="s">
        <v>108</v>
      </c>
      <c r="Q46" t="s">
        <v>179</v>
      </c>
    </row>
    <row r="47" spans="1:24" x14ac:dyDescent="0.25">
      <c r="A47" t="s">
        <v>118</v>
      </c>
      <c r="C47" t="s">
        <v>177</v>
      </c>
      <c r="D47">
        <v>2</v>
      </c>
      <c r="I47">
        <v>109409</v>
      </c>
      <c r="K47" s="18">
        <v>40353.73541666667</v>
      </c>
      <c r="L47" s="19">
        <v>40353.568749999999</v>
      </c>
      <c r="M47" t="s">
        <v>161</v>
      </c>
      <c r="P47" t="s">
        <v>108</v>
      </c>
      <c r="Q47" t="s">
        <v>164</v>
      </c>
    </row>
    <row r="48" spans="1:24" x14ac:dyDescent="0.25">
      <c r="A48" t="s">
        <v>118</v>
      </c>
      <c r="C48" t="s">
        <v>178</v>
      </c>
      <c r="D48">
        <v>2</v>
      </c>
      <c r="I48">
        <v>109450</v>
      </c>
      <c r="K48" s="18">
        <v>40353.757638888892</v>
      </c>
      <c r="L48" s="19">
        <v>40353.59097222222</v>
      </c>
      <c r="M48" t="s">
        <v>161</v>
      </c>
      <c r="P48" t="s">
        <v>108</v>
      </c>
      <c r="Q48" t="s">
        <v>164</v>
      </c>
    </row>
    <row r="49" spans="1:17" x14ac:dyDescent="0.25">
      <c r="A49" t="s">
        <v>128</v>
      </c>
      <c r="C49" t="s">
        <v>183</v>
      </c>
      <c r="D49">
        <v>1</v>
      </c>
      <c r="I49">
        <v>109407</v>
      </c>
      <c r="K49" s="18">
        <v>40353.780555555553</v>
      </c>
      <c r="L49" s="19">
        <v>40353.613888888889</v>
      </c>
      <c r="M49" t="s">
        <v>161</v>
      </c>
      <c r="P49" t="s">
        <v>108</v>
      </c>
      <c r="Q49" t="s">
        <v>179</v>
      </c>
    </row>
    <row r="50" spans="1:17" x14ac:dyDescent="0.25">
      <c r="A50" t="s">
        <v>134</v>
      </c>
      <c r="C50" t="s">
        <v>176</v>
      </c>
      <c r="D50">
        <v>2</v>
      </c>
      <c r="I50">
        <v>109455</v>
      </c>
      <c r="K50" s="18">
        <v>40387.565972222219</v>
      </c>
      <c r="L50" s="19">
        <v>40387.399305555555</v>
      </c>
      <c r="M50" t="s">
        <v>161</v>
      </c>
      <c r="P50" t="s">
        <v>108</v>
      </c>
      <c r="Q50" t="s">
        <v>164</v>
      </c>
    </row>
    <row r="51" spans="1:17" x14ac:dyDescent="0.25">
      <c r="A51" t="s">
        <v>134</v>
      </c>
      <c r="C51" t="s">
        <v>182</v>
      </c>
      <c r="D51">
        <v>1</v>
      </c>
      <c r="I51">
        <v>109931</v>
      </c>
      <c r="K51" s="18">
        <v>40387.580555555556</v>
      </c>
      <c r="L51" s="19">
        <v>40387.413888888892</v>
      </c>
      <c r="M51" t="s">
        <v>161</v>
      </c>
      <c r="P51" t="s">
        <v>108</v>
      </c>
      <c r="Q51" t="s">
        <v>164</v>
      </c>
    </row>
    <row r="52" spans="1:17" x14ac:dyDescent="0.25">
      <c r="A52" t="s">
        <v>134</v>
      </c>
      <c r="C52" t="s">
        <v>178</v>
      </c>
      <c r="D52">
        <v>2</v>
      </c>
      <c r="I52">
        <v>109436</v>
      </c>
      <c r="K52" s="18">
        <v>40387.622916666667</v>
      </c>
      <c r="L52" s="19">
        <v>40387.456250000003</v>
      </c>
      <c r="M52" t="s">
        <v>161</v>
      </c>
      <c r="P52" t="s">
        <v>108</v>
      </c>
      <c r="Q52" t="s">
        <v>164</v>
      </c>
    </row>
    <row r="53" spans="1:17" x14ac:dyDescent="0.25">
      <c r="A53" t="s">
        <v>134</v>
      </c>
      <c r="C53" t="s">
        <v>181</v>
      </c>
      <c r="D53">
        <v>2</v>
      </c>
      <c r="I53">
        <v>109465</v>
      </c>
      <c r="K53" s="18">
        <v>40387.662499999999</v>
      </c>
      <c r="L53" s="19">
        <v>40387.495833333334</v>
      </c>
      <c r="M53" t="s">
        <v>161</v>
      </c>
      <c r="P53" t="s">
        <v>108</v>
      </c>
      <c r="Q53" t="s">
        <v>164</v>
      </c>
    </row>
    <row r="54" spans="1:17" x14ac:dyDescent="0.25">
      <c r="A54" t="s">
        <v>134</v>
      </c>
      <c r="C54" t="s">
        <v>183</v>
      </c>
      <c r="D54">
        <v>1</v>
      </c>
      <c r="I54">
        <v>106785</v>
      </c>
      <c r="K54" s="18">
        <v>40387.691666666666</v>
      </c>
      <c r="L54" s="19">
        <v>40387.525000000001</v>
      </c>
      <c r="M54" t="s">
        <v>161</v>
      </c>
      <c r="P54" t="s">
        <v>108</v>
      </c>
      <c r="Q54" t="s">
        <v>164</v>
      </c>
    </row>
    <row r="55" spans="1:17" x14ac:dyDescent="0.25">
      <c r="A55" t="s">
        <v>134</v>
      </c>
      <c r="C55" t="s">
        <v>177</v>
      </c>
      <c r="D55">
        <v>1</v>
      </c>
      <c r="I55">
        <v>109428</v>
      </c>
      <c r="K55" s="18">
        <v>40387.712500000001</v>
      </c>
      <c r="L55" s="19">
        <v>40387.54583333333</v>
      </c>
      <c r="M55" t="s">
        <v>161</v>
      </c>
      <c r="P55" t="s">
        <v>108</v>
      </c>
      <c r="Q55" t="s">
        <v>164</v>
      </c>
    </row>
    <row r="56" spans="1:17" x14ac:dyDescent="0.25">
      <c r="A56" t="s">
        <v>120</v>
      </c>
      <c r="C56" t="s">
        <v>178</v>
      </c>
      <c r="D56">
        <v>1</v>
      </c>
      <c r="I56">
        <v>109405</v>
      </c>
      <c r="K56" s="18">
        <v>40388.547222222223</v>
      </c>
      <c r="L56" s="19">
        <v>40388.380555555559</v>
      </c>
      <c r="M56" t="s">
        <v>161</v>
      </c>
      <c r="P56" t="s">
        <v>108</v>
      </c>
      <c r="Q56" t="s">
        <v>179</v>
      </c>
    </row>
    <row r="57" spans="1:17" x14ac:dyDescent="0.25">
      <c r="A57" t="s">
        <v>120</v>
      </c>
      <c r="C57" t="s">
        <v>177</v>
      </c>
      <c r="D57">
        <v>2</v>
      </c>
      <c r="I57">
        <v>109429</v>
      </c>
      <c r="K57" s="18">
        <v>40388.59097222222</v>
      </c>
      <c r="L57" s="19">
        <v>40388.424305555556</v>
      </c>
      <c r="M57" t="s">
        <v>161</v>
      </c>
      <c r="P57" t="s">
        <v>108</v>
      </c>
      <c r="Q57" t="s">
        <v>179</v>
      </c>
    </row>
    <row r="58" spans="1:17" x14ac:dyDescent="0.25">
      <c r="A58" t="s">
        <v>156</v>
      </c>
      <c r="C58" t="s">
        <v>177</v>
      </c>
      <c r="D58">
        <v>1</v>
      </c>
      <c r="I58">
        <v>109431</v>
      </c>
      <c r="K58" s="18">
        <v>40388.632638888892</v>
      </c>
      <c r="L58" s="19">
        <v>40388.46597222222</v>
      </c>
      <c r="M58" t="s">
        <v>161</v>
      </c>
      <c r="P58" t="s">
        <v>108</v>
      </c>
      <c r="Q58" t="s">
        <v>179</v>
      </c>
    </row>
    <row r="59" spans="1:17" x14ac:dyDescent="0.25">
      <c r="A59" t="s">
        <v>156</v>
      </c>
      <c r="C59" t="s">
        <v>178</v>
      </c>
      <c r="D59">
        <v>1</v>
      </c>
      <c r="I59">
        <v>109433</v>
      </c>
      <c r="K59" s="18">
        <v>40388.645138888889</v>
      </c>
      <c r="L59" s="19">
        <v>40388.478472222225</v>
      </c>
      <c r="M59" t="s">
        <v>161</v>
      </c>
      <c r="P59" t="s">
        <v>108</v>
      </c>
      <c r="Q59" t="s">
        <v>179</v>
      </c>
    </row>
    <row r="60" spans="1:17" x14ac:dyDescent="0.25">
      <c r="A60" t="s">
        <v>146</v>
      </c>
      <c r="C60" t="s">
        <v>181</v>
      </c>
      <c r="D60">
        <v>3</v>
      </c>
      <c r="I60">
        <v>109464</v>
      </c>
      <c r="K60" s="18">
        <v>40388.686805555553</v>
      </c>
      <c r="L60" s="19">
        <v>40388.520138888889</v>
      </c>
      <c r="M60" t="s">
        <v>161</v>
      </c>
      <c r="P60" t="s">
        <v>108</v>
      </c>
      <c r="Q60" t="s">
        <v>164</v>
      </c>
    </row>
    <row r="61" spans="1:17" x14ac:dyDescent="0.25">
      <c r="A61" t="s">
        <v>146</v>
      </c>
      <c r="C61" t="s">
        <v>176</v>
      </c>
      <c r="D61">
        <v>2</v>
      </c>
      <c r="I61">
        <v>109459</v>
      </c>
      <c r="K61" s="18">
        <v>40388.75277777778</v>
      </c>
      <c r="L61" s="19">
        <v>40388.586111111108</v>
      </c>
      <c r="M61" t="s">
        <v>161</v>
      </c>
      <c r="P61" t="s">
        <v>108</v>
      </c>
      <c r="Q61" t="s">
        <v>164</v>
      </c>
    </row>
    <row r="62" spans="1:17" x14ac:dyDescent="0.25">
      <c r="A62" t="s">
        <v>138</v>
      </c>
      <c r="C62" t="s">
        <v>177</v>
      </c>
      <c r="D62">
        <v>1</v>
      </c>
      <c r="I62">
        <v>109441</v>
      </c>
      <c r="K62" s="18">
        <v>40388.867361111108</v>
      </c>
      <c r="L62" s="19">
        <v>40388.700694444444</v>
      </c>
      <c r="M62" t="s">
        <v>161</v>
      </c>
      <c r="P62" t="s">
        <v>108</v>
      </c>
      <c r="Q62" t="s">
        <v>179</v>
      </c>
    </row>
    <row r="63" spans="1:17" x14ac:dyDescent="0.25">
      <c r="A63" t="s">
        <v>138</v>
      </c>
      <c r="C63" t="s">
        <v>178</v>
      </c>
      <c r="D63">
        <v>2</v>
      </c>
      <c r="I63">
        <v>109430</v>
      </c>
      <c r="K63" s="18">
        <v>40388.876388888886</v>
      </c>
      <c r="L63" s="19">
        <v>40388.709722222222</v>
      </c>
      <c r="M63" t="s">
        <v>161</v>
      </c>
      <c r="P63" t="s">
        <v>108</v>
      </c>
      <c r="Q63" t="s">
        <v>179</v>
      </c>
    </row>
    <row r="64" spans="1:17" x14ac:dyDescent="0.25">
      <c r="A64" t="s">
        <v>111</v>
      </c>
      <c r="C64" t="s">
        <v>178</v>
      </c>
      <c r="D64">
        <v>1</v>
      </c>
      <c r="I64">
        <v>109437</v>
      </c>
      <c r="K64" s="18">
        <v>40389.509027777778</v>
      </c>
      <c r="L64" s="19">
        <v>40389.342361111114</v>
      </c>
      <c r="M64" t="s">
        <v>161</v>
      </c>
      <c r="P64" t="s">
        <v>108</v>
      </c>
      <c r="Q64" t="s">
        <v>179</v>
      </c>
    </row>
    <row r="65" spans="1:17" x14ac:dyDescent="0.25">
      <c r="A65" t="s">
        <v>148</v>
      </c>
      <c r="C65" t="s">
        <v>178</v>
      </c>
      <c r="D65">
        <v>1</v>
      </c>
      <c r="I65">
        <v>109422</v>
      </c>
      <c r="K65" s="18">
        <v>40389.540277777778</v>
      </c>
      <c r="L65" s="19">
        <v>40389.373611111114</v>
      </c>
      <c r="M65" t="s">
        <v>161</v>
      </c>
      <c r="P65" t="s">
        <v>108</v>
      </c>
      <c r="Q65" t="s">
        <v>179</v>
      </c>
    </row>
    <row r="66" spans="1:17" x14ac:dyDescent="0.25">
      <c r="A66" t="s">
        <v>148</v>
      </c>
      <c r="C66" t="s">
        <v>177</v>
      </c>
      <c r="D66">
        <v>1</v>
      </c>
      <c r="I66">
        <v>109427</v>
      </c>
      <c r="K66" s="18">
        <v>40389.545138888891</v>
      </c>
      <c r="L66" s="19">
        <v>40389.378472222219</v>
      </c>
      <c r="M66" t="s">
        <v>161</v>
      </c>
      <c r="P66" t="s">
        <v>108</v>
      </c>
      <c r="Q66" t="s">
        <v>179</v>
      </c>
    </row>
    <row r="67" spans="1:17" x14ac:dyDescent="0.25">
      <c r="A67" t="s">
        <v>142</v>
      </c>
      <c r="C67" t="s">
        <v>178</v>
      </c>
      <c r="D67">
        <v>2</v>
      </c>
      <c r="I67">
        <v>109408</v>
      </c>
      <c r="K67" s="18">
        <v>40389.561805555553</v>
      </c>
      <c r="L67" s="19">
        <v>40389.395138888889</v>
      </c>
      <c r="M67" t="s">
        <v>161</v>
      </c>
      <c r="P67" t="s">
        <v>108</v>
      </c>
      <c r="Q67" t="s">
        <v>179</v>
      </c>
    </row>
    <row r="68" spans="1:17" x14ac:dyDescent="0.25">
      <c r="A68" t="s">
        <v>142</v>
      </c>
      <c r="C68" t="s">
        <v>177</v>
      </c>
      <c r="D68">
        <v>1</v>
      </c>
      <c r="I68">
        <v>109468</v>
      </c>
      <c r="K68" s="18">
        <v>40389.573611111111</v>
      </c>
      <c r="L68" s="19">
        <v>40389.406944444447</v>
      </c>
      <c r="M68" t="s">
        <v>161</v>
      </c>
      <c r="P68" t="s">
        <v>108</v>
      </c>
      <c r="Q68" t="s">
        <v>179</v>
      </c>
    </row>
    <row r="69" spans="1:17" x14ac:dyDescent="0.25">
      <c r="A69" t="s">
        <v>126</v>
      </c>
      <c r="C69" t="s">
        <v>178</v>
      </c>
      <c r="D69">
        <v>4</v>
      </c>
      <c r="I69">
        <v>109442</v>
      </c>
      <c r="K69" s="18">
        <v>40389.613888888889</v>
      </c>
      <c r="L69" s="19">
        <v>40389.447222222225</v>
      </c>
      <c r="M69" t="s">
        <v>161</v>
      </c>
      <c r="P69" t="s">
        <v>108</v>
      </c>
      <c r="Q69" t="s">
        <v>164</v>
      </c>
    </row>
    <row r="70" spans="1:17" x14ac:dyDescent="0.25">
      <c r="A70" t="s">
        <v>126</v>
      </c>
      <c r="C70" t="s">
        <v>177</v>
      </c>
      <c r="D70">
        <v>5</v>
      </c>
      <c r="I70">
        <v>109417</v>
      </c>
      <c r="K70" s="18">
        <v>40389.632638888892</v>
      </c>
      <c r="L70" s="19">
        <v>40389.46597222222</v>
      </c>
      <c r="M70" t="s">
        <v>161</v>
      </c>
      <c r="P70" t="s">
        <v>108</v>
      </c>
      <c r="Q70" t="s">
        <v>164</v>
      </c>
    </row>
    <row r="71" spans="1:17" x14ac:dyDescent="0.25">
      <c r="A71" t="s">
        <v>126</v>
      </c>
      <c r="C71" t="s">
        <v>183</v>
      </c>
      <c r="D71">
        <v>2</v>
      </c>
      <c r="I71">
        <v>109469</v>
      </c>
      <c r="K71" s="18">
        <v>40389.644444444442</v>
      </c>
      <c r="L71" s="19">
        <v>40389.477777777778</v>
      </c>
      <c r="M71" t="s">
        <v>161</v>
      </c>
      <c r="P71" t="s">
        <v>108</v>
      </c>
      <c r="Q71" t="s">
        <v>164</v>
      </c>
    </row>
    <row r="72" spans="1:17" x14ac:dyDescent="0.25">
      <c r="A72" t="s">
        <v>126</v>
      </c>
      <c r="C72" t="s">
        <v>181</v>
      </c>
      <c r="D72">
        <v>3</v>
      </c>
      <c r="I72">
        <v>109462</v>
      </c>
      <c r="K72" s="18">
        <v>40389.662499999999</v>
      </c>
      <c r="L72" s="19">
        <v>40389.495833333334</v>
      </c>
      <c r="M72" t="s">
        <v>161</v>
      </c>
      <c r="P72" t="s">
        <v>108</v>
      </c>
      <c r="Q72" t="s">
        <v>164</v>
      </c>
    </row>
    <row r="73" spans="1:17" x14ac:dyDescent="0.25">
      <c r="A73" t="s">
        <v>126</v>
      </c>
      <c r="C73" t="s">
        <v>182</v>
      </c>
      <c r="D73">
        <v>3</v>
      </c>
      <c r="I73">
        <v>109412</v>
      </c>
      <c r="K73" s="18">
        <v>40389.67291666667</v>
      </c>
      <c r="L73" s="19">
        <v>40389.506249999999</v>
      </c>
      <c r="M73" t="s">
        <v>161</v>
      </c>
      <c r="P73" t="s">
        <v>108</v>
      </c>
      <c r="Q73" t="s">
        <v>164</v>
      </c>
    </row>
    <row r="74" spans="1:17" x14ac:dyDescent="0.25">
      <c r="A74" t="s">
        <v>126</v>
      </c>
      <c r="C74" t="s">
        <v>176</v>
      </c>
      <c r="D74">
        <v>2</v>
      </c>
      <c r="I74">
        <v>106328</v>
      </c>
      <c r="K74" s="18">
        <v>40389.684027777781</v>
      </c>
      <c r="L74" s="19">
        <v>40389.517361111109</v>
      </c>
      <c r="M74" t="s">
        <v>161</v>
      </c>
      <c r="P74" t="s">
        <v>108</v>
      </c>
      <c r="Q74" t="s">
        <v>164</v>
      </c>
    </row>
    <row r="75" spans="1:17" x14ac:dyDescent="0.25">
      <c r="A75" t="s">
        <v>118</v>
      </c>
      <c r="C75" t="s">
        <v>177</v>
      </c>
      <c r="D75">
        <v>3</v>
      </c>
      <c r="I75">
        <v>109409</v>
      </c>
      <c r="K75" s="18">
        <v>40389.727083333331</v>
      </c>
      <c r="L75" s="19">
        <v>40389.560416666667</v>
      </c>
      <c r="M75" t="s">
        <v>161</v>
      </c>
      <c r="P75" t="s">
        <v>108</v>
      </c>
      <c r="Q75" t="s">
        <v>164</v>
      </c>
    </row>
    <row r="76" spans="1:17" x14ac:dyDescent="0.25">
      <c r="A76" t="s">
        <v>118</v>
      </c>
      <c r="C76" t="s">
        <v>182</v>
      </c>
      <c r="D76">
        <v>2</v>
      </c>
      <c r="I76">
        <v>109440</v>
      </c>
      <c r="K76" s="18">
        <v>40389.769444444442</v>
      </c>
      <c r="L76" s="19">
        <v>40389.602777777778</v>
      </c>
      <c r="M76" t="s">
        <v>161</v>
      </c>
      <c r="P76" t="s">
        <v>108</v>
      </c>
      <c r="Q76" t="s">
        <v>164</v>
      </c>
    </row>
    <row r="77" spans="1:17" x14ac:dyDescent="0.25">
      <c r="A77" t="s">
        <v>118</v>
      </c>
      <c r="C77" t="s">
        <v>183</v>
      </c>
      <c r="D77">
        <v>3</v>
      </c>
      <c r="I77">
        <v>109457</v>
      </c>
      <c r="K77" s="18">
        <v>40389.810416666667</v>
      </c>
      <c r="L77" s="19">
        <v>40389.643750000003</v>
      </c>
      <c r="M77" t="s">
        <v>161</v>
      </c>
      <c r="P77" t="s">
        <v>108</v>
      </c>
      <c r="Q77" t="s">
        <v>164</v>
      </c>
    </row>
    <row r="78" spans="1:17" x14ac:dyDescent="0.25">
      <c r="A78" t="s">
        <v>118</v>
      </c>
      <c r="C78" t="s">
        <v>178</v>
      </c>
      <c r="D78">
        <v>3</v>
      </c>
      <c r="I78">
        <v>109450</v>
      </c>
      <c r="K78" s="18">
        <v>40389.827777777777</v>
      </c>
      <c r="L78" s="19">
        <v>40389.661111111112</v>
      </c>
      <c r="M78" t="s">
        <v>161</v>
      </c>
      <c r="P78" t="s">
        <v>108</v>
      </c>
      <c r="Q78" t="s">
        <v>164</v>
      </c>
    </row>
    <row r="79" spans="1:17" x14ac:dyDescent="0.25">
      <c r="A79" t="s">
        <v>118</v>
      </c>
      <c r="C79" t="s">
        <v>176</v>
      </c>
      <c r="D79">
        <v>1</v>
      </c>
      <c r="I79">
        <v>109973</v>
      </c>
      <c r="K79" s="18">
        <v>40389.84097222222</v>
      </c>
      <c r="L79" s="19">
        <v>40389.674305555556</v>
      </c>
      <c r="M79" t="s">
        <v>161</v>
      </c>
      <c r="P79" t="s">
        <v>108</v>
      </c>
      <c r="Q79" t="s">
        <v>164</v>
      </c>
    </row>
    <row r="80" spans="1:17" x14ac:dyDescent="0.25">
      <c r="A80" t="s">
        <v>128</v>
      </c>
      <c r="C80" t="s">
        <v>183</v>
      </c>
      <c r="D80">
        <v>2</v>
      </c>
      <c r="I80">
        <v>109407</v>
      </c>
      <c r="K80" s="18">
        <v>40390.498611111114</v>
      </c>
      <c r="L80" s="19">
        <v>40390.331944444442</v>
      </c>
      <c r="M80" t="s">
        <v>161</v>
      </c>
      <c r="P80" t="s">
        <v>108</v>
      </c>
      <c r="Q80" t="s">
        <v>179</v>
      </c>
    </row>
    <row r="81" spans="1:17" x14ac:dyDescent="0.25">
      <c r="A81" t="s">
        <v>128</v>
      </c>
      <c r="C81" t="s">
        <v>176</v>
      </c>
      <c r="D81">
        <v>1</v>
      </c>
      <c r="I81">
        <v>109456</v>
      </c>
      <c r="K81" s="18">
        <v>40390.523611111108</v>
      </c>
      <c r="L81" s="19">
        <v>40390.356944444444</v>
      </c>
      <c r="M81" t="s">
        <v>161</v>
      </c>
      <c r="P81" t="s">
        <v>108</v>
      </c>
      <c r="Q81" t="s">
        <v>179</v>
      </c>
    </row>
    <row r="82" spans="1:17" x14ac:dyDescent="0.25">
      <c r="A82" t="s">
        <v>128</v>
      </c>
      <c r="C82" t="s">
        <v>178</v>
      </c>
      <c r="D82">
        <v>2</v>
      </c>
      <c r="I82">
        <v>109458</v>
      </c>
      <c r="K82" s="18">
        <v>40390.536805555559</v>
      </c>
      <c r="L82" s="19">
        <v>40390.370138888888</v>
      </c>
      <c r="M82" t="s">
        <v>161</v>
      </c>
      <c r="P82" t="s">
        <v>108</v>
      </c>
      <c r="Q82" t="s">
        <v>179</v>
      </c>
    </row>
    <row r="83" spans="1:17" x14ac:dyDescent="0.25">
      <c r="A83" t="s">
        <v>128</v>
      </c>
      <c r="C83" t="s">
        <v>177</v>
      </c>
      <c r="D83">
        <v>1</v>
      </c>
      <c r="I83">
        <v>109415</v>
      </c>
      <c r="K83" s="18">
        <v>40390.559027777781</v>
      </c>
      <c r="L83" s="19">
        <v>40390.392361111109</v>
      </c>
      <c r="M83" t="s">
        <v>161</v>
      </c>
      <c r="P83" t="s">
        <v>108</v>
      </c>
      <c r="Q83" t="s">
        <v>179</v>
      </c>
    </row>
    <row r="84" spans="1:17" x14ac:dyDescent="0.25">
      <c r="A84" t="s">
        <v>130</v>
      </c>
      <c r="C84" t="s">
        <v>178</v>
      </c>
      <c r="D84">
        <v>1</v>
      </c>
      <c r="I84">
        <v>109470</v>
      </c>
      <c r="K84" s="18">
        <v>40390.588888888888</v>
      </c>
      <c r="L84" s="19">
        <v>40390.422222222223</v>
      </c>
      <c r="M84" t="s">
        <v>161</v>
      </c>
      <c r="P84" t="s">
        <v>108</v>
      </c>
      <c r="Q84" t="s">
        <v>179</v>
      </c>
    </row>
    <row r="85" spans="1:17" x14ac:dyDescent="0.25">
      <c r="A85" t="s">
        <v>150</v>
      </c>
      <c r="C85" t="s">
        <v>177</v>
      </c>
      <c r="D85">
        <v>1</v>
      </c>
      <c r="I85">
        <v>109406</v>
      </c>
      <c r="K85" s="18">
        <v>40390.605555555558</v>
      </c>
      <c r="L85" s="19">
        <v>40390.438888888886</v>
      </c>
      <c r="M85" t="s">
        <v>161</v>
      </c>
      <c r="P85" t="s">
        <v>108</v>
      </c>
      <c r="Q85" t="s">
        <v>179</v>
      </c>
    </row>
    <row r="86" spans="1:17" x14ac:dyDescent="0.25">
      <c r="A86" t="s">
        <v>150</v>
      </c>
      <c r="C86" t="s">
        <v>178</v>
      </c>
      <c r="D86">
        <v>1</v>
      </c>
      <c r="I86">
        <v>109420</v>
      </c>
      <c r="K86" s="18">
        <v>40390.623611111114</v>
      </c>
      <c r="L86" s="19">
        <v>40390.456944444442</v>
      </c>
      <c r="M86" t="s">
        <v>161</v>
      </c>
      <c r="P86" t="s">
        <v>108</v>
      </c>
      <c r="Q86" t="s">
        <v>179</v>
      </c>
    </row>
    <row r="87" spans="1:17" x14ac:dyDescent="0.25">
      <c r="A87" t="s">
        <v>136</v>
      </c>
      <c r="C87" t="s">
        <v>178</v>
      </c>
      <c r="D87">
        <v>1</v>
      </c>
      <c r="I87">
        <v>109122</v>
      </c>
      <c r="K87" s="18">
        <v>40390.636111111111</v>
      </c>
      <c r="L87" s="19">
        <v>40390.469444444447</v>
      </c>
      <c r="M87" t="s">
        <v>161</v>
      </c>
      <c r="P87" t="s">
        <v>108</v>
      </c>
      <c r="Q87" t="s">
        <v>179</v>
      </c>
    </row>
    <row r="88" spans="1:17" x14ac:dyDescent="0.25">
      <c r="A88" t="s">
        <v>124</v>
      </c>
      <c r="C88" t="s">
        <v>178</v>
      </c>
      <c r="D88">
        <v>1</v>
      </c>
      <c r="I88">
        <v>109413</v>
      </c>
      <c r="K88" s="18">
        <v>40390.684027777781</v>
      </c>
      <c r="L88" s="19">
        <v>40390.517361111109</v>
      </c>
      <c r="M88" t="s">
        <v>161</v>
      </c>
      <c r="P88" t="s">
        <v>108</v>
      </c>
      <c r="Q88" t="s">
        <v>164</v>
      </c>
    </row>
    <row r="89" spans="1:17" x14ac:dyDescent="0.25">
      <c r="A89" t="s">
        <v>124</v>
      </c>
      <c r="C89" t="s">
        <v>176</v>
      </c>
      <c r="D89">
        <v>1</v>
      </c>
      <c r="I89">
        <v>109414</v>
      </c>
      <c r="K89" s="18">
        <v>40390.704861111109</v>
      </c>
      <c r="L89" s="19">
        <v>40390.538194444445</v>
      </c>
      <c r="M89" t="s">
        <v>161</v>
      </c>
      <c r="P89" t="s">
        <v>108</v>
      </c>
      <c r="Q89" t="s">
        <v>164</v>
      </c>
    </row>
    <row r="90" spans="1:17" x14ac:dyDescent="0.25">
      <c r="A90" t="s">
        <v>124</v>
      </c>
      <c r="C90" t="s">
        <v>177</v>
      </c>
      <c r="D90">
        <v>2</v>
      </c>
      <c r="I90">
        <v>109463</v>
      </c>
      <c r="K90" s="18">
        <v>40390.711111111108</v>
      </c>
      <c r="L90" s="19">
        <v>40390.544444444444</v>
      </c>
      <c r="M90" t="s">
        <v>161</v>
      </c>
      <c r="P90" t="s">
        <v>108</v>
      </c>
      <c r="Q90" t="s">
        <v>164</v>
      </c>
    </row>
    <row r="91" spans="1:17" x14ac:dyDescent="0.25">
      <c r="A91" t="s">
        <v>154</v>
      </c>
      <c r="C91" t="s">
        <v>183</v>
      </c>
      <c r="D91">
        <v>2</v>
      </c>
      <c r="I91">
        <v>109416</v>
      </c>
      <c r="K91" s="18">
        <v>40390.722222222219</v>
      </c>
      <c r="L91" s="19">
        <v>40390.555555555555</v>
      </c>
      <c r="M91" t="s">
        <v>161</v>
      </c>
      <c r="P91" t="s">
        <v>108</v>
      </c>
      <c r="Q91" t="s">
        <v>179</v>
      </c>
    </row>
    <row r="92" spans="1:17" x14ac:dyDescent="0.25">
      <c r="A92" t="s">
        <v>154</v>
      </c>
      <c r="C92" t="s">
        <v>181</v>
      </c>
      <c r="D92">
        <v>2</v>
      </c>
      <c r="I92">
        <v>109123</v>
      </c>
      <c r="K92" s="18">
        <v>40390.763194444444</v>
      </c>
      <c r="L92" s="19">
        <v>40390.59652777778</v>
      </c>
      <c r="M92" t="s">
        <v>161</v>
      </c>
      <c r="P92" t="s">
        <v>108</v>
      </c>
      <c r="Q92" t="s">
        <v>164</v>
      </c>
    </row>
    <row r="93" spans="1:17" x14ac:dyDescent="0.25">
      <c r="A93" t="s">
        <v>154</v>
      </c>
      <c r="C93" t="s">
        <v>174</v>
      </c>
      <c r="D93">
        <v>1</v>
      </c>
      <c r="I93">
        <v>109454</v>
      </c>
      <c r="K93" s="18">
        <v>40390.772916666669</v>
      </c>
      <c r="L93" s="19">
        <v>40390.606249999997</v>
      </c>
      <c r="M93" t="s">
        <v>161</v>
      </c>
      <c r="P93" t="s">
        <v>108</v>
      </c>
      <c r="Q93" t="s">
        <v>164</v>
      </c>
    </row>
    <row r="94" spans="1:17" x14ac:dyDescent="0.25">
      <c r="A94" t="s">
        <v>154</v>
      </c>
      <c r="C94" t="s">
        <v>173</v>
      </c>
      <c r="D94">
        <v>1</v>
      </c>
      <c r="I94">
        <v>109452</v>
      </c>
      <c r="K94" s="18">
        <v>40390.783333333333</v>
      </c>
      <c r="L94" s="19">
        <v>40390.616666666669</v>
      </c>
      <c r="M94" t="s">
        <v>161</v>
      </c>
      <c r="P94" t="s">
        <v>108</v>
      </c>
      <c r="Q94" t="s">
        <v>164</v>
      </c>
    </row>
    <row r="95" spans="1:17" x14ac:dyDescent="0.25">
      <c r="A95" t="s">
        <v>154</v>
      </c>
      <c r="C95" t="s">
        <v>172</v>
      </c>
      <c r="D95">
        <v>2</v>
      </c>
      <c r="I95">
        <v>109124</v>
      </c>
      <c r="K95" s="18">
        <v>40390.794444444444</v>
      </c>
      <c r="L95" s="19">
        <v>40390.62777777778</v>
      </c>
      <c r="M95" t="s">
        <v>161</v>
      </c>
      <c r="P95" t="s">
        <v>108</v>
      </c>
      <c r="Q95" t="s">
        <v>164</v>
      </c>
    </row>
    <row r="96" spans="1:17" x14ac:dyDescent="0.25">
      <c r="A96" t="s">
        <v>114</v>
      </c>
      <c r="C96" t="s">
        <v>178</v>
      </c>
      <c r="D96">
        <v>1</v>
      </c>
      <c r="I96">
        <v>109439</v>
      </c>
      <c r="K96" s="18">
        <v>40391.5</v>
      </c>
      <c r="L96" s="19">
        <v>40391.333333333336</v>
      </c>
      <c r="M96" t="s">
        <v>161</v>
      </c>
      <c r="P96" t="s">
        <v>108</v>
      </c>
      <c r="Q96" t="s">
        <v>179</v>
      </c>
    </row>
    <row r="97" spans="1:17" x14ac:dyDescent="0.25">
      <c r="A97" t="s">
        <v>140</v>
      </c>
      <c r="C97" t="s">
        <v>177</v>
      </c>
      <c r="D97">
        <v>2</v>
      </c>
      <c r="I97">
        <v>109445</v>
      </c>
      <c r="K97" s="18">
        <v>40391.549305555556</v>
      </c>
      <c r="L97" s="19">
        <v>40391.382638888892</v>
      </c>
      <c r="M97" t="s">
        <v>161</v>
      </c>
      <c r="P97" t="s">
        <v>108</v>
      </c>
      <c r="Q97" t="s">
        <v>179</v>
      </c>
    </row>
    <row r="98" spans="1:17" x14ac:dyDescent="0.25">
      <c r="A98" t="s">
        <v>140</v>
      </c>
      <c r="C98" t="s">
        <v>176</v>
      </c>
      <c r="D98">
        <v>1</v>
      </c>
      <c r="I98">
        <v>109448</v>
      </c>
      <c r="K98" s="18">
        <v>40391.557638888888</v>
      </c>
      <c r="L98" s="19">
        <v>40391.390972222223</v>
      </c>
      <c r="M98" t="s">
        <v>161</v>
      </c>
      <c r="P98" t="s">
        <v>108</v>
      </c>
      <c r="Q98" t="s">
        <v>179</v>
      </c>
    </row>
    <row r="99" spans="1:17" x14ac:dyDescent="0.25">
      <c r="A99" t="s">
        <v>140</v>
      </c>
      <c r="C99" t="s">
        <v>178</v>
      </c>
      <c r="D99">
        <v>1</v>
      </c>
      <c r="I99">
        <v>109449</v>
      </c>
      <c r="K99" s="18">
        <v>40391.568055555559</v>
      </c>
      <c r="L99" s="19">
        <v>40391.401388888888</v>
      </c>
      <c r="M99" t="s">
        <v>161</v>
      </c>
      <c r="P99" t="s">
        <v>108</v>
      </c>
      <c r="Q99" t="s">
        <v>179</v>
      </c>
    </row>
    <row r="100" spans="1:17" x14ac:dyDescent="0.25">
      <c r="A100" t="s">
        <v>154</v>
      </c>
      <c r="C100" t="s">
        <v>169</v>
      </c>
      <c r="D100">
        <v>1</v>
      </c>
      <c r="I100">
        <v>109127</v>
      </c>
      <c r="K100" s="18">
        <v>40391.616666666669</v>
      </c>
      <c r="L100" s="19">
        <v>40391.449999999997</v>
      </c>
      <c r="M100" t="s">
        <v>161</v>
      </c>
      <c r="P100" t="s">
        <v>108</v>
      </c>
      <c r="Q100" t="s">
        <v>164</v>
      </c>
    </row>
    <row r="101" spans="1:17" x14ac:dyDescent="0.25">
      <c r="A101" t="s">
        <v>154</v>
      </c>
      <c r="C101" t="s">
        <v>171</v>
      </c>
      <c r="D101">
        <v>1</v>
      </c>
      <c r="I101">
        <v>109451</v>
      </c>
      <c r="K101" s="18">
        <v>40391.626388888886</v>
      </c>
      <c r="L101" s="19">
        <v>40391.459722222222</v>
      </c>
      <c r="M101" t="s">
        <v>161</v>
      </c>
      <c r="P101" t="s">
        <v>108</v>
      </c>
      <c r="Q101" t="s">
        <v>164</v>
      </c>
    </row>
    <row r="102" spans="1:17" x14ac:dyDescent="0.25">
      <c r="A102" t="s">
        <v>154</v>
      </c>
      <c r="C102" t="s">
        <v>170</v>
      </c>
      <c r="D102">
        <v>1</v>
      </c>
      <c r="I102">
        <v>106323</v>
      </c>
      <c r="K102" s="18">
        <v>40391.636111111111</v>
      </c>
      <c r="L102" s="19">
        <v>40391.469444444447</v>
      </c>
      <c r="M102" t="s">
        <v>161</v>
      </c>
      <c r="P102" t="s">
        <v>108</v>
      </c>
      <c r="Q102" t="s">
        <v>164</v>
      </c>
    </row>
    <row r="103" spans="1:17" x14ac:dyDescent="0.25">
      <c r="A103" t="s">
        <v>154</v>
      </c>
      <c r="C103" t="s">
        <v>177</v>
      </c>
      <c r="D103">
        <v>1</v>
      </c>
      <c r="I103">
        <v>109443</v>
      </c>
      <c r="K103" s="18">
        <v>40391.643750000003</v>
      </c>
      <c r="L103" s="19">
        <v>40391.477083333331</v>
      </c>
      <c r="M103" t="s">
        <v>161</v>
      </c>
      <c r="P103" t="s">
        <v>108</v>
      </c>
      <c r="Q103" t="s">
        <v>164</v>
      </c>
    </row>
    <row r="104" spans="1:17" x14ac:dyDescent="0.25">
      <c r="A104" t="s">
        <v>154</v>
      </c>
      <c r="C104" t="s">
        <v>168</v>
      </c>
      <c r="D104">
        <v>2</v>
      </c>
      <c r="I104">
        <v>109460</v>
      </c>
      <c r="K104" s="18">
        <v>40391.677083333336</v>
      </c>
      <c r="L104" s="19">
        <v>40391.510416666664</v>
      </c>
      <c r="M104" t="s">
        <v>161</v>
      </c>
      <c r="P104" t="s">
        <v>108</v>
      </c>
      <c r="Q104" t="s">
        <v>164</v>
      </c>
    </row>
    <row r="105" spans="1:17" x14ac:dyDescent="0.25">
      <c r="A105" t="s">
        <v>154</v>
      </c>
      <c r="C105" t="s">
        <v>167</v>
      </c>
      <c r="D105">
        <v>1</v>
      </c>
      <c r="I105">
        <v>109446</v>
      </c>
      <c r="K105" s="18">
        <v>40391.693055555559</v>
      </c>
      <c r="L105" s="19">
        <v>40391.526388888888</v>
      </c>
      <c r="M105" t="s">
        <v>161</v>
      </c>
      <c r="P105" t="s">
        <v>108</v>
      </c>
      <c r="Q105" t="s">
        <v>164</v>
      </c>
    </row>
    <row r="106" spans="1:17" x14ac:dyDescent="0.25">
      <c r="A106" t="s">
        <v>154</v>
      </c>
      <c r="C106" t="s">
        <v>178</v>
      </c>
      <c r="D106">
        <v>1</v>
      </c>
      <c r="I106">
        <v>109444</v>
      </c>
      <c r="K106" s="18">
        <v>40391.702777777777</v>
      </c>
      <c r="L106" s="19">
        <v>40391.536111111112</v>
      </c>
      <c r="M106" t="s">
        <v>161</v>
      </c>
      <c r="P106" t="s">
        <v>108</v>
      </c>
      <c r="Q106" t="s">
        <v>164</v>
      </c>
    </row>
    <row r="107" spans="1:17" x14ac:dyDescent="0.25">
      <c r="A107" t="s">
        <v>154</v>
      </c>
      <c r="C107" t="s">
        <v>175</v>
      </c>
      <c r="D107">
        <v>1</v>
      </c>
      <c r="I107">
        <v>109126</v>
      </c>
      <c r="K107" s="18">
        <v>40391.718055555553</v>
      </c>
      <c r="L107" s="19">
        <v>40391.551388888889</v>
      </c>
      <c r="M107" t="s">
        <v>161</v>
      </c>
      <c r="P107" t="s">
        <v>108</v>
      </c>
      <c r="Q107" t="s">
        <v>164</v>
      </c>
    </row>
    <row r="108" spans="1:17" x14ac:dyDescent="0.25">
      <c r="A108" t="s">
        <v>154</v>
      </c>
      <c r="C108" t="s">
        <v>166</v>
      </c>
      <c r="D108">
        <v>3</v>
      </c>
      <c r="I108">
        <v>109121</v>
      </c>
      <c r="K108" s="18">
        <v>40391.746527777781</v>
      </c>
      <c r="L108" s="19">
        <v>40391.579861111109</v>
      </c>
      <c r="M108" t="s">
        <v>161</v>
      </c>
      <c r="P108" t="s">
        <v>108</v>
      </c>
      <c r="Q108" t="s">
        <v>164</v>
      </c>
    </row>
    <row r="109" spans="1:17" x14ac:dyDescent="0.25">
      <c r="A109" t="s">
        <v>154</v>
      </c>
      <c r="C109" t="s">
        <v>165</v>
      </c>
      <c r="D109">
        <v>2</v>
      </c>
      <c r="I109">
        <v>106324</v>
      </c>
      <c r="K109" s="18">
        <v>40391.762499999997</v>
      </c>
      <c r="L109" s="19">
        <v>40391.595833333333</v>
      </c>
      <c r="M109" t="s">
        <v>161</v>
      </c>
      <c r="P109" t="s">
        <v>108</v>
      </c>
      <c r="Q109" t="s">
        <v>164</v>
      </c>
    </row>
    <row r="110" spans="1:17" x14ac:dyDescent="0.25">
      <c r="A110" t="s">
        <v>154</v>
      </c>
      <c r="C110" t="s">
        <v>160</v>
      </c>
      <c r="D110">
        <v>3</v>
      </c>
      <c r="I110">
        <v>109125</v>
      </c>
      <c r="K110" s="18">
        <v>40391.774305555555</v>
      </c>
      <c r="L110" s="19">
        <v>40391.607638888891</v>
      </c>
      <c r="M110" t="s">
        <v>161</v>
      </c>
      <c r="P110" t="s">
        <v>108</v>
      </c>
      <c r="Q110" t="s">
        <v>164</v>
      </c>
    </row>
    <row r="111" spans="1:17" x14ac:dyDescent="0.25">
      <c r="A111" t="s">
        <v>144</v>
      </c>
      <c r="C111" t="s">
        <v>177</v>
      </c>
      <c r="D111">
        <v>2</v>
      </c>
      <c r="I111">
        <v>109418</v>
      </c>
      <c r="K111" s="18">
        <v>40392.700694444444</v>
      </c>
      <c r="L111" s="19">
        <v>40392.53402777778</v>
      </c>
      <c r="M111" t="s">
        <v>161</v>
      </c>
      <c r="P111" t="s">
        <v>108</v>
      </c>
      <c r="Q111" t="s">
        <v>179</v>
      </c>
    </row>
    <row r="112" spans="1:17" x14ac:dyDescent="0.25">
      <c r="A112" t="s">
        <v>132</v>
      </c>
      <c r="C112" t="s">
        <v>178</v>
      </c>
      <c r="D112">
        <v>1</v>
      </c>
      <c r="I112">
        <v>109467</v>
      </c>
      <c r="K112" s="18">
        <v>40392.701388888891</v>
      </c>
      <c r="L112" s="19">
        <v>40392.534722222219</v>
      </c>
      <c r="M112" t="s">
        <v>161</v>
      </c>
      <c r="P112" t="s">
        <v>108</v>
      </c>
      <c r="Q112" t="s">
        <v>179</v>
      </c>
    </row>
    <row r="113" spans="1:39" x14ac:dyDescent="0.25">
      <c r="A113" t="s">
        <v>144</v>
      </c>
      <c r="C113" t="s">
        <v>178</v>
      </c>
      <c r="D113">
        <v>2</v>
      </c>
      <c r="I113">
        <v>109461</v>
      </c>
      <c r="K113" s="18">
        <v>40392.711805555555</v>
      </c>
      <c r="L113" s="19">
        <v>40392.545138888891</v>
      </c>
      <c r="M113" t="s">
        <v>161</v>
      </c>
      <c r="P113" t="s">
        <v>108</v>
      </c>
      <c r="Q113" t="s">
        <v>179</v>
      </c>
      <c r="AM113" s="38"/>
    </row>
    <row r="114" spans="1:39" x14ac:dyDescent="0.25">
      <c r="A114" t="s">
        <v>122</v>
      </c>
      <c r="C114" t="s">
        <v>178</v>
      </c>
      <c r="D114">
        <v>1</v>
      </c>
      <c r="I114">
        <v>109425</v>
      </c>
      <c r="K114" s="18">
        <v>40392.815972222219</v>
      </c>
      <c r="L114" s="19">
        <v>40392.649305555555</v>
      </c>
      <c r="M114" t="s">
        <v>161</v>
      </c>
      <c r="P114" t="s">
        <v>108</v>
      </c>
      <c r="Q114" t="s">
        <v>179</v>
      </c>
    </row>
    <row r="115" spans="1:39" x14ac:dyDescent="0.25">
      <c r="A115" t="s">
        <v>122</v>
      </c>
      <c r="C115" t="s">
        <v>177</v>
      </c>
      <c r="D115">
        <v>1</v>
      </c>
      <c r="I115">
        <v>109466</v>
      </c>
      <c r="K115" s="18">
        <v>40392.847222222219</v>
      </c>
      <c r="L115" s="19">
        <v>40392.680555555555</v>
      </c>
      <c r="M115" t="s">
        <v>161</v>
      </c>
      <c r="P115" t="s">
        <v>108</v>
      </c>
      <c r="Q115" t="s">
        <v>179</v>
      </c>
    </row>
    <row r="116" spans="1:39" x14ac:dyDescent="0.25">
      <c r="A116" t="s">
        <v>158</v>
      </c>
      <c r="C116" t="s">
        <v>182</v>
      </c>
      <c r="D116">
        <v>1</v>
      </c>
      <c r="I116">
        <v>109447</v>
      </c>
      <c r="K116" s="18">
        <v>40393.788194444445</v>
      </c>
      <c r="L116" s="19">
        <v>40393.621527777781</v>
      </c>
      <c r="M116" t="s">
        <v>161</v>
      </c>
      <c r="P116" t="s">
        <v>108</v>
      </c>
      <c r="Q116" t="s">
        <v>164</v>
      </c>
    </row>
    <row r="117" spans="1:39" x14ac:dyDescent="0.25">
      <c r="A117" t="s">
        <v>158</v>
      </c>
      <c r="C117" t="s">
        <v>183</v>
      </c>
      <c r="D117">
        <v>1</v>
      </c>
      <c r="I117">
        <v>109432</v>
      </c>
      <c r="K117" s="18">
        <v>40393.820833333331</v>
      </c>
      <c r="L117" s="19">
        <v>40393.654166666667</v>
      </c>
      <c r="M117" t="s">
        <v>161</v>
      </c>
      <c r="P117" t="s">
        <v>108</v>
      </c>
      <c r="Q117" t="s">
        <v>164</v>
      </c>
    </row>
    <row r="118" spans="1:39" x14ac:dyDescent="0.25">
      <c r="A118" t="s">
        <v>158</v>
      </c>
      <c r="C118" t="s">
        <v>176</v>
      </c>
      <c r="D118">
        <v>1</v>
      </c>
      <c r="I118">
        <v>109423</v>
      </c>
      <c r="K118" s="18">
        <v>40393.833333333336</v>
      </c>
      <c r="L118" s="19">
        <v>40393.666666666664</v>
      </c>
      <c r="M118" t="s">
        <v>161</v>
      </c>
      <c r="P118" t="s">
        <v>108</v>
      </c>
      <c r="Q118" t="s">
        <v>164</v>
      </c>
    </row>
    <row r="119" spans="1:39" x14ac:dyDescent="0.25">
      <c r="A119" t="s">
        <v>146</v>
      </c>
      <c r="C119" t="s">
        <v>177</v>
      </c>
      <c r="D119">
        <v>2</v>
      </c>
      <c r="I119">
        <v>109421</v>
      </c>
      <c r="K119" s="18">
        <v>40394.578472222223</v>
      </c>
      <c r="L119" s="19">
        <v>40394.411805555559</v>
      </c>
      <c r="M119" t="s">
        <v>161</v>
      </c>
      <c r="P119" t="s">
        <v>108</v>
      </c>
      <c r="Q119" t="s">
        <v>164</v>
      </c>
    </row>
    <row r="120" spans="1:39" x14ac:dyDescent="0.25">
      <c r="A120" t="s">
        <v>146</v>
      </c>
      <c r="C120" t="s">
        <v>183</v>
      </c>
      <c r="D120">
        <v>1</v>
      </c>
      <c r="I120">
        <v>106784</v>
      </c>
      <c r="K120" s="18">
        <v>40394.607638888891</v>
      </c>
      <c r="L120" s="19">
        <v>40394.440972222219</v>
      </c>
      <c r="M120" t="s">
        <v>161</v>
      </c>
      <c r="P120" t="s">
        <v>108</v>
      </c>
      <c r="Q120" t="s">
        <v>164</v>
      </c>
    </row>
    <row r="121" spans="1:39" x14ac:dyDescent="0.25">
      <c r="A121" t="s">
        <v>146</v>
      </c>
      <c r="C121" t="s">
        <v>182</v>
      </c>
      <c r="D121">
        <v>1</v>
      </c>
      <c r="I121">
        <v>109411</v>
      </c>
      <c r="K121" s="18">
        <v>40394.612500000003</v>
      </c>
      <c r="L121" s="19">
        <v>40394.445833333331</v>
      </c>
      <c r="M121" t="s">
        <v>161</v>
      </c>
      <c r="P121" t="s">
        <v>108</v>
      </c>
      <c r="Q121" t="s">
        <v>164</v>
      </c>
    </row>
    <row r="122" spans="1:39" x14ac:dyDescent="0.25">
      <c r="A122" t="s">
        <v>146</v>
      </c>
      <c r="C122" t="s">
        <v>178</v>
      </c>
      <c r="D122">
        <v>3</v>
      </c>
      <c r="I122">
        <v>109410</v>
      </c>
      <c r="K122" s="18">
        <v>40394.677083333336</v>
      </c>
      <c r="L122" s="19">
        <v>40394.510416666664</v>
      </c>
      <c r="M122" t="s">
        <v>161</v>
      </c>
      <c r="P122" t="s">
        <v>108</v>
      </c>
      <c r="Q122" t="s">
        <v>164</v>
      </c>
    </row>
    <row r="123" spans="1:39" x14ac:dyDescent="0.25">
      <c r="A123" t="s">
        <v>134</v>
      </c>
      <c r="C123" t="s">
        <v>184</v>
      </c>
      <c r="D123">
        <v>1</v>
      </c>
      <c r="I123">
        <v>109426</v>
      </c>
      <c r="K123" s="18">
        <v>40394.768750000003</v>
      </c>
      <c r="L123" s="19">
        <v>40394.602083333331</v>
      </c>
      <c r="M123" t="s">
        <v>161</v>
      </c>
      <c r="P123" t="s">
        <v>108</v>
      </c>
      <c r="Q123" t="s">
        <v>164</v>
      </c>
    </row>
    <row r="124" spans="1:39" x14ac:dyDescent="0.25">
      <c r="A124" t="s">
        <v>158</v>
      </c>
      <c r="C124" t="s">
        <v>178</v>
      </c>
      <c r="D124">
        <v>1</v>
      </c>
      <c r="I124">
        <v>109424</v>
      </c>
      <c r="K124" s="18">
        <v>40394.815972222219</v>
      </c>
      <c r="L124" s="19">
        <v>40394.649305555555</v>
      </c>
      <c r="M124" t="s">
        <v>161</v>
      </c>
      <c r="P124" t="s">
        <v>108</v>
      </c>
      <c r="Q124" t="s">
        <v>164</v>
      </c>
    </row>
    <row r="125" spans="1:39" x14ac:dyDescent="0.25">
      <c r="A125" t="s">
        <v>154</v>
      </c>
      <c r="C125" t="s">
        <v>176</v>
      </c>
      <c r="D125">
        <v>1</v>
      </c>
      <c r="I125">
        <v>109435</v>
      </c>
      <c r="K125" s="18">
        <v>40484.697916666664</v>
      </c>
      <c r="L125" s="19">
        <v>40484.53125</v>
      </c>
      <c r="M125" t="s">
        <v>161</v>
      </c>
      <c r="P125" t="s">
        <v>108</v>
      </c>
      <c r="Q125" t="s">
        <v>164</v>
      </c>
    </row>
    <row r="126" spans="1:39" x14ac:dyDescent="0.25">
      <c r="A126" t="s">
        <v>150</v>
      </c>
      <c r="C126" t="s">
        <v>177</v>
      </c>
      <c r="D126">
        <v>2</v>
      </c>
      <c r="I126">
        <v>110011</v>
      </c>
      <c r="K126" s="18">
        <v>40758.495833333334</v>
      </c>
      <c r="L126" s="19">
        <v>40758.32916666667</v>
      </c>
      <c r="M126" t="s">
        <v>161</v>
      </c>
      <c r="P126" t="s">
        <v>108</v>
      </c>
      <c r="Q126" t="s">
        <v>179</v>
      </c>
    </row>
    <row r="127" spans="1:39" x14ac:dyDescent="0.25">
      <c r="A127" t="s">
        <v>128</v>
      </c>
      <c r="C127" t="s">
        <v>183</v>
      </c>
      <c r="D127">
        <v>3</v>
      </c>
      <c r="I127">
        <v>109996</v>
      </c>
      <c r="K127" s="18">
        <v>40758.506944444445</v>
      </c>
      <c r="L127" s="19">
        <v>40758.340277777781</v>
      </c>
      <c r="M127" t="s">
        <v>161</v>
      </c>
      <c r="P127" t="s">
        <v>108</v>
      </c>
      <c r="Q127" t="s">
        <v>179</v>
      </c>
    </row>
    <row r="128" spans="1:39" x14ac:dyDescent="0.25">
      <c r="A128" t="s">
        <v>128</v>
      </c>
      <c r="C128" t="s">
        <v>177</v>
      </c>
      <c r="D128">
        <v>2</v>
      </c>
      <c r="I128">
        <v>113218</v>
      </c>
      <c r="K128" s="18">
        <v>40758.513888888891</v>
      </c>
      <c r="L128" s="19">
        <v>40758.347222222219</v>
      </c>
      <c r="M128" t="s">
        <v>161</v>
      </c>
      <c r="P128" t="s">
        <v>108</v>
      </c>
      <c r="Q128" t="s">
        <v>179</v>
      </c>
    </row>
    <row r="129" spans="1:17" x14ac:dyDescent="0.25">
      <c r="A129" t="s">
        <v>136</v>
      </c>
      <c r="C129" t="s">
        <v>178</v>
      </c>
      <c r="D129">
        <v>2</v>
      </c>
      <c r="I129">
        <v>109886</v>
      </c>
      <c r="K129" s="18">
        <v>40758.525000000001</v>
      </c>
      <c r="L129" s="19">
        <v>40758.35833333333</v>
      </c>
      <c r="M129" t="s">
        <v>161</v>
      </c>
      <c r="P129" t="s">
        <v>108</v>
      </c>
      <c r="Q129" t="s">
        <v>179</v>
      </c>
    </row>
    <row r="130" spans="1:17" x14ac:dyDescent="0.25">
      <c r="A130" t="s">
        <v>150</v>
      </c>
      <c r="C130" t="s">
        <v>178</v>
      </c>
      <c r="D130">
        <v>2</v>
      </c>
      <c r="I130">
        <v>113226</v>
      </c>
      <c r="K130" s="18">
        <v>40758.540972222225</v>
      </c>
      <c r="L130" s="19">
        <v>40758.374305555553</v>
      </c>
      <c r="M130" t="s">
        <v>161</v>
      </c>
      <c r="P130" t="s">
        <v>108</v>
      </c>
      <c r="Q130" t="s">
        <v>179</v>
      </c>
    </row>
    <row r="131" spans="1:17" x14ac:dyDescent="0.25">
      <c r="A131" t="s">
        <v>118</v>
      </c>
      <c r="C131" t="s">
        <v>178</v>
      </c>
      <c r="D131">
        <v>4</v>
      </c>
      <c r="I131">
        <v>110004</v>
      </c>
      <c r="K131" s="18">
        <v>40758.571527777778</v>
      </c>
      <c r="L131" s="19">
        <v>40758.404861111114</v>
      </c>
      <c r="M131" t="s">
        <v>161</v>
      </c>
      <c r="P131" t="s">
        <v>108</v>
      </c>
      <c r="Q131" t="s">
        <v>164</v>
      </c>
    </row>
    <row r="132" spans="1:17" x14ac:dyDescent="0.25">
      <c r="A132" t="s">
        <v>118</v>
      </c>
      <c r="C132" t="s">
        <v>177</v>
      </c>
      <c r="D132">
        <v>4</v>
      </c>
      <c r="I132">
        <v>109500</v>
      </c>
      <c r="K132" s="18">
        <v>40758.578472222223</v>
      </c>
      <c r="L132" s="19">
        <v>40758.411805555559</v>
      </c>
      <c r="M132" t="s">
        <v>161</v>
      </c>
      <c r="P132" t="s">
        <v>108</v>
      </c>
      <c r="Q132" t="s">
        <v>164</v>
      </c>
    </row>
    <row r="133" spans="1:17" x14ac:dyDescent="0.25">
      <c r="A133" t="s">
        <v>118</v>
      </c>
      <c r="C133" t="s">
        <v>176</v>
      </c>
      <c r="D133">
        <v>2</v>
      </c>
      <c r="I133">
        <v>109934</v>
      </c>
      <c r="K133" s="18">
        <v>40758.593055555553</v>
      </c>
      <c r="L133" s="19">
        <v>40758.426388888889</v>
      </c>
      <c r="M133" t="s">
        <v>161</v>
      </c>
      <c r="P133" t="s">
        <v>108</v>
      </c>
      <c r="Q133" t="s">
        <v>164</v>
      </c>
    </row>
    <row r="134" spans="1:17" x14ac:dyDescent="0.25">
      <c r="A134" t="s">
        <v>118</v>
      </c>
      <c r="C134" t="s">
        <v>183</v>
      </c>
      <c r="D134">
        <v>4</v>
      </c>
      <c r="I134">
        <v>109914</v>
      </c>
      <c r="K134" s="18">
        <v>40758.607638888891</v>
      </c>
      <c r="L134" s="19">
        <v>40758.440972222219</v>
      </c>
      <c r="M134" t="s">
        <v>161</v>
      </c>
      <c r="P134" t="s">
        <v>108</v>
      </c>
      <c r="Q134" t="s">
        <v>164</v>
      </c>
    </row>
    <row r="135" spans="1:17" x14ac:dyDescent="0.25">
      <c r="A135" t="s">
        <v>118</v>
      </c>
      <c r="C135" t="s">
        <v>182</v>
      </c>
      <c r="D135">
        <v>3</v>
      </c>
      <c r="I135">
        <v>109897</v>
      </c>
      <c r="K135" s="18">
        <v>40758.628472222219</v>
      </c>
      <c r="L135" s="19">
        <v>40758.461805555555</v>
      </c>
      <c r="M135" t="s">
        <v>161</v>
      </c>
      <c r="P135" t="s">
        <v>108</v>
      </c>
      <c r="Q135" t="s">
        <v>164</v>
      </c>
    </row>
    <row r="136" spans="1:17" x14ac:dyDescent="0.25">
      <c r="A136" t="s">
        <v>126</v>
      </c>
      <c r="C136" t="s">
        <v>177</v>
      </c>
      <c r="D136">
        <v>6</v>
      </c>
      <c r="I136">
        <v>109953</v>
      </c>
      <c r="K136" s="18">
        <v>40758.680555555555</v>
      </c>
      <c r="L136" s="19">
        <v>40758.513888888891</v>
      </c>
      <c r="M136" t="s">
        <v>161</v>
      </c>
      <c r="P136" t="s">
        <v>108</v>
      </c>
      <c r="Q136" t="s">
        <v>164</v>
      </c>
    </row>
    <row r="137" spans="1:17" x14ac:dyDescent="0.25">
      <c r="A137" t="s">
        <v>152</v>
      </c>
      <c r="C137" t="s">
        <v>176</v>
      </c>
      <c r="D137">
        <v>1</v>
      </c>
      <c r="I137">
        <v>113216</v>
      </c>
      <c r="K137" s="18">
        <v>40758.770833333336</v>
      </c>
      <c r="L137" s="19">
        <v>40758.604166666664</v>
      </c>
      <c r="M137" t="s">
        <v>161</v>
      </c>
      <c r="P137" t="s">
        <v>108</v>
      </c>
      <c r="Q137" t="s">
        <v>164</v>
      </c>
    </row>
    <row r="138" spans="1:17" x14ac:dyDescent="0.25">
      <c r="A138" t="s">
        <v>154</v>
      </c>
      <c r="C138" t="s">
        <v>183</v>
      </c>
      <c r="D138">
        <v>3</v>
      </c>
      <c r="I138">
        <v>109877</v>
      </c>
      <c r="K138" s="18">
        <v>40758.819444444445</v>
      </c>
      <c r="L138" s="19">
        <v>40758.652777777781</v>
      </c>
      <c r="M138" t="s">
        <v>161</v>
      </c>
      <c r="P138" t="s">
        <v>108</v>
      </c>
      <c r="Q138" t="s">
        <v>179</v>
      </c>
    </row>
    <row r="139" spans="1:17" x14ac:dyDescent="0.25">
      <c r="A139" t="s">
        <v>154</v>
      </c>
      <c r="C139" t="s">
        <v>165</v>
      </c>
      <c r="D139">
        <v>3</v>
      </c>
      <c r="I139">
        <v>109883</v>
      </c>
      <c r="K139" s="18">
        <v>40759.505555555559</v>
      </c>
      <c r="L139" s="19">
        <v>40759.338888888888</v>
      </c>
      <c r="M139" t="s">
        <v>161</v>
      </c>
      <c r="P139" t="s">
        <v>108</v>
      </c>
      <c r="Q139" t="s">
        <v>164</v>
      </c>
    </row>
    <row r="140" spans="1:17" x14ac:dyDescent="0.25">
      <c r="A140" t="s">
        <v>154</v>
      </c>
      <c r="C140" t="s">
        <v>175</v>
      </c>
      <c r="D140">
        <v>2</v>
      </c>
      <c r="I140">
        <v>109921</v>
      </c>
      <c r="K140" s="18">
        <v>40759.510416666664</v>
      </c>
      <c r="L140" s="19">
        <v>40759.34375</v>
      </c>
      <c r="M140" t="s">
        <v>161</v>
      </c>
      <c r="P140" t="s">
        <v>108</v>
      </c>
      <c r="Q140" t="s">
        <v>164</v>
      </c>
    </row>
    <row r="141" spans="1:17" x14ac:dyDescent="0.25">
      <c r="A141" t="s">
        <v>154</v>
      </c>
      <c r="C141" t="s">
        <v>160</v>
      </c>
      <c r="D141">
        <v>4</v>
      </c>
      <c r="I141">
        <v>106326</v>
      </c>
      <c r="K141" s="18">
        <v>40759.518055555556</v>
      </c>
      <c r="L141" s="19">
        <v>40759.351388888892</v>
      </c>
      <c r="M141" t="s">
        <v>161</v>
      </c>
      <c r="P141" t="s">
        <v>108</v>
      </c>
      <c r="Q141" t="s">
        <v>164</v>
      </c>
    </row>
    <row r="142" spans="1:17" x14ac:dyDescent="0.25">
      <c r="A142" t="s">
        <v>154</v>
      </c>
      <c r="C142" t="s">
        <v>166</v>
      </c>
      <c r="D142">
        <v>4</v>
      </c>
      <c r="I142">
        <v>109990</v>
      </c>
      <c r="K142" s="18">
        <v>40759.524305555555</v>
      </c>
      <c r="L142" s="19">
        <v>40759.357638888891</v>
      </c>
      <c r="M142" t="s">
        <v>161</v>
      </c>
      <c r="P142" t="s">
        <v>108</v>
      </c>
      <c r="Q142" t="s">
        <v>164</v>
      </c>
    </row>
    <row r="143" spans="1:17" x14ac:dyDescent="0.25">
      <c r="A143" t="s">
        <v>154</v>
      </c>
      <c r="C143" t="s">
        <v>178</v>
      </c>
      <c r="D143">
        <v>2</v>
      </c>
      <c r="I143">
        <v>109983</v>
      </c>
      <c r="K143" s="18">
        <v>40759.538194444445</v>
      </c>
      <c r="L143" s="19">
        <v>40759.371527777781</v>
      </c>
      <c r="M143" t="s">
        <v>161</v>
      </c>
      <c r="P143" t="s">
        <v>108</v>
      </c>
      <c r="Q143" t="s">
        <v>164</v>
      </c>
    </row>
    <row r="144" spans="1:17" x14ac:dyDescent="0.25">
      <c r="A144" t="s">
        <v>154</v>
      </c>
      <c r="C144" t="s">
        <v>167</v>
      </c>
      <c r="D144">
        <v>2</v>
      </c>
      <c r="I144">
        <v>109945</v>
      </c>
      <c r="K144" s="18">
        <v>40759.545138888891</v>
      </c>
      <c r="L144" s="19">
        <v>40759.378472222219</v>
      </c>
      <c r="M144" t="s">
        <v>161</v>
      </c>
      <c r="P144" t="s">
        <v>108</v>
      </c>
      <c r="Q144" t="s">
        <v>164</v>
      </c>
    </row>
    <row r="145" spans="1:17" x14ac:dyDescent="0.25">
      <c r="A145" t="s">
        <v>154</v>
      </c>
      <c r="C145" t="s">
        <v>168</v>
      </c>
      <c r="D145">
        <v>3</v>
      </c>
      <c r="I145">
        <v>109942</v>
      </c>
      <c r="K145" s="18">
        <v>40759.552083333336</v>
      </c>
      <c r="L145" s="19">
        <v>40759.385416666664</v>
      </c>
      <c r="M145" t="s">
        <v>161</v>
      </c>
      <c r="P145" t="s">
        <v>108</v>
      </c>
      <c r="Q145" t="s">
        <v>164</v>
      </c>
    </row>
    <row r="146" spans="1:17" x14ac:dyDescent="0.25">
      <c r="A146" t="s">
        <v>154</v>
      </c>
      <c r="C146" t="s">
        <v>177</v>
      </c>
      <c r="D146">
        <v>2</v>
      </c>
      <c r="I146">
        <v>109892</v>
      </c>
      <c r="K146" s="18">
        <v>40759.556944444441</v>
      </c>
      <c r="L146" s="19">
        <v>40759.390277777777</v>
      </c>
      <c r="M146" t="s">
        <v>161</v>
      </c>
      <c r="P146" t="s">
        <v>108</v>
      </c>
      <c r="Q146" t="s">
        <v>164</v>
      </c>
    </row>
    <row r="147" spans="1:17" x14ac:dyDescent="0.25">
      <c r="A147" t="s">
        <v>154</v>
      </c>
      <c r="C147" t="s">
        <v>170</v>
      </c>
      <c r="D147">
        <v>2</v>
      </c>
      <c r="I147">
        <v>109911</v>
      </c>
      <c r="K147" s="18">
        <v>40759.5625</v>
      </c>
      <c r="L147" s="19">
        <v>40759.395833333336</v>
      </c>
      <c r="M147" t="s">
        <v>161</v>
      </c>
      <c r="P147" t="s">
        <v>108</v>
      </c>
      <c r="Q147" t="s">
        <v>164</v>
      </c>
    </row>
    <row r="148" spans="1:17" x14ac:dyDescent="0.25">
      <c r="A148" t="s">
        <v>154</v>
      </c>
      <c r="C148" t="s">
        <v>171</v>
      </c>
      <c r="D148">
        <v>2</v>
      </c>
      <c r="I148">
        <v>109514</v>
      </c>
      <c r="K148" s="18">
        <v>40759.566666666666</v>
      </c>
      <c r="L148" s="19">
        <v>40759.4</v>
      </c>
      <c r="M148" t="s">
        <v>161</v>
      </c>
      <c r="P148" t="s">
        <v>108</v>
      </c>
      <c r="Q148" t="s">
        <v>164</v>
      </c>
    </row>
    <row r="149" spans="1:17" x14ac:dyDescent="0.25">
      <c r="A149" t="s">
        <v>154</v>
      </c>
      <c r="C149" t="s">
        <v>169</v>
      </c>
      <c r="D149">
        <v>2</v>
      </c>
      <c r="I149">
        <v>109420</v>
      </c>
      <c r="K149" s="18">
        <v>40759.579861111109</v>
      </c>
      <c r="L149" s="19">
        <v>40759.413194444445</v>
      </c>
      <c r="M149" t="s">
        <v>161</v>
      </c>
      <c r="P149" t="s">
        <v>108</v>
      </c>
      <c r="Q149" t="s">
        <v>164</v>
      </c>
    </row>
    <row r="150" spans="1:17" x14ac:dyDescent="0.25">
      <c r="A150" t="s">
        <v>154</v>
      </c>
      <c r="C150" t="s">
        <v>176</v>
      </c>
      <c r="D150">
        <v>2</v>
      </c>
      <c r="I150">
        <v>109984</v>
      </c>
      <c r="K150" s="18">
        <v>40759.611805555556</v>
      </c>
      <c r="L150" s="19">
        <v>40759.445138888892</v>
      </c>
      <c r="M150" t="s">
        <v>161</v>
      </c>
      <c r="P150" t="s">
        <v>108</v>
      </c>
      <c r="Q150" t="s">
        <v>164</v>
      </c>
    </row>
    <row r="151" spans="1:17" x14ac:dyDescent="0.25">
      <c r="A151" t="s">
        <v>154</v>
      </c>
      <c r="C151" t="s">
        <v>174</v>
      </c>
      <c r="D151">
        <v>2</v>
      </c>
      <c r="I151">
        <v>109878</v>
      </c>
      <c r="K151" s="18">
        <v>40759.623611111114</v>
      </c>
      <c r="L151" s="19">
        <v>40759.456944444442</v>
      </c>
      <c r="M151" t="s">
        <v>161</v>
      </c>
      <c r="P151" t="s">
        <v>108</v>
      </c>
      <c r="Q151" t="s">
        <v>164</v>
      </c>
    </row>
    <row r="152" spans="1:17" x14ac:dyDescent="0.25">
      <c r="A152" t="s">
        <v>154</v>
      </c>
      <c r="C152" t="s">
        <v>172</v>
      </c>
      <c r="D152">
        <v>3</v>
      </c>
      <c r="I152">
        <v>110007</v>
      </c>
      <c r="K152" s="18">
        <v>40759.628472222219</v>
      </c>
      <c r="L152" s="19">
        <v>40759.461805555555</v>
      </c>
      <c r="M152" t="s">
        <v>161</v>
      </c>
      <c r="P152" t="s">
        <v>108</v>
      </c>
      <c r="Q152" t="s">
        <v>164</v>
      </c>
    </row>
    <row r="153" spans="1:17" x14ac:dyDescent="0.25">
      <c r="A153" t="s">
        <v>154</v>
      </c>
      <c r="C153" t="s">
        <v>173</v>
      </c>
      <c r="D153">
        <v>2</v>
      </c>
      <c r="I153">
        <v>109957</v>
      </c>
      <c r="K153" s="18">
        <v>40759.635416666664</v>
      </c>
      <c r="L153" s="19">
        <v>40759.46875</v>
      </c>
      <c r="M153" t="s">
        <v>161</v>
      </c>
      <c r="P153" t="s">
        <v>108</v>
      </c>
      <c r="Q153" t="s">
        <v>164</v>
      </c>
    </row>
    <row r="154" spans="1:17" x14ac:dyDescent="0.25">
      <c r="A154" t="s">
        <v>154</v>
      </c>
      <c r="C154" t="s">
        <v>181</v>
      </c>
      <c r="D154">
        <v>3</v>
      </c>
      <c r="I154">
        <v>109880</v>
      </c>
      <c r="K154" s="18">
        <v>40759.640277777777</v>
      </c>
      <c r="L154" s="19">
        <v>40759.473611111112</v>
      </c>
      <c r="M154" t="s">
        <v>161</v>
      </c>
      <c r="P154" t="s">
        <v>108</v>
      </c>
      <c r="Q154" t="s">
        <v>164</v>
      </c>
    </row>
    <row r="155" spans="1:17" x14ac:dyDescent="0.25">
      <c r="A155" t="s">
        <v>144</v>
      </c>
      <c r="C155" t="s">
        <v>178</v>
      </c>
      <c r="D155">
        <v>3</v>
      </c>
      <c r="I155">
        <v>109876</v>
      </c>
      <c r="K155" s="18">
        <v>40759.65</v>
      </c>
      <c r="L155" s="19">
        <v>40759.48333333333</v>
      </c>
      <c r="M155" t="s">
        <v>161</v>
      </c>
      <c r="P155" t="s">
        <v>108</v>
      </c>
      <c r="Q155" t="s">
        <v>179</v>
      </c>
    </row>
    <row r="156" spans="1:17" x14ac:dyDescent="0.25">
      <c r="A156" t="s">
        <v>144</v>
      </c>
      <c r="C156" t="s">
        <v>177</v>
      </c>
      <c r="D156">
        <v>3</v>
      </c>
      <c r="I156">
        <v>109951</v>
      </c>
      <c r="K156" s="18">
        <v>40759.654166666667</v>
      </c>
      <c r="L156" s="19">
        <v>40759.487500000003</v>
      </c>
      <c r="M156" t="s">
        <v>161</v>
      </c>
      <c r="P156" t="s">
        <v>108</v>
      </c>
      <c r="Q156" t="s">
        <v>179</v>
      </c>
    </row>
    <row r="157" spans="1:17" x14ac:dyDescent="0.25">
      <c r="A157" t="s">
        <v>124</v>
      </c>
      <c r="C157" t="s">
        <v>177</v>
      </c>
      <c r="D157">
        <v>3</v>
      </c>
      <c r="I157">
        <v>109975</v>
      </c>
      <c r="K157" s="18">
        <v>40759.690972222219</v>
      </c>
      <c r="L157" s="19">
        <v>40759.524305555555</v>
      </c>
      <c r="M157" t="s">
        <v>161</v>
      </c>
      <c r="P157" t="s">
        <v>108</v>
      </c>
      <c r="Q157" t="s">
        <v>164</v>
      </c>
    </row>
    <row r="158" spans="1:17" x14ac:dyDescent="0.25">
      <c r="A158" t="s">
        <v>124</v>
      </c>
      <c r="C158" t="s">
        <v>176</v>
      </c>
      <c r="D158">
        <v>2</v>
      </c>
      <c r="I158">
        <v>113233</v>
      </c>
      <c r="K158" s="18">
        <v>40759.695138888892</v>
      </c>
      <c r="L158" s="19">
        <v>40759.52847222222</v>
      </c>
      <c r="M158" t="s">
        <v>161</v>
      </c>
      <c r="P158" t="s">
        <v>108</v>
      </c>
      <c r="Q158" t="s">
        <v>164</v>
      </c>
    </row>
    <row r="159" spans="1:17" x14ac:dyDescent="0.25">
      <c r="A159" t="s">
        <v>124</v>
      </c>
      <c r="C159" t="s">
        <v>183</v>
      </c>
      <c r="D159">
        <v>1</v>
      </c>
      <c r="I159">
        <v>109902</v>
      </c>
      <c r="K159" s="18">
        <v>40759.709027777775</v>
      </c>
      <c r="L159" s="19">
        <v>40759.542361111111</v>
      </c>
      <c r="M159" t="s">
        <v>161</v>
      </c>
      <c r="P159" t="s">
        <v>108</v>
      </c>
      <c r="Q159" t="s">
        <v>164</v>
      </c>
    </row>
    <row r="160" spans="1:17" x14ac:dyDescent="0.25">
      <c r="A160" t="s">
        <v>158</v>
      </c>
      <c r="C160" t="s">
        <v>183</v>
      </c>
      <c r="D160">
        <v>2</v>
      </c>
      <c r="I160">
        <v>113210</v>
      </c>
      <c r="K160" s="18">
        <v>40760.526388888888</v>
      </c>
      <c r="L160" s="19">
        <v>40760.359722222223</v>
      </c>
      <c r="M160" t="s">
        <v>161</v>
      </c>
      <c r="P160" t="s">
        <v>108</v>
      </c>
      <c r="Q160" t="s">
        <v>179</v>
      </c>
    </row>
    <row r="161" spans="1:17" x14ac:dyDescent="0.25">
      <c r="A161" t="s">
        <v>134</v>
      </c>
      <c r="C161" t="s">
        <v>184</v>
      </c>
      <c r="D161">
        <v>2</v>
      </c>
      <c r="I161">
        <v>113209</v>
      </c>
      <c r="K161" s="18">
        <v>40760.536111111112</v>
      </c>
      <c r="L161" s="19">
        <v>40760.369444444441</v>
      </c>
      <c r="M161" t="s">
        <v>161</v>
      </c>
      <c r="P161" t="s">
        <v>108</v>
      </c>
      <c r="Q161" t="s">
        <v>164</v>
      </c>
    </row>
    <row r="162" spans="1:17" x14ac:dyDescent="0.25">
      <c r="A162" t="s">
        <v>134</v>
      </c>
      <c r="C162" t="s">
        <v>182</v>
      </c>
      <c r="D162">
        <v>2</v>
      </c>
      <c r="I162">
        <v>109991</v>
      </c>
      <c r="K162" s="18">
        <v>40760.544444444444</v>
      </c>
      <c r="L162" s="19">
        <v>40760.37777777778</v>
      </c>
      <c r="M162" t="s">
        <v>161</v>
      </c>
      <c r="P162" t="s">
        <v>108</v>
      </c>
      <c r="Q162" t="s">
        <v>164</v>
      </c>
    </row>
    <row r="163" spans="1:17" x14ac:dyDescent="0.25">
      <c r="A163" t="s">
        <v>134</v>
      </c>
      <c r="C163" t="s">
        <v>178</v>
      </c>
      <c r="D163">
        <v>3</v>
      </c>
      <c r="I163">
        <v>113214</v>
      </c>
      <c r="K163" s="18">
        <v>40760.570138888892</v>
      </c>
      <c r="L163" s="19">
        <v>40760.40347222222</v>
      </c>
      <c r="M163" t="s">
        <v>161</v>
      </c>
      <c r="P163" t="s">
        <v>108</v>
      </c>
      <c r="Q163" t="s">
        <v>164</v>
      </c>
    </row>
    <row r="164" spans="1:17" x14ac:dyDescent="0.25">
      <c r="A164" t="s">
        <v>134</v>
      </c>
      <c r="C164" t="s">
        <v>176</v>
      </c>
      <c r="D164">
        <v>3</v>
      </c>
      <c r="I164">
        <v>113222</v>
      </c>
      <c r="K164" s="18">
        <v>40760.59097222222</v>
      </c>
      <c r="L164" s="19">
        <v>40760.424305555556</v>
      </c>
      <c r="M164" t="s">
        <v>161</v>
      </c>
      <c r="P164" t="s">
        <v>108</v>
      </c>
      <c r="Q164" t="s">
        <v>164</v>
      </c>
    </row>
    <row r="165" spans="1:17" x14ac:dyDescent="0.25">
      <c r="A165" t="s">
        <v>134</v>
      </c>
      <c r="C165" t="s">
        <v>181</v>
      </c>
      <c r="D165">
        <v>3</v>
      </c>
      <c r="I165">
        <v>109947</v>
      </c>
      <c r="K165" s="18">
        <v>40760.630555555559</v>
      </c>
      <c r="L165" s="19">
        <v>40760.463888888888</v>
      </c>
      <c r="M165" t="s">
        <v>161</v>
      </c>
      <c r="P165" t="s">
        <v>108</v>
      </c>
      <c r="Q165" t="s">
        <v>164</v>
      </c>
    </row>
    <row r="166" spans="1:17" x14ac:dyDescent="0.25">
      <c r="A166" t="s">
        <v>134</v>
      </c>
      <c r="C166" t="s">
        <v>183</v>
      </c>
      <c r="D166">
        <v>2</v>
      </c>
      <c r="I166">
        <v>109999</v>
      </c>
      <c r="K166" s="18">
        <v>40760.63958333333</v>
      </c>
      <c r="L166" s="19">
        <v>40760.472916666666</v>
      </c>
      <c r="M166" t="s">
        <v>161</v>
      </c>
      <c r="P166" t="s">
        <v>108</v>
      </c>
      <c r="Q166" t="s">
        <v>164</v>
      </c>
    </row>
    <row r="167" spans="1:17" x14ac:dyDescent="0.25">
      <c r="A167" t="s">
        <v>146</v>
      </c>
      <c r="C167" t="s">
        <v>181</v>
      </c>
      <c r="D167">
        <v>4</v>
      </c>
      <c r="I167">
        <v>113228</v>
      </c>
      <c r="K167" s="18">
        <v>40760.686111111114</v>
      </c>
      <c r="L167" s="19">
        <v>40760.519444444442</v>
      </c>
      <c r="M167" t="s">
        <v>161</v>
      </c>
      <c r="P167" t="s">
        <v>108</v>
      </c>
      <c r="Q167" t="s">
        <v>179</v>
      </c>
    </row>
    <row r="168" spans="1:17" x14ac:dyDescent="0.25">
      <c r="A168" t="s">
        <v>146</v>
      </c>
      <c r="C168" t="s">
        <v>176</v>
      </c>
      <c r="D168">
        <v>3</v>
      </c>
      <c r="I168">
        <v>113227</v>
      </c>
      <c r="K168" s="18">
        <v>40760.741666666669</v>
      </c>
      <c r="L168" s="19">
        <v>40760.574999999997</v>
      </c>
      <c r="M168" t="s">
        <v>161</v>
      </c>
      <c r="P168" t="s">
        <v>108</v>
      </c>
      <c r="Q168" t="s">
        <v>179</v>
      </c>
    </row>
    <row r="169" spans="1:17" x14ac:dyDescent="0.25">
      <c r="A169" t="s">
        <v>124</v>
      </c>
      <c r="C169" t="s">
        <v>178</v>
      </c>
      <c r="D169">
        <v>2</v>
      </c>
      <c r="I169">
        <v>109960</v>
      </c>
      <c r="K169" s="18">
        <v>40761.502083333333</v>
      </c>
      <c r="L169" s="19">
        <v>40761.335416666669</v>
      </c>
      <c r="M169" t="s">
        <v>161</v>
      </c>
      <c r="P169" t="s">
        <v>108</v>
      </c>
      <c r="Q169" t="s">
        <v>164</v>
      </c>
    </row>
    <row r="170" spans="1:17" x14ac:dyDescent="0.25">
      <c r="A170" t="s">
        <v>138</v>
      </c>
      <c r="C170" t="s">
        <v>177</v>
      </c>
      <c r="D170">
        <v>2</v>
      </c>
      <c r="I170">
        <v>109936</v>
      </c>
      <c r="K170" s="18">
        <v>40761.590277777781</v>
      </c>
      <c r="L170" s="19">
        <v>40761.423611111109</v>
      </c>
      <c r="M170" t="s">
        <v>161</v>
      </c>
      <c r="P170" t="s">
        <v>108</v>
      </c>
      <c r="Q170" t="s">
        <v>179</v>
      </c>
    </row>
    <row r="171" spans="1:17" x14ac:dyDescent="0.25">
      <c r="A171" t="s">
        <v>138</v>
      </c>
      <c r="C171" t="s">
        <v>182</v>
      </c>
      <c r="D171">
        <v>1</v>
      </c>
      <c r="I171">
        <v>113230</v>
      </c>
      <c r="K171" s="18">
        <v>40761.609722222223</v>
      </c>
      <c r="L171" s="19">
        <v>40761.443055555559</v>
      </c>
      <c r="M171" t="s">
        <v>161</v>
      </c>
      <c r="P171" t="s">
        <v>108</v>
      </c>
      <c r="Q171" t="s">
        <v>164</v>
      </c>
    </row>
    <row r="172" spans="1:17" x14ac:dyDescent="0.25">
      <c r="A172" t="s">
        <v>138</v>
      </c>
      <c r="C172" t="s">
        <v>178</v>
      </c>
      <c r="D172">
        <v>3</v>
      </c>
      <c r="I172">
        <v>113221</v>
      </c>
      <c r="K172" s="18">
        <v>40761.65625</v>
      </c>
      <c r="L172" s="19">
        <v>40761.489583333336</v>
      </c>
      <c r="M172" t="s">
        <v>161</v>
      </c>
      <c r="P172" t="s">
        <v>108</v>
      </c>
      <c r="Q172" t="s">
        <v>164</v>
      </c>
    </row>
    <row r="173" spans="1:17" x14ac:dyDescent="0.25">
      <c r="A173" t="s">
        <v>156</v>
      </c>
      <c r="C173" t="s">
        <v>178</v>
      </c>
      <c r="D173">
        <v>2</v>
      </c>
      <c r="I173">
        <v>113217</v>
      </c>
      <c r="K173" s="18">
        <v>40761.756249999999</v>
      </c>
      <c r="L173" s="19">
        <v>40761.589583333334</v>
      </c>
      <c r="M173" t="s">
        <v>161</v>
      </c>
      <c r="P173" t="s">
        <v>108</v>
      </c>
      <c r="Q173" t="s">
        <v>179</v>
      </c>
    </row>
    <row r="174" spans="1:17" x14ac:dyDescent="0.25">
      <c r="A174" t="s">
        <v>156</v>
      </c>
      <c r="C174" t="s">
        <v>177</v>
      </c>
      <c r="D174">
        <v>2</v>
      </c>
      <c r="I174">
        <v>109875</v>
      </c>
      <c r="K174" s="18">
        <v>40761.759027777778</v>
      </c>
      <c r="L174" s="19">
        <v>40761.592361111114</v>
      </c>
      <c r="M174" t="s">
        <v>161</v>
      </c>
      <c r="P174" t="s">
        <v>108</v>
      </c>
      <c r="Q174" t="s">
        <v>179</v>
      </c>
    </row>
    <row r="175" spans="1:17" x14ac:dyDescent="0.25">
      <c r="A175" t="s">
        <v>120</v>
      </c>
      <c r="C175" t="s">
        <v>178</v>
      </c>
      <c r="D175">
        <v>2</v>
      </c>
      <c r="I175">
        <v>113212</v>
      </c>
      <c r="K175" s="18">
        <v>40761.772222222222</v>
      </c>
      <c r="L175" s="19">
        <v>40761.605555555558</v>
      </c>
      <c r="M175" t="s">
        <v>161</v>
      </c>
      <c r="P175" t="s">
        <v>108</v>
      </c>
      <c r="Q175" t="s">
        <v>179</v>
      </c>
    </row>
    <row r="176" spans="1:17" x14ac:dyDescent="0.25">
      <c r="A176" t="s">
        <v>120</v>
      </c>
      <c r="C176" t="s">
        <v>177</v>
      </c>
      <c r="D176">
        <v>3</v>
      </c>
      <c r="I176">
        <v>109970</v>
      </c>
      <c r="K176" s="18">
        <v>40761.804166666669</v>
      </c>
      <c r="L176" s="19">
        <v>40761.637499999997</v>
      </c>
      <c r="M176" t="s">
        <v>161</v>
      </c>
      <c r="P176" t="s">
        <v>108</v>
      </c>
      <c r="Q176" t="s">
        <v>179</v>
      </c>
    </row>
    <row r="177" spans="1:38" x14ac:dyDescent="0.25">
      <c r="A177" t="s">
        <v>152</v>
      </c>
      <c r="C177" t="s">
        <v>177</v>
      </c>
      <c r="D177">
        <v>1</v>
      </c>
      <c r="I177">
        <v>113211</v>
      </c>
      <c r="K177" s="18">
        <v>40762.582638888889</v>
      </c>
      <c r="L177" s="19">
        <v>40762.415972222225</v>
      </c>
      <c r="M177" t="s">
        <v>161</v>
      </c>
      <c r="P177" t="s">
        <v>108</v>
      </c>
      <c r="Q177" t="s">
        <v>164</v>
      </c>
    </row>
    <row r="178" spans="1:38" x14ac:dyDescent="0.25">
      <c r="A178" t="s">
        <v>152</v>
      </c>
      <c r="C178" t="s">
        <v>183</v>
      </c>
      <c r="D178">
        <v>1</v>
      </c>
      <c r="I178">
        <v>113224</v>
      </c>
      <c r="K178" s="18">
        <v>40762.634722222225</v>
      </c>
      <c r="L178" s="19">
        <v>40762.468055555553</v>
      </c>
      <c r="M178" t="s">
        <v>161</v>
      </c>
      <c r="P178" t="s">
        <v>108</v>
      </c>
      <c r="Q178" t="s">
        <v>164</v>
      </c>
    </row>
    <row r="179" spans="1:38" x14ac:dyDescent="0.25">
      <c r="A179" t="s">
        <v>152</v>
      </c>
      <c r="C179" t="s">
        <v>178</v>
      </c>
      <c r="D179">
        <v>1</v>
      </c>
      <c r="I179">
        <v>113215</v>
      </c>
      <c r="K179" s="18">
        <v>40762.647222222222</v>
      </c>
      <c r="L179" s="19">
        <v>40762.480555555558</v>
      </c>
      <c r="M179" t="s">
        <v>161</v>
      </c>
      <c r="P179" t="s">
        <v>108</v>
      </c>
      <c r="Q179" t="s">
        <v>164</v>
      </c>
    </row>
    <row r="180" spans="1:38" x14ac:dyDescent="0.25">
      <c r="A180" t="s">
        <v>126</v>
      </c>
      <c r="C180" t="s">
        <v>176</v>
      </c>
      <c r="D180">
        <v>3</v>
      </c>
      <c r="I180">
        <v>113219</v>
      </c>
      <c r="K180" s="18">
        <v>40762.688888888886</v>
      </c>
      <c r="L180" s="19">
        <v>40762.522222222222</v>
      </c>
      <c r="M180" t="s">
        <v>161</v>
      </c>
      <c r="P180" t="s">
        <v>108</v>
      </c>
      <c r="Q180" t="s">
        <v>164</v>
      </c>
    </row>
    <row r="181" spans="1:38" x14ac:dyDescent="0.25">
      <c r="A181" t="s">
        <v>126</v>
      </c>
      <c r="C181" t="s">
        <v>183</v>
      </c>
      <c r="D181">
        <v>3</v>
      </c>
      <c r="I181">
        <v>113225</v>
      </c>
      <c r="K181" s="18">
        <v>40762.720138888886</v>
      </c>
      <c r="L181" s="19">
        <v>40762.553472222222</v>
      </c>
      <c r="M181" t="s">
        <v>161</v>
      </c>
      <c r="P181" t="s">
        <v>108</v>
      </c>
      <c r="Q181" t="s">
        <v>164</v>
      </c>
    </row>
    <row r="182" spans="1:38" x14ac:dyDescent="0.25">
      <c r="A182" t="s">
        <v>126</v>
      </c>
      <c r="C182" t="s">
        <v>181</v>
      </c>
      <c r="D182">
        <v>4</v>
      </c>
      <c r="I182">
        <v>113220</v>
      </c>
      <c r="K182" s="18">
        <v>40762.752083333333</v>
      </c>
      <c r="L182" s="19">
        <v>40762.585416666669</v>
      </c>
      <c r="M182" t="s">
        <v>161</v>
      </c>
      <c r="P182" t="s">
        <v>108</v>
      </c>
      <c r="Q182" t="s">
        <v>164</v>
      </c>
      <c r="V182" s="39"/>
      <c r="W182" s="39"/>
      <c r="X182" s="39"/>
    </row>
    <row r="183" spans="1:38" x14ac:dyDescent="0.25">
      <c r="A183" t="s">
        <v>126</v>
      </c>
      <c r="C183" t="s">
        <v>182</v>
      </c>
      <c r="D183">
        <v>4</v>
      </c>
      <c r="I183">
        <v>113229</v>
      </c>
      <c r="K183" s="18">
        <v>40762.770833333336</v>
      </c>
      <c r="L183" s="19">
        <v>40762.604166666664</v>
      </c>
      <c r="M183" t="s">
        <v>161</v>
      </c>
      <c r="P183" t="s">
        <v>108</v>
      </c>
      <c r="Q183" t="s">
        <v>164</v>
      </c>
    </row>
    <row r="184" spans="1:38" x14ac:dyDescent="0.25">
      <c r="A184" t="str">
        <f>LEFT(W184,3)</f>
        <v>ECH</v>
      </c>
      <c r="C184" t="str">
        <f>RIGHT(W184,3)</f>
        <v>001</v>
      </c>
      <c r="D184">
        <v>2</v>
      </c>
      <c r="I184">
        <f>Y184</f>
        <v>109968</v>
      </c>
      <c r="K184" s="18">
        <v>40762.96875</v>
      </c>
      <c r="L184" s="19">
        <f>AC184</f>
        <v>40762.802083333336</v>
      </c>
      <c r="M184" t="s">
        <v>161</v>
      </c>
      <c r="P184" t="s">
        <v>108</v>
      </c>
      <c r="Q184" t="s">
        <v>179</v>
      </c>
      <c r="R184" s="21" t="s">
        <v>432</v>
      </c>
      <c r="S184" s="32">
        <v>40762</v>
      </c>
      <c r="T184" t="s">
        <v>379</v>
      </c>
      <c r="U184" t="s">
        <v>433</v>
      </c>
      <c r="V184" t="s">
        <v>361</v>
      </c>
      <c r="W184" t="s">
        <v>270</v>
      </c>
      <c r="X184" t="s">
        <v>380</v>
      </c>
      <c r="Y184">
        <v>109968</v>
      </c>
      <c r="Z184" t="s">
        <v>235</v>
      </c>
      <c r="AA184" t="s">
        <v>381</v>
      </c>
      <c r="AB184" s="43">
        <v>0.80208333333333337</v>
      </c>
      <c r="AC184" s="45">
        <f>S184+AB184</f>
        <v>40762.802083333336</v>
      </c>
      <c r="AD184" t="s">
        <v>235</v>
      </c>
      <c r="AE184" t="s">
        <v>235</v>
      </c>
      <c r="AF184" t="s">
        <v>235</v>
      </c>
      <c r="AG184" t="s">
        <v>235</v>
      </c>
      <c r="AH184" t="s">
        <v>235</v>
      </c>
      <c r="AI184" t="s">
        <v>235</v>
      </c>
      <c r="AJ184" t="s">
        <v>235</v>
      </c>
      <c r="AK184" t="s">
        <v>235</v>
      </c>
      <c r="AL184" t="s">
        <v>235</v>
      </c>
    </row>
    <row r="185" spans="1:38" x14ac:dyDescent="0.25">
      <c r="A185" t="str">
        <f>LEFT(W185,3)</f>
        <v>ECH</v>
      </c>
      <c r="C185" t="str">
        <f>RIGHT(W185,3)</f>
        <v>002</v>
      </c>
      <c r="D185">
        <v>2</v>
      </c>
      <c r="I185">
        <f>Y185</f>
        <v>109905</v>
      </c>
      <c r="K185" s="18">
        <v>40762.972222222219</v>
      </c>
      <c r="L185" s="19">
        <f>AC185</f>
        <v>40762.805555555555</v>
      </c>
      <c r="M185" t="s">
        <v>161</v>
      </c>
      <c r="P185" t="s">
        <v>108</v>
      </c>
      <c r="Q185" t="s">
        <v>179</v>
      </c>
      <c r="R185" s="21" t="s">
        <v>432</v>
      </c>
      <c r="S185" s="32">
        <v>40762</v>
      </c>
      <c r="T185" t="s">
        <v>379</v>
      </c>
      <c r="U185" t="s">
        <v>433</v>
      </c>
      <c r="V185" t="s">
        <v>361</v>
      </c>
      <c r="W185" t="s">
        <v>269</v>
      </c>
      <c r="X185" t="s">
        <v>380</v>
      </c>
      <c r="Y185">
        <v>109905</v>
      </c>
      <c r="Z185" t="s">
        <v>235</v>
      </c>
      <c r="AA185" t="s">
        <v>381</v>
      </c>
      <c r="AB185" s="43">
        <v>0.80555555555555547</v>
      </c>
      <c r="AC185" s="45">
        <f>S185+AB185</f>
        <v>40762.805555555555</v>
      </c>
      <c r="AD185" t="s">
        <v>235</v>
      </c>
      <c r="AE185" t="s">
        <v>235</v>
      </c>
      <c r="AF185" t="s">
        <v>235</v>
      </c>
      <c r="AG185" t="s">
        <v>235</v>
      </c>
      <c r="AH185" t="s">
        <v>235</v>
      </c>
      <c r="AI185" t="s">
        <v>235</v>
      </c>
      <c r="AJ185" t="s">
        <v>235</v>
      </c>
      <c r="AK185" t="s">
        <v>235</v>
      </c>
      <c r="AL185" t="s">
        <v>235</v>
      </c>
    </row>
    <row r="186" spans="1:38" x14ac:dyDescent="0.25">
      <c r="A186" t="s">
        <v>154</v>
      </c>
      <c r="C186" t="s">
        <v>180</v>
      </c>
      <c r="D186">
        <v>1</v>
      </c>
      <c r="I186">
        <v>109453</v>
      </c>
      <c r="K186" s="18">
        <v>40763.503472222219</v>
      </c>
      <c r="L186" s="19">
        <v>40763.336805555555</v>
      </c>
      <c r="M186" t="s">
        <v>161</v>
      </c>
      <c r="P186" t="s">
        <v>108</v>
      </c>
      <c r="Q186" t="s">
        <v>164</v>
      </c>
    </row>
    <row r="187" spans="1:38" x14ac:dyDescent="0.25">
      <c r="A187" t="s">
        <v>114</v>
      </c>
      <c r="C187" t="s">
        <v>177</v>
      </c>
      <c r="D187">
        <v>2</v>
      </c>
      <c r="I187">
        <v>109890</v>
      </c>
      <c r="K187" s="18">
        <v>40763.545138888891</v>
      </c>
      <c r="L187" s="19">
        <v>40763.378472222219</v>
      </c>
      <c r="M187" t="s">
        <v>161</v>
      </c>
      <c r="P187" t="s">
        <v>108</v>
      </c>
      <c r="Q187" t="s">
        <v>179</v>
      </c>
    </row>
    <row r="188" spans="1:38" x14ac:dyDescent="0.25">
      <c r="A188" t="s">
        <v>114</v>
      </c>
      <c r="C188" t="s">
        <v>178</v>
      </c>
      <c r="D188">
        <v>2</v>
      </c>
      <c r="I188">
        <v>109888</v>
      </c>
      <c r="K188" s="18">
        <v>40763.590277777781</v>
      </c>
      <c r="L188" s="19">
        <v>40763.423611111109</v>
      </c>
      <c r="M188" t="s">
        <v>161</v>
      </c>
      <c r="P188" t="s">
        <v>108</v>
      </c>
      <c r="Q188" t="s">
        <v>179</v>
      </c>
    </row>
    <row r="189" spans="1:38" x14ac:dyDescent="0.25">
      <c r="A189" t="s">
        <v>140</v>
      </c>
      <c r="C189" t="s">
        <v>178</v>
      </c>
      <c r="D189">
        <v>2</v>
      </c>
      <c r="I189">
        <v>109930</v>
      </c>
      <c r="K189" s="18">
        <v>40763.603472222225</v>
      </c>
      <c r="L189" s="19">
        <v>40763.436805555553</v>
      </c>
      <c r="M189" t="s">
        <v>161</v>
      </c>
      <c r="P189" t="s">
        <v>108</v>
      </c>
      <c r="Q189" t="s">
        <v>179</v>
      </c>
    </row>
    <row r="190" spans="1:38" x14ac:dyDescent="0.25">
      <c r="A190" t="s">
        <v>140</v>
      </c>
      <c r="C190" t="s">
        <v>177</v>
      </c>
      <c r="D190">
        <v>3</v>
      </c>
      <c r="I190">
        <v>109995</v>
      </c>
      <c r="K190" s="18">
        <v>40763.607638888891</v>
      </c>
      <c r="L190" s="19">
        <v>40763.440972222219</v>
      </c>
      <c r="M190" t="s">
        <v>161</v>
      </c>
      <c r="P190" t="s">
        <v>108</v>
      </c>
      <c r="Q190" t="s">
        <v>179</v>
      </c>
    </row>
    <row r="191" spans="1:38" x14ac:dyDescent="0.25">
      <c r="A191" t="s">
        <v>140</v>
      </c>
      <c r="C191" t="s">
        <v>176</v>
      </c>
      <c r="D191">
        <v>2</v>
      </c>
      <c r="I191">
        <v>109971</v>
      </c>
      <c r="K191" s="18">
        <v>40763.609722222223</v>
      </c>
      <c r="L191" s="19">
        <v>40763.443055555559</v>
      </c>
      <c r="M191" t="s">
        <v>161</v>
      </c>
      <c r="P191" t="s">
        <v>108</v>
      </c>
      <c r="Q191" t="s">
        <v>179</v>
      </c>
    </row>
    <row r="192" spans="1:38" x14ac:dyDescent="0.25">
      <c r="A192" t="s">
        <v>111</v>
      </c>
      <c r="C192" t="s">
        <v>178</v>
      </c>
      <c r="D192">
        <v>2</v>
      </c>
      <c r="I192">
        <v>109879</v>
      </c>
      <c r="K192" s="18">
        <v>40763.668055555558</v>
      </c>
      <c r="L192" s="19">
        <v>40763.501388888886</v>
      </c>
      <c r="M192" t="s">
        <v>161</v>
      </c>
      <c r="P192" t="s">
        <v>108</v>
      </c>
      <c r="Q192" t="s">
        <v>179</v>
      </c>
    </row>
    <row r="193" spans="1:39" x14ac:dyDescent="0.25">
      <c r="A193" t="s">
        <v>142</v>
      </c>
      <c r="C193" t="s">
        <v>178</v>
      </c>
      <c r="D193">
        <v>3</v>
      </c>
      <c r="I193">
        <v>109889</v>
      </c>
      <c r="K193" s="18">
        <v>40763.680555555555</v>
      </c>
      <c r="L193" s="19">
        <v>40763.513888888891</v>
      </c>
      <c r="M193" t="s">
        <v>161</v>
      </c>
      <c r="P193" t="s">
        <v>108</v>
      </c>
      <c r="Q193" t="s">
        <v>179</v>
      </c>
    </row>
    <row r="194" spans="1:39" x14ac:dyDescent="0.25">
      <c r="A194" t="s">
        <v>142</v>
      </c>
      <c r="C194" t="s">
        <v>177</v>
      </c>
      <c r="D194">
        <v>2</v>
      </c>
      <c r="I194">
        <v>109927</v>
      </c>
      <c r="K194" s="18">
        <v>40763.6875</v>
      </c>
      <c r="L194" s="19">
        <v>40763.520833333336</v>
      </c>
      <c r="M194" t="s">
        <v>161</v>
      </c>
      <c r="P194" t="s">
        <v>108</v>
      </c>
      <c r="Q194" t="s">
        <v>179</v>
      </c>
    </row>
    <row r="195" spans="1:39" x14ac:dyDescent="0.25">
      <c r="A195" t="s">
        <v>116</v>
      </c>
      <c r="C195" t="s">
        <v>178</v>
      </c>
      <c r="D195">
        <v>1</v>
      </c>
      <c r="I195">
        <v>109909</v>
      </c>
      <c r="K195" s="18">
        <v>40763.791666666664</v>
      </c>
      <c r="L195" s="19">
        <v>40763.625</v>
      </c>
      <c r="M195" t="s">
        <v>161</v>
      </c>
      <c r="P195" t="s">
        <v>108</v>
      </c>
      <c r="Q195" t="s">
        <v>179</v>
      </c>
    </row>
    <row r="196" spans="1:39" x14ac:dyDescent="0.25">
      <c r="A196" t="s">
        <v>126</v>
      </c>
      <c r="C196" t="s">
        <v>169</v>
      </c>
      <c r="D196">
        <v>1</v>
      </c>
      <c r="I196">
        <v>109981</v>
      </c>
      <c r="K196" s="18">
        <v>40764.54791666667</v>
      </c>
      <c r="L196" s="19">
        <v>40764.381249999999</v>
      </c>
      <c r="M196" t="s">
        <v>161</v>
      </c>
      <c r="P196" t="s">
        <v>108</v>
      </c>
      <c r="Q196" t="s">
        <v>179</v>
      </c>
    </row>
    <row r="197" spans="1:39" x14ac:dyDescent="0.25">
      <c r="A197" t="s">
        <v>126</v>
      </c>
      <c r="C197" t="s">
        <v>172</v>
      </c>
      <c r="D197">
        <v>1</v>
      </c>
      <c r="I197">
        <v>109913</v>
      </c>
      <c r="K197" s="18">
        <v>40764.558333333334</v>
      </c>
      <c r="L197" s="19">
        <v>40764.39166666667</v>
      </c>
      <c r="M197" t="s">
        <v>161</v>
      </c>
      <c r="P197" t="s">
        <v>108</v>
      </c>
      <c r="Q197" t="s">
        <v>179</v>
      </c>
    </row>
    <row r="198" spans="1:39" x14ac:dyDescent="0.25">
      <c r="A198" t="s">
        <v>148</v>
      </c>
      <c r="C198" t="s">
        <v>178</v>
      </c>
      <c r="D198">
        <v>2</v>
      </c>
      <c r="I198">
        <v>110005</v>
      </c>
      <c r="K198" s="18">
        <v>40764.582638888889</v>
      </c>
      <c r="L198" s="19">
        <v>40764.415972222225</v>
      </c>
      <c r="M198" t="s">
        <v>161</v>
      </c>
      <c r="P198" t="s">
        <v>108</v>
      </c>
      <c r="Q198" t="s">
        <v>179</v>
      </c>
      <c r="AM198" s="21"/>
    </row>
    <row r="199" spans="1:39" x14ac:dyDescent="0.25">
      <c r="A199" t="s">
        <v>148</v>
      </c>
      <c r="C199" t="s">
        <v>177</v>
      </c>
      <c r="D199">
        <v>2</v>
      </c>
      <c r="I199">
        <v>109896</v>
      </c>
      <c r="K199" s="18">
        <v>40764.604166666664</v>
      </c>
      <c r="L199" s="19">
        <v>40764.4375</v>
      </c>
      <c r="M199" t="s">
        <v>161</v>
      </c>
      <c r="P199" t="s">
        <v>108</v>
      </c>
      <c r="Q199" t="s">
        <v>179</v>
      </c>
    </row>
    <row r="200" spans="1:39" x14ac:dyDescent="0.25">
      <c r="A200" t="s">
        <v>114</v>
      </c>
      <c r="C200" t="s">
        <v>177</v>
      </c>
      <c r="D200">
        <v>1</v>
      </c>
      <c r="I200">
        <v>109419</v>
      </c>
      <c r="K200" s="18">
        <v>40796.625</v>
      </c>
      <c r="L200" s="19">
        <v>40796.458333333336</v>
      </c>
      <c r="M200" t="s">
        <v>161</v>
      </c>
      <c r="P200" t="s">
        <v>108</v>
      </c>
      <c r="Q200" t="s">
        <v>179</v>
      </c>
      <c r="AM200" s="38" t="s">
        <v>322</v>
      </c>
    </row>
    <row r="201" spans="1:39" x14ac:dyDescent="0.25">
      <c r="A201" t="s">
        <v>158</v>
      </c>
      <c r="C201" t="s">
        <v>177</v>
      </c>
      <c r="D201">
        <v>1</v>
      </c>
      <c r="I201">
        <v>109434</v>
      </c>
      <c r="K201" s="18">
        <v>40855.663888888892</v>
      </c>
      <c r="L201" s="19">
        <v>40855.455555555556</v>
      </c>
      <c r="M201" t="s">
        <v>161</v>
      </c>
      <c r="P201" t="s">
        <v>108</v>
      </c>
      <c r="Q201" t="s">
        <v>179</v>
      </c>
    </row>
    <row r="202" spans="1:39" x14ac:dyDescent="0.25">
      <c r="A202" t="s">
        <v>134</v>
      </c>
      <c r="C202" t="s">
        <v>177</v>
      </c>
      <c r="D202">
        <v>2</v>
      </c>
      <c r="I202">
        <v>109946</v>
      </c>
      <c r="K202" s="18">
        <v>40855.770833333336</v>
      </c>
      <c r="L202" s="19">
        <v>40855.5625</v>
      </c>
      <c r="M202" t="s">
        <v>161</v>
      </c>
      <c r="P202" t="s">
        <v>108</v>
      </c>
      <c r="Q202" t="s">
        <v>164</v>
      </c>
      <c r="AM202" s="39"/>
    </row>
    <row r="203" spans="1:39" x14ac:dyDescent="0.25">
      <c r="A203" t="s">
        <v>138</v>
      </c>
      <c r="C203" t="s">
        <v>176</v>
      </c>
      <c r="D203">
        <v>1</v>
      </c>
      <c r="I203">
        <v>113213</v>
      </c>
      <c r="K203" s="18">
        <v>40855.864583333336</v>
      </c>
      <c r="L203" s="19">
        <v>40855.65625</v>
      </c>
      <c r="M203" t="s">
        <v>161</v>
      </c>
      <c r="P203" t="s">
        <v>108</v>
      </c>
      <c r="Q203" t="s">
        <v>164</v>
      </c>
    </row>
    <row r="204" spans="1:39" x14ac:dyDescent="0.25">
      <c r="A204" t="s">
        <v>138</v>
      </c>
      <c r="C204" t="s">
        <v>183</v>
      </c>
      <c r="D204">
        <v>1</v>
      </c>
      <c r="I204">
        <v>113223</v>
      </c>
      <c r="K204" s="18">
        <v>40855.916666666664</v>
      </c>
      <c r="L204" s="19">
        <v>40855.708333333336</v>
      </c>
      <c r="M204" t="s">
        <v>161</v>
      </c>
      <c r="P204" t="s">
        <v>108</v>
      </c>
      <c r="Q204" t="s">
        <v>164</v>
      </c>
    </row>
    <row r="205" spans="1:39" x14ac:dyDescent="0.25">
      <c r="A205" t="s">
        <v>154</v>
      </c>
      <c r="C205" t="s">
        <v>182</v>
      </c>
      <c r="D205">
        <v>1</v>
      </c>
      <c r="I205">
        <v>109438</v>
      </c>
      <c r="K205" s="18">
        <v>40856.680555555555</v>
      </c>
      <c r="L205" s="19">
        <v>40856.472222222219</v>
      </c>
      <c r="M205" t="s">
        <v>161</v>
      </c>
      <c r="P205" t="s">
        <v>108</v>
      </c>
      <c r="Q205" t="s">
        <v>179</v>
      </c>
    </row>
    <row r="206" spans="1:39" x14ac:dyDescent="0.25">
      <c r="A206" t="s">
        <v>154</v>
      </c>
      <c r="C206" t="s">
        <v>185</v>
      </c>
      <c r="D206">
        <v>1</v>
      </c>
      <c r="I206">
        <v>109901</v>
      </c>
      <c r="K206" s="18">
        <v>40856.777777777781</v>
      </c>
      <c r="L206" s="19">
        <v>40856.569444444445</v>
      </c>
      <c r="M206" t="s">
        <v>161</v>
      </c>
      <c r="P206" t="s">
        <v>108</v>
      </c>
      <c r="Q206" t="s">
        <v>164</v>
      </c>
    </row>
    <row r="207" spans="1:39" x14ac:dyDescent="0.25">
      <c r="A207" t="str">
        <f t="shared" ref="A207:A238" si="0">LEFT(W207,3)</f>
        <v>GRD</v>
      </c>
      <c r="C207" t="str">
        <f t="shared" ref="C207:C238" si="1">RIGHT(W207,3)</f>
        <v>007</v>
      </c>
      <c r="D207">
        <v>1</v>
      </c>
      <c r="I207">
        <f t="shared" ref="I207:I238" si="2">Y207</f>
        <v>114481</v>
      </c>
      <c r="K207" s="18">
        <v>41031.720833333333</v>
      </c>
      <c r="L207" s="19">
        <f t="shared" ref="L207:L238" si="3">AC207</f>
        <v>41031.554166666669</v>
      </c>
      <c r="M207" t="s">
        <v>161</v>
      </c>
      <c r="P207" t="s">
        <v>108</v>
      </c>
      <c r="Q207" t="s">
        <v>164</v>
      </c>
      <c r="R207" s="21" t="s">
        <v>108</v>
      </c>
      <c r="S207" s="32">
        <v>41031</v>
      </c>
      <c r="T207" t="s">
        <v>379</v>
      </c>
      <c r="U207" t="s">
        <v>320</v>
      </c>
      <c r="V207" t="s">
        <v>361</v>
      </c>
      <c r="W207" t="s">
        <v>215</v>
      </c>
      <c r="X207" t="s">
        <v>380</v>
      </c>
      <c r="Y207">
        <v>114481</v>
      </c>
      <c r="Z207" t="s">
        <v>235</v>
      </c>
      <c r="AA207" t="s">
        <v>381</v>
      </c>
      <c r="AB207" s="43">
        <v>0.5541666666666667</v>
      </c>
      <c r="AC207" s="45">
        <v>41031.554166666669</v>
      </c>
      <c r="AD207" t="s">
        <v>235</v>
      </c>
      <c r="AE207" t="s">
        <v>235</v>
      </c>
      <c r="AF207" t="s">
        <v>235</v>
      </c>
      <c r="AG207" t="s">
        <v>382</v>
      </c>
      <c r="AH207" t="s">
        <v>235</v>
      </c>
      <c r="AI207">
        <v>4</v>
      </c>
      <c r="AJ207" t="s">
        <v>235</v>
      </c>
      <c r="AK207" t="s">
        <v>235</v>
      </c>
      <c r="AL207">
        <v>63366</v>
      </c>
    </row>
    <row r="208" spans="1:39" x14ac:dyDescent="0.25">
      <c r="A208" t="str">
        <f t="shared" si="0"/>
        <v>GRD</v>
      </c>
      <c r="C208" t="str">
        <f t="shared" si="1"/>
        <v>002</v>
      </c>
      <c r="D208">
        <v>7</v>
      </c>
      <c r="I208">
        <f t="shared" si="2"/>
        <v>109922</v>
      </c>
      <c r="K208" s="18">
        <v>41031.76666666667</v>
      </c>
      <c r="L208" s="19">
        <f t="shared" si="3"/>
        <v>41031.599999999999</v>
      </c>
      <c r="M208" t="s">
        <v>161</v>
      </c>
      <c r="P208" t="s">
        <v>108</v>
      </c>
      <c r="Q208" t="s">
        <v>164</v>
      </c>
      <c r="R208" s="21" t="s">
        <v>108</v>
      </c>
      <c r="S208" s="32">
        <v>41031</v>
      </c>
      <c r="T208" t="s">
        <v>379</v>
      </c>
      <c r="U208" t="s">
        <v>320</v>
      </c>
      <c r="V208" t="s">
        <v>361</v>
      </c>
      <c r="W208" t="s">
        <v>210</v>
      </c>
      <c r="X208" t="s">
        <v>380</v>
      </c>
      <c r="Y208">
        <v>109922</v>
      </c>
      <c r="Z208" t="s">
        <v>235</v>
      </c>
      <c r="AA208" t="s">
        <v>381</v>
      </c>
      <c r="AB208" s="43">
        <v>0.6</v>
      </c>
      <c r="AC208" s="45">
        <v>41031.599999999999</v>
      </c>
      <c r="AD208" t="s">
        <v>235</v>
      </c>
      <c r="AE208" t="s">
        <v>235</v>
      </c>
      <c r="AF208">
        <v>13</v>
      </c>
      <c r="AG208" t="s">
        <v>382</v>
      </c>
      <c r="AH208">
        <v>2.7413999999999996</v>
      </c>
      <c r="AI208">
        <v>4</v>
      </c>
      <c r="AJ208" t="s">
        <v>235</v>
      </c>
      <c r="AK208" t="s">
        <v>235</v>
      </c>
      <c r="AL208">
        <v>63366</v>
      </c>
    </row>
    <row r="209" spans="1:38" x14ac:dyDescent="0.25">
      <c r="A209" t="str">
        <f t="shared" si="0"/>
        <v>HPT</v>
      </c>
      <c r="C209" t="str">
        <f t="shared" si="1"/>
        <v>007</v>
      </c>
      <c r="D209">
        <v>1</v>
      </c>
      <c r="I209">
        <f t="shared" si="2"/>
        <v>109514</v>
      </c>
      <c r="K209" s="18">
        <v>41033.559027777781</v>
      </c>
      <c r="L209" s="19">
        <f t="shared" si="3"/>
        <v>41033.392361111109</v>
      </c>
      <c r="M209" t="s">
        <v>161</v>
      </c>
      <c r="P209" t="s">
        <v>108</v>
      </c>
      <c r="Q209" t="s">
        <v>164</v>
      </c>
      <c r="R209" s="21" t="s">
        <v>108</v>
      </c>
      <c r="S209" s="32">
        <v>41033</v>
      </c>
      <c r="T209" t="s">
        <v>379</v>
      </c>
      <c r="U209" t="s">
        <v>383</v>
      </c>
      <c r="V209" t="s">
        <v>361</v>
      </c>
      <c r="W209" t="s">
        <v>384</v>
      </c>
      <c r="X209" t="s">
        <v>380</v>
      </c>
      <c r="Y209">
        <v>109514</v>
      </c>
      <c r="Z209" t="s">
        <v>235</v>
      </c>
      <c r="AA209" t="s">
        <v>381</v>
      </c>
      <c r="AB209" s="43">
        <v>0.3923611111111111</v>
      </c>
      <c r="AC209" s="45">
        <v>41033.392361111109</v>
      </c>
      <c r="AD209" t="s">
        <v>235</v>
      </c>
      <c r="AE209" t="s">
        <v>235</v>
      </c>
      <c r="AF209" t="s">
        <v>235</v>
      </c>
      <c r="AG209" t="s">
        <v>382</v>
      </c>
      <c r="AH209" t="s">
        <v>235</v>
      </c>
      <c r="AI209" t="s">
        <v>235</v>
      </c>
      <c r="AJ209" t="s">
        <v>235</v>
      </c>
      <c r="AK209" t="s">
        <v>235</v>
      </c>
      <c r="AL209">
        <v>63366</v>
      </c>
    </row>
    <row r="210" spans="1:38" x14ac:dyDescent="0.25">
      <c r="A210" t="str">
        <f t="shared" si="0"/>
        <v>HPT</v>
      </c>
      <c r="C210" t="str">
        <f t="shared" si="1"/>
        <v>001</v>
      </c>
      <c r="D210">
        <v>1</v>
      </c>
      <c r="I210">
        <f t="shared" si="2"/>
        <v>109472</v>
      </c>
      <c r="K210" s="18">
        <v>41033.588888888888</v>
      </c>
      <c r="L210" s="19">
        <f t="shared" si="3"/>
        <v>41033.422222222223</v>
      </c>
      <c r="M210" t="s">
        <v>161</v>
      </c>
      <c r="P210" t="s">
        <v>108</v>
      </c>
      <c r="Q210" t="s">
        <v>164</v>
      </c>
      <c r="R210" s="21" t="s">
        <v>108</v>
      </c>
      <c r="S210" s="32">
        <v>41033</v>
      </c>
      <c r="T210" t="s">
        <v>379</v>
      </c>
      <c r="U210" t="s">
        <v>383</v>
      </c>
      <c r="V210" t="s">
        <v>361</v>
      </c>
      <c r="W210" t="s">
        <v>305</v>
      </c>
      <c r="X210" t="s">
        <v>380</v>
      </c>
      <c r="Y210">
        <v>109472</v>
      </c>
      <c r="Z210" t="s">
        <v>235</v>
      </c>
      <c r="AA210" t="s">
        <v>381</v>
      </c>
      <c r="AB210" s="43">
        <v>0.42222222222222222</v>
      </c>
      <c r="AC210" s="45">
        <v>41033.422222222223</v>
      </c>
      <c r="AD210" t="s">
        <v>235</v>
      </c>
      <c r="AE210" t="s">
        <v>235</v>
      </c>
      <c r="AF210" t="s">
        <v>235</v>
      </c>
      <c r="AG210" t="s">
        <v>382</v>
      </c>
      <c r="AH210" t="s">
        <v>235</v>
      </c>
      <c r="AI210">
        <v>4</v>
      </c>
      <c r="AJ210" t="s">
        <v>235</v>
      </c>
      <c r="AK210" t="s">
        <v>235</v>
      </c>
      <c r="AL210">
        <v>63366</v>
      </c>
    </row>
    <row r="211" spans="1:38" x14ac:dyDescent="0.25">
      <c r="A211" t="str">
        <f t="shared" si="0"/>
        <v>EDS</v>
      </c>
      <c r="C211" t="str">
        <f t="shared" si="1"/>
        <v>004</v>
      </c>
      <c r="D211">
        <v>2</v>
      </c>
      <c r="I211">
        <f t="shared" si="2"/>
        <v>109491</v>
      </c>
      <c r="K211" s="18">
        <v>41067.513888888891</v>
      </c>
      <c r="L211" s="19">
        <f t="shared" si="3"/>
        <v>41067.347222222219</v>
      </c>
      <c r="M211" t="s">
        <v>161</v>
      </c>
      <c r="P211" t="s">
        <v>108</v>
      </c>
      <c r="Q211" t="s">
        <v>164</v>
      </c>
      <c r="R211" s="21" t="s">
        <v>108</v>
      </c>
      <c r="S211" s="32">
        <v>41067</v>
      </c>
      <c r="T211" t="s">
        <v>379</v>
      </c>
      <c r="U211" t="s">
        <v>385</v>
      </c>
      <c r="V211" t="s">
        <v>361</v>
      </c>
      <c r="W211" t="s">
        <v>248</v>
      </c>
      <c r="X211" t="s">
        <v>380</v>
      </c>
      <c r="Y211">
        <v>109491</v>
      </c>
      <c r="Z211" t="s">
        <v>235</v>
      </c>
      <c r="AA211" t="s">
        <v>381</v>
      </c>
      <c r="AB211" s="43">
        <v>0.34722222222222227</v>
      </c>
      <c r="AC211" s="45">
        <v>41067.347222222219</v>
      </c>
      <c r="AD211" t="s">
        <v>235</v>
      </c>
      <c r="AE211" t="s">
        <v>235</v>
      </c>
      <c r="AF211" t="s">
        <v>235</v>
      </c>
      <c r="AG211" t="s">
        <v>235</v>
      </c>
      <c r="AH211" t="s">
        <v>235</v>
      </c>
      <c r="AI211" t="s">
        <v>235</v>
      </c>
      <c r="AJ211" t="s">
        <v>235</v>
      </c>
      <c r="AK211" t="s">
        <v>235</v>
      </c>
    </row>
    <row r="212" spans="1:38" x14ac:dyDescent="0.25">
      <c r="A212" t="str">
        <f t="shared" si="0"/>
        <v>URC</v>
      </c>
      <c r="C212" t="str">
        <f t="shared" si="1"/>
        <v>004</v>
      </c>
      <c r="D212">
        <v>3</v>
      </c>
      <c r="I212">
        <f t="shared" si="2"/>
        <v>109505</v>
      </c>
      <c r="K212" s="18">
        <v>41115.696527777778</v>
      </c>
      <c r="L212" s="19">
        <f t="shared" si="3"/>
        <v>41115.529861111114</v>
      </c>
      <c r="M212" t="s">
        <v>161</v>
      </c>
      <c r="P212" t="s">
        <v>108</v>
      </c>
      <c r="Q212" t="s">
        <v>179</v>
      </c>
      <c r="R212" s="21" t="s">
        <v>108</v>
      </c>
      <c r="S212" s="32">
        <v>41115</v>
      </c>
      <c r="T212" t="s">
        <v>235</v>
      </c>
      <c r="U212" t="s">
        <v>235</v>
      </c>
      <c r="V212" t="s">
        <v>361</v>
      </c>
      <c r="W212" t="s">
        <v>292</v>
      </c>
      <c r="X212" t="s">
        <v>380</v>
      </c>
      <c r="Y212">
        <v>109505</v>
      </c>
      <c r="Z212" t="s">
        <v>235</v>
      </c>
      <c r="AA212" t="s">
        <v>381</v>
      </c>
      <c r="AB212" s="43">
        <v>0.52986111111111112</v>
      </c>
      <c r="AC212" s="45">
        <v>41115.529861111114</v>
      </c>
      <c r="AD212" t="s">
        <v>235</v>
      </c>
      <c r="AE212" t="s">
        <v>235</v>
      </c>
      <c r="AF212" t="s">
        <v>235</v>
      </c>
      <c r="AG212" t="s">
        <v>235</v>
      </c>
      <c r="AH212" t="s">
        <v>235</v>
      </c>
      <c r="AI212" t="s">
        <v>235</v>
      </c>
      <c r="AJ212" t="s">
        <v>235</v>
      </c>
      <c r="AK212" t="s">
        <v>235</v>
      </c>
      <c r="AL212">
        <v>1143</v>
      </c>
    </row>
    <row r="213" spans="1:38" x14ac:dyDescent="0.25">
      <c r="A213" t="str">
        <f t="shared" si="0"/>
        <v>LRC</v>
      </c>
      <c r="C213" t="str">
        <f t="shared" si="1"/>
        <v>005</v>
      </c>
      <c r="D213">
        <v>3</v>
      </c>
      <c r="I213">
        <f t="shared" si="2"/>
        <v>109503</v>
      </c>
      <c r="K213" s="18">
        <v>41115.74722222222</v>
      </c>
      <c r="L213" s="19">
        <f t="shared" si="3"/>
        <v>41115.580555555556</v>
      </c>
      <c r="M213" t="s">
        <v>161</v>
      </c>
      <c r="P213" t="s">
        <v>108</v>
      </c>
      <c r="Q213" t="s">
        <v>164</v>
      </c>
      <c r="R213" s="21" t="s">
        <v>108</v>
      </c>
      <c r="S213" s="32">
        <v>41115</v>
      </c>
      <c r="T213" t="s">
        <v>235</v>
      </c>
      <c r="U213" t="s">
        <v>235</v>
      </c>
      <c r="V213" t="s">
        <v>361</v>
      </c>
      <c r="W213" t="s">
        <v>286</v>
      </c>
      <c r="X213" t="s">
        <v>380</v>
      </c>
      <c r="Y213">
        <v>109503</v>
      </c>
      <c r="Z213" t="s">
        <v>235</v>
      </c>
      <c r="AA213" t="s">
        <v>381</v>
      </c>
      <c r="AB213" s="43">
        <v>0.5805555555555556</v>
      </c>
      <c r="AC213" s="45">
        <v>41115.580555555556</v>
      </c>
      <c r="AD213" t="s">
        <v>235</v>
      </c>
      <c r="AE213" t="s">
        <v>235</v>
      </c>
      <c r="AF213" t="s">
        <v>235</v>
      </c>
      <c r="AG213" t="s">
        <v>235</v>
      </c>
      <c r="AH213" t="s">
        <v>235</v>
      </c>
      <c r="AI213" t="s">
        <v>235</v>
      </c>
      <c r="AJ213" t="s">
        <v>235</v>
      </c>
      <c r="AK213" t="s">
        <v>235</v>
      </c>
      <c r="AL213">
        <v>1143</v>
      </c>
    </row>
    <row r="214" spans="1:38" x14ac:dyDescent="0.25">
      <c r="A214" t="str">
        <f t="shared" si="0"/>
        <v>LRC</v>
      </c>
      <c r="C214" t="str">
        <f t="shared" si="1"/>
        <v>001</v>
      </c>
      <c r="D214">
        <v>4</v>
      </c>
      <c r="I214">
        <f t="shared" si="2"/>
        <v>109507</v>
      </c>
      <c r="K214" s="18">
        <v>41115.753472222219</v>
      </c>
      <c r="L214" s="19">
        <f t="shared" si="3"/>
        <v>41115.586805555555</v>
      </c>
      <c r="M214" t="s">
        <v>161</v>
      </c>
      <c r="P214" t="s">
        <v>108</v>
      </c>
      <c r="Q214" t="s">
        <v>164</v>
      </c>
      <c r="R214" s="21" t="s">
        <v>108</v>
      </c>
      <c r="S214" s="32">
        <v>41115</v>
      </c>
      <c r="T214" t="s">
        <v>235</v>
      </c>
      <c r="U214" t="s">
        <v>235</v>
      </c>
      <c r="V214" t="s">
        <v>361</v>
      </c>
      <c r="W214" t="s">
        <v>287</v>
      </c>
      <c r="X214" t="s">
        <v>380</v>
      </c>
      <c r="Y214">
        <v>109507</v>
      </c>
      <c r="Z214" t="s">
        <v>235</v>
      </c>
      <c r="AA214" t="s">
        <v>381</v>
      </c>
      <c r="AB214" s="43">
        <v>0.58680555555555558</v>
      </c>
      <c r="AC214" s="45">
        <v>41115.586805555555</v>
      </c>
      <c r="AD214" t="s">
        <v>235</v>
      </c>
      <c r="AE214" t="s">
        <v>235</v>
      </c>
      <c r="AF214" t="s">
        <v>235</v>
      </c>
      <c r="AG214" t="s">
        <v>235</v>
      </c>
      <c r="AH214" t="s">
        <v>235</v>
      </c>
      <c r="AI214" t="s">
        <v>235</v>
      </c>
      <c r="AJ214" t="s">
        <v>235</v>
      </c>
      <c r="AK214" t="s">
        <v>235</v>
      </c>
      <c r="AL214">
        <v>1143</v>
      </c>
    </row>
    <row r="215" spans="1:38" x14ac:dyDescent="0.25">
      <c r="A215" t="str">
        <f t="shared" si="0"/>
        <v>LRC</v>
      </c>
      <c r="C215" t="str">
        <f t="shared" si="1"/>
        <v>002</v>
      </c>
      <c r="D215">
        <v>3</v>
      </c>
      <c r="I215">
        <f t="shared" si="2"/>
        <v>109504</v>
      </c>
      <c r="K215" s="18">
        <v>41115.760416666664</v>
      </c>
      <c r="L215" s="19">
        <f t="shared" si="3"/>
        <v>41115.59375</v>
      </c>
      <c r="M215" t="s">
        <v>161</v>
      </c>
      <c r="P215" t="s">
        <v>108</v>
      </c>
      <c r="Q215" t="s">
        <v>164</v>
      </c>
      <c r="R215" s="21" t="s">
        <v>108</v>
      </c>
      <c r="S215" s="32">
        <v>41115</v>
      </c>
      <c r="T215" t="s">
        <v>235</v>
      </c>
      <c r="U215" t="s">
        <v>235</v>
      </c>
      <c r="V215" t="s">
        <v>361</v>
      </c>
      <c r="W215" t="s">
        <v>289</v>
      </c>
      <c r="X215" t="s">
        <v>380</v>
      </c>
      <c r="Y215">
        <v>109504</v>
      </c>
      <c r="Z215" t="s">
        <v>235</v>
      </c>
      <c r="AA215" t="s">
        <v>381</v>
      </c>
      <c r="AB215" s="43">
        <v>0.59375</v>
      </c>
      <c r="AC215" s="45">
        <v>41115.59375</v>
      </c>
      <c r="AD215" t="s">
        <v>235</v>
      </c>
      <c r="AE215" t="s">
        <v>235</v>
      </c>
      <c r="AF215" t="s">
        <v>235</v>
      </c>
      <c r="AG215" t="s">
        <v>235</v>
      </c>
      <c r="AH215" t="s">
        <v>235</v>
      </c>
      <c r="AI215" t="s">
        <v>235</v>
      </c>
      <c r="AJ215" t="s">
        <v>235</v>
      </c>
      <c r="AK215" t="s">
        <v>235</v>
      </c>
      <c r="AL215">
        <v>1143</v>
      </c>
    </row>
    <row r="216" spans="1:38" x14ac:dyDescent="0.25">
      <c r="A216" t="str">
        <f t="shared" si="0"/>
        <v>RNS</v>
      </c>
      <c r="C216" t="str">
        <f t="shared" si="1"/>
        <v>007</v>
      </c>
      <c r="D216">
        <v>1</v>
      </c>
      <c r="I216">
        <f t="shared" si="2"/>
        <v>109409</v>
      </c>
      <c r="K216" s="18">
        <v>41115.802083333336</v>
      </c>
      <c r="L216" s="19">
        <f t="shared" si="3"/>
        <v>41115.635416666664</v>
      </c>
      <c r="M216" t="s">
        <v>161</v>
      </c>
      <c r="P216" t="s">
        <v>108</v>
      </c>
      <c r="Q216" t="s">
        <v>179</v>
      </c>
      <c r="R216" s="21" t="s">
        <v>108</v>
      </c>
      <c r="S216" s="32">
        <v>41115</v>
      </c>
      <c r="T216" t="s">
        <v>235</v>
      </c>
      <c r="U216" t="s">
        <v>235</v>
      </c>
      <c r="V216" t="s">
        <v>361</v>
      </c>
      <c r="W216" t="s">
        <v>283</v>
      </c>
      <c r="X216" t="s">
        <v>380</v>
      </c>
      <c r="Y216">
        <v>109409</v>
      </c>
      <c r="Z216" t="s">
        <v>235</v>
      </c>
      <c r="AA216" t="s">
        <v>381</v>
      </c>
      <c r="AB216" s="43">
        <v>0.63541666666666663</v>
      </c>
      <c r="AC216" s="45">
        <v>41115.635416666664</v>
      </c>
      <c r="AD216" t="s">
        <v>235</v>
      </c>
      <c r="AE216" t="s">
        <v>235</v>
      </c>
      <c r="AF216" t="s">
        <v>235</v>
      </c>
      <c r="AG216" t="s">
        <v>235</v>
      </c>
      <c r="AH216" t="s">
        <v>235</v>
      </c>
      <c r="AI216" t="s">
        <v>235</v>
      </c>
      <c r="AJ216" t="s">
        <v>235</v>
      </c>
      <c r="AK216" t="s">
        <v>235</v>
      </c>
      <c r="AL216">
        <v>1143</v>
      </c>
    </row>
    <row r="217" spans="1:38" x14ac:dyDescent="0.25">
      <c r="A217" t="str">
        <f t="shared" si="0"/>
        <v>MNB</v>
      </c>
      <c r="C217" t="str">
        <f t="shared" si="1"/>
        <v>005</v>
      </c>
      <c r="D217">
        <v>2</v>
      </c>
      <c r="I217">
        <f t="shared" si="2"/>
        <v>106324</v>
      </c>
      <c r="K217" s="18">
        <v>41115.847222222219</v>
      </c>
      <c r="L217" s="19">
        <f t="shared" si="3"/>
        <v>41115.680555555555</v>
      </c>
      <c r="M217" t="s">
        <v>161</v>
      </c>
      <c r="P217" t="s">
        <v>108</v>
      </c>
      <c r="Q217" t="s">
        <v>164</v>
      </c>
      <c r="R217" s="21" t="s">
        <v>108</v>
      </c>
      <c r="S217" s="32">
        <v>41115</v>
      </c>
      <c r="T217" t="s">
        <v>235</v>
      </c>
      <c r="U217" t="s">
        <v>235</v>
      </c>
      <c r="V217" t="s">
        <v>361</v>
      </c>
      <c r="W217" t="s">
        <v>279</v>
      </c>
      <c r="X217" t="s">
        <v>380</v>
      </c>
      <c r="Y217">
        <v>106324</v>
      </c>
      <c r="Z217" t="s">
        <v>235</v>
      </c>
      <c r="AA217" t="s">
        <v>381</v>
      </c>
      <c r="AB217" s="43">
        <v>0.68055555555555547</v>
      </c>
      <c r="AC217" s="45">
        <v>41115.680555555555</v>
      </c>
      <c r="AD217" t="s">
        <v>235</v>
      </c>
      <c r="AE217" t="s">
        <v>235</v>
      </c>
      <c r="AF217" t="s">
        <v>235</v>
      </c>
      <c r="AG217" t="s">
        <v>235</v>
      </c>
      <c r="AH217" t="s">
        <v>235</v>
      </c>
      <c r="AI217" t="s">
        <v>235</v>
      </c>
      <c r="AJ217" t="s">
        <v>235</v>
      </c>
      <c r="AK217" t="s">
        <v>235</v>
      </c>
      <c r="AL217">
        <v>1143</v>
      </c>
    </row>
    <row r="218" spans="1:38" x14ac:dyDescent="0.25">
      <c r="A218" t="str">
        <f t="shared" si="0"/>
        <v>MNB</v>
      </c>
      <c r="C218" t="str">
        <f t="shared" si="1"/>
        <v>002</v>
      </c>
      <c r="D218">
        <v>3</v>
      </c>
      <c r="I218">
        <f t="shared" si="2"/>
        <v>109446</v>
      </c>
      <c r="K218" s="18">
        <v>41115.861111111109</v>
      </c>
      <c r="L218" s="19">
        <f t="shared" si="3"/>
        <v>41115.694444444445</v>
      </c>
      <c r="M218" t="s">
        <v>161</v>
      </c>
      <c r="P218" t="s">
        <v>108</v>
      </c>
      <c r="Q218" t="s">
        <v>179</v>
      </c>
      <c r="R218" s="21" t="s">
        <v>108</v>
      </c>
      <c r="S218" s="32">
        <v>41115</v>
      </c>
      <c r="T218" t="s">
        <v>235</v>
      </c>
      <c r="U218" t="s">
        <v>235</v>
      </c>
      <c r="V218" t="s">
        <v>361</v>
      </c>
      <c r="W218" t="s">
        <v>276</v>
      </c>
      <c r="X218" t="s">
        <v>380</v>
      </c>
      <c r="Y218">
        <v>109446</v>
      </c>
      <c r="Z218" t="s">
        <v>235</v>
      </c>
      <c r="AA218" t="s">
        <v>381</v>
      </c>
      <c r="AB218" s="43">
        <v>0.69444444444444453</v>
      </c>
      <c r="AC218" s="45">
        <v>41115.694444444445</v>
      </c>
      <c r="AD218" t="s">
        <v>235</v>
      </c>
      <c r="AE218" t="s">
        <v>235</v>
      </c>
      <c r="AF218" t="s">
        <v>235</v>
      </c>
      <c r="AG218" t="s">
        <v>235</v>
      </c>
      <c r="AH218" t="s">
        <v>235</v>
      </c>
      <c r="AI218" t="s">
        <v>235</v>
      </c>
      <c r="AJ218" t="s">
        <v>235</v>
      </c>
      <c r="AK218" t="s">
        <v>235</v>
      </c>
      <c r="AL218">
        <v>1143</v>
      </c>
    </row>
    <row r="219" spans="1:38" x14ac:dyDescent="0.25">
      <c r="A219" t="str">
        <f t="shared" si="0"/>
        <v>MNB</v>
      </c>
      <c r="C219" t="str">
        <f t="shared" si="1"/>
        <v>001</v>
      </c>
      <c r="D219">
        <v>4</v>
      </c>
      <c r="I219">
        <f t="shared" si="2"/>
        <v>109498</v>
      </c>
      <c r="K219" s="18">
        <v>41115.870138888888</v>
      </c>
      <c r="L219" s="19">
        <f t="shared" si="3"/>
        <v>41115.703472222223</v>
      </c>
      <c r="M219" t="s">
        <v>161</v>
      </c>
      <c r="P219" t="s">
        <v>108</v>
      </c>
      <c r="Q219" t="s">
        <v>164</v>
      </c>
      <c r="R219" s="21" t="s">
        <v>108</v>
      </c>
      <c r="S219" s="32">
        <v>41115</v>
      </c>
      <c r="T219" t="s">
        <v>235</v>
      </c>
      <c r="U219" t="s">
        <v>235</v>
      </c>
      <c r="V219" t="s">
        <v>361</v>
      </c>
      <c r="W219" t="s">
        <v>278</v>
      </c>
      <c r="X219" t="s">
        <v>380</v>
      </c>
      <c r="Y219">
        <v>109498</v>
      </c>
      <c r="Z219" t="s">
        <v>235</v>
      </c>
      <c r="AA219" t="s">
        <v>381</v>
      </c>
      <c r="AB219" s="43">
        <v>0.70347222222222217</v>
      </c>
      <c r="AC219" s="45">
        <v>41115.703472222223</v>
      </c>
      <c r="AD219" t="s">
        <v>235</v>
      </c>
      <c r="AE219" t="s">
        <v>235</v>
      </c>
      <c r="AF219" t="s">
        <v>235</v>
      </c>
      <c r="AG219" t="s">
        <v>235</v>
      </c>
      <c r="AH219" t="s">
        <v>235</v>
      </c>
      <c r="AI219" t="s">
        <v>235</v>
      </c>
      <c r="AJ219" t="s">
        <v>235</v>
      </c>
      <c r="AK219" t="s">
        <v>235</v>
      </c>
      <c r="AL219">
        <v>1143</v>
      </c>
    </row>
    <row r="220" spans="1:38" x14ac:dyDescent="0.25">
      <c r="A220" t="str">
        <f t="shared" si="0"/>
        <v>MNB</v>
      </c>
      <c r="C220" t="str">
        <f t="shared" si="1"/>
        <v>003</v>
      </c>
      <c r="D220">
        <v>2</v>
      </c>
      <c r="I220">
        <f t="shared" si="2"/>
        <v>109875</v>
      </c>
      <c r="K220" s="18">
        <v>41115.879166666666</v>
      </c>
      <c r="L220" s="19">
        <f t="shared" si="3"/>
        <v>41115.712500000001</v>
      </c>
      <c r="M220" t="s">
        <v>161</v>
      </c>
      <c r="P220" t="s">
        <v>108</v>
      </c>
      <c r="Q220" t="s">
        <v>164</v>
      </c>
      <c r="R220" s="21" t="s">
        <v>108</v>
      </c>
      <c r="S220" s="32">
        <v>41115</v>
      </c>
      <c r="T220" t="s">
        <v>235</v>
      </c>
      <c r="U220" t="s">
        <v>235</v>
      </c>
      <c r="V220" t="s">
        <v>361</v>
      </c>
      <c r="W220" t="s">
        <v>281</v>
      </c>
      <c r="X220" t="s">
        <v>380</v>
      </c>
      <c r="Y220">
        <v>109875</v>
      </c>
      <c r="Z220" t="s">
        <v>235</v>
      </c>
      <c r="AA220" t="s">
        <v>381</v>
      </c>
      <c r="AB220" s="43">
        <v>0.71250000000000002</v>
      </c>
      <c r="AC220" s="45">
        <v>41115.712500000001</v>
      </c>
      <c r="AD220" t="s">
        <v>235</v>
      </c>
      <c r="AE220" t="s">
        <v>235</v>
      </c>
      <c r="AF220" t="s">
        <v>235</v>
      </c>
      <c r="AG220" t="s">
        <v>235</v>
      </c>
      <c r="AH220" t="s">
        <v>235</v>
      </c>
      <c r="AI220" t="s">
        <v>235</v>
      </c>
      <c r="AJ220" t="s">
        <v>235</v>
      </c>
      <c r="AK220" t="s">
        <v>235</v>
      </c>
      <c r="AL220">
        <v>1143</v>
      </c>
    </row>
    <row r="221" spans="1:38" x14ac:dyDescent="0.25">
      <c r="A221" t="str">
        <f t="shared" si="0"/>
        <v>NNM</v>
      </c>
      <c r="C221" t="str">
        <f t="shared" si="1"/>
        <v>001</v>
      </c>
      <c r="D221">
        <v>1</v>
      </c>
      <c r="I221">
        <f t="shared" si="2"/>
        <v>109494</v>
      </c>
      <c r="K221" s="18">
        <v>41115.909722222219</v>
      </c>
      <c r="L221" s="19">
        <f t="shared" si="3"/>
        <v>41115.743055555555</v>
      </c>
      <c r="M221" t="s">
        <v>161</v>
      </c>
      <c r="P221" t="s">
        <v>108</v>
      </c>
      <c r="Q221" t="s">
        <v>179</v>
      </c>
      <c r="R221" s="21" t="s">
        <v>108</v>
      </c>
      <c r="S221" s="32">
        <v>41115</v>
      </c>
      <c r="T221" t="s">
        <v>235</v>
      </c>
      <c r="U221" t="s">
        <v>235</v>
      </c>
      <c r="V221" t="s">
        <v>361</v>
      </c>
      <c r="W221" t="s">
        <v>233</v>
      </c>
      <c r="X221" t="s">
        <v>380</v>
      </c>
      <c r="Y221">
        <v>109494</v>
      </c>
      <c r="Z221" t="s">
        <v>235</v>
      </c>
      <c r="AA221" t="s">
        <v>381</v>
      </c>
      <c r="AB221" s="43">
        <v>0.74305555555555547</v>
      </c>
      <c r="AC221" s="45">
        <v>41115.743055555555</v>
      </c>
      <c r="AD221" t="s">
        <v>235</v>
      </c>
      <c r="AE221" t="s">
        <v>235</v>
      </c>
      <c r="AF221" t="s">
        <v>235</v>
      </c>
      <c r="AG221" t="s">
        <v>235</v>
      </c>
      <c r="AH221" t="s">
        <v>235</v>
      </c>
      <c r="AI221" t="s">
        <v>235</v>
      </c>
      <c r="AJ221" t="s">
        <v>235</v>
      </c>
      <c r="AK221" t="s">
        <v>235</v>
      </c>
      <c r="AL221">
        <v>1143</v>
      </c>
    </row>
    <row r="222" spans="1:38" x14ac:dyDescent="0.25">
      <c r="A222" t="str">
        <f t="shared" si="0"/>
        <v>NNM</v>
      </c>
      <c r="C222" t="str">
        <f t="shared" si="1"/>
        <v>002</v>
      </c>
      <c r="D222">
        <v>1</v>
      </c>
      <c r="I222">
        <f t="shared" si="2"/>
        <v>109448</v>
      </c>
      <c r="K222" s="18">
        <v>41115.915277777778</v>
      </c>
      <c r="L222" s="19">
        <f t="shared" si="3"/>
        <v>41115.748611111114</v>
      </c>
      <c r="M222" t="s">
        <v>161</v>
      </c>
      <c r="P222" t="s">
        <v>108</v>
      </c>
      <c r="Q222" t="s">
        <v>179</v>
      </c>
      <c r="R222" s="21" t="s">
        <v>108</v>
      </c>
      <c r="S222" s="32">
        <v>41115</v>
      </c>
      <c r="T222" t="s">
        <v>235</v>
      </c>
      <c r="U222" t="s">
        <v>235</v>
      </c>
      <c r="V222" t="s">
        <v>361</v>
      </c>
      <c r="W222" t="s">
        <v>358</v>
      </c>
      <c r="X222" t="s">
        <v>380</v>
      </c>
      <c r="Y222">
        <v>109448</v>
      </c>
      <c r="Z222" t="s">
        <v>235</v>
      </c>
      <c r="AA222" t="s">
        <v>381</v>
      </c>
      <c r="AB222" s="43">
        <v>0.74861111111111101</v>
      </c>
      <c r="AC222" s="45">
        <v>41115.748611111114</v>
      </c>
      <c r="AD222" t="s">
        <v>235</v>
      </c>
      <c r="AE222" t="s">
        <v>235</v>
      </c>
      <c r="AF222" t="s">
        <v>235</v>
      </c>
      <c r="AG222" t="s">
        <v>235</v>
      </c>
      <c r="AH222" t="s">
        <v>235</v>
      </c>
      <c r="AI222" t="s">
        <v>235</v>
      </c>
      <c r="AJ222" t="s">
        <v>235</v>
      </c>
      <c r="AK222" t="s">
        <v>235</v>
      </c>
      <c r="AL222">
        <v>1143</v>
      </c>
    </row>
    <row r="223" spans="1:38" x14ac:dyDescent="0.25">
      <c r="A223" t="str">
        <f t="shared" si="0"/>
        <v>LGD</v>
      </c>
      <c r="C223" t="str">
        <f t="shared" si="1"/>
        <v>001</v>
      </c>
      <c r="D223">
        <v>1</v>
      </c>
      <c r="I223">
        <f t="shared" si="2"/>
        <v>113212</v>
      </c>
      <c r="K223" s="18">
        <v>41116.525000000001</v>
      </c>
      <c r="L223" s="19">
        <f t="shared" si="3"/>
        <v>41116.35833333333</v>
      </c>
      <c r="M223" t="s">
        <v>161</v>
      </c>
      <c r="P223" t="s">
        <v>108</v>
      </c>
      <c r="Q223" t="s">
        <v>179</v>
      </c>
      <c r="R223" s="21" t="s">
        <v>108</v>
      </c>
      <c r="S223" s="32">
        <v>41116</v>
      </c>
      <c r="T223" t="s">
        <v>235</v>
      </c>
      <c r="U223" t="s">
        <v>235</v>
      </c>
      <c r="V223" t="s">
        <v>361</v>
      </c>
      <c r="W223" t="s">
        <v>219</v>
      </c>
      <c r="X223" t="s">
        <v>380</v>
      </c>
      <c r="Y223">
        <v>113212</v>
      </c>
      <c r="Z223" t="s">
        <v>235</v>
      </c>
      <c r="AA223" t="s">
        <v>381</v>
      </c>
      <c r="AB223" s="43">
        <v>0.35833333333333334</v>
      </c>
      <c r="AC223" s="45">
        <v>41116.35833333333</v>
      </c>
      <c r="AD223" t="s">
        <v>235</v>
      </c>
      <c r="AE223" t="s">
        <v>235</v>
      </c>
      <c r="AF223" t="s">
        <v>235</v>
      </c>
      <c r="AG223" t="s">
        <v>235</v>
      </c>
      <c r="AH223" t="s">
        <v>235</v>
      </c>
      <c r="AI223" t="s">
        <v>235</v>
      </c>
      <c r="AJ223" t="s">
        <v>235</v>
      </c>
      <c r="AK223" t="s">
        <v>235</v>
      </c>
      <c r="AL223">
        <v>1143</v>
      </c>
    </row>
    <row r="224" spans="1:38" x14ac:dyDescent="0.25">
      <c r="A224" t="str">
        <f t="shared" si="0"/>
        <v>HPT</v>
      </c>
      <c r="C224" t="str">
        <f t="shared" si="1"/>
        <v>001</v>
      </c>
      <c r="D224">
        <v>2</v>
      </c>
      <c r="I224">
        <f t="shared" si="2"/>
        <v>109472</v>
      </c>
      <c r="K224" s="18">
        <v>41116.556250000001</v>
      </c>
      <c r="L224" s="19">
        <f t="shared" si="3"/>
        <v>41116.38958333333</v>
      </c>
      <c r="M224" t="s">
        <v>161</v>
      </c>
      <c r="P224" t="s">
        <v>108</v>
      </c>
      <c r="Q224" t="s">
        <v>164</v>
      </c>
      <c r="R224" s="21" t="s">
        <v>108</v>
      </c>
      <c r="S224" s="32">
        <v>41116</v>
      </c>
      <c r="T224" t="s">
        <v>235</v>
      </c>
      <c r="U224" t="s">
        <v>235</v>
      </c>
      <c r="V224" t="s">
        <v>361</v>
      </c>
      <c r="W224" t="s">
        <v>305</v>
      </c>
      <c r="X224" t="s">
        <v>380</v>
      </c>
      <c r="Y224">
        <v>109472</v>
      </c>
      <c r="Z224" t="s">
        <v>235</v>
      </c>
      <c r="AA224" t="s">
        <v>381</v>
      </c>
      <c r="AB224" s="43">
        <v>0.38958333333333334</v>
      </c>
      <c r="AC224" s="45">
        <v>41116.38958333333</v>
      </c>
      <c r="AD224" t="s">
        <v>235</v>
      </c>
      <c r="AE224" t="s">
        <v>235</v>
      </c>
      <c r="AF224" t="s">
        <v>235</v>
      </c>
      <c r="AG224" t="s">
        <v>235</v>
      </c>
      <c r="AH224" t="s">
        <v>235</v>
      </c>
      <c r="AI224" t="s">
        <v>235</v>
      </c>
      <c r="AJ224" t="s">
        <v>235</v>
      </c>
      <c r="AK224" t="s">
        <v>235</v>
      </c>
      <c r="AL224">
        <v>1143</v>
      </c>
    </row>
    <row r="225" spans="1:39" x14ac:dyDescent="0.25">
      <c r="A225" t="str">
        <f t="shared" si="0"/>
        <v>HPT</v>
      </c>
      <c r="C225" t="str">
        <f t="shared" si="1"/>
        <v>009</v>
      </c>
      <c r="D225">
        <v>1</v>
      </c>
      <c r="I225">
        <f t="shared" si="2"/>
        <v>109933</v>
      </c>
      <c r="K225" s="18">
        <v>41116.563194444447</v>
      </c>
      <c r="L225" s="19">
        <f t="shared" si="3"/>
        <v>41116.396527777775</v>
      </c>
      <c r="M225" t="s">
        <v>161</v>
      </c>
      <c r="P225" t="s">
        <v>108</v>
      </c>
      <c r="Q225" t="s">
        <v>164</v>
      </c>
      <c r="R225" s="21" t="s">
        <v>108</v>
      </c>
      <c r="S225" s="32">
        <v>41116</v>
      </c>
      <c r="T225" t="s">
        <v>235</v>
      </c>
      <c r="U225" t="s">
        <v>235</v>
      </c>
      <c r="V225" t="s">
        <v>361</v>
      </c>
      <c r="W225" t="s">
        <v>302</v>
      </c>
      <c r="X225" t="s">
        <v>380</v>
      </c>
      <c r="Y225">
        <v>109933</v>
      </c>
      <c r="Z225" t="s">
        <v>235</v>
      </c>
      <c r="AA225" t="s">
        <v>381</v>
      </c>
      <c r="AB225" s="43">
        <v>0.39652777777777781</v>
      </c>
      <c r="AC225" s="45">
        <v>41116.396527777775</v>
      </c>
      <c r="AD225" t="s">
        <v>235</v>
      </c>
      <c r="AE225" t="s">
        <v>235</v>
      </c>
      <c r="AF225" t="s">
        <v>235</v>
      </c>
      <c r="AG225" t="s">
        <v>235</v>
      </c>
      <c r="AH225" t="s">
        <v>235</v>
      </c>
      <c r="AI225" t="s">
        <v>235</v>
      </c>
      <c r="AJ225" t="s">
        <v>235</v>
      </c>
      <c r="AK225" t="s">
        <v>235</v>
      </c>
      <c r="AL225">
        <v>1143</v>
      </c>
      <c r="AM225" s="39"/>
    </row>
    <row r="226" spans="1:39" x14ac:dyDescent="0.25">
      <c r="A226" t="str">
        <f t="shared" si="0"/>
        <v>HPT</v>
      </c>
      <c r="C226" t="str">
        <f t="shared" si="1"/>
        <v>002</v>
      </c>
      <c r="D226">
        <v>1</v>
      </c>
      <c r="I226">
        <f t="shared" si="2"/>
        <v>109489</v>
      </c>
      <c r="K226" s="18">
        <v>41116.566666666666</v>
      </c>
      <c r="L226" s="19">
        <f t="shared" si="3"/>
        <v>41116.400000000001</v>
      </c>
      <c r="M226" t="s">
        <v>161</v>
      </c>
      <c r="P226" t="s">
        <v>108</v>
      </c>
      <c r="Q226" t="s">
        <v>164</v>
      </c>
      <c r="R226" s="21" t="s">
        <v>108</v>
      </c>
      <c r="S226" s="32">
        <v>41116</v>
      </c>
      <c r="T226" t="s">
        <v>235</v>
      </c>
      <c r="U226" t="s">
        <v>235</v>
      </c>
      <c r="V226" t="s">
        <v>361</v>
      </c>
      <c r="W226" t="s">
        <v>306</v>
      </c>
      <c r="X226" t="s">
        <v>380</v>
      </c>
      <c r="Y226">
        <v>109489</v>
      </c>
      <c r="Z226" t="s">
        <v>235</v>
      </c>
      <c r="AA226" t="s">
        <v>381</v>
      </c>
      <c r="AB226" s="43">
        <v>0.39999999999999997</v>
      </c>
      <c r="AC226" s="45">
        <v>41116.400000000001</v>
      </c>
      <c r="AD226" t="s">
        <v>235</v>
      </c>
      <c r="AE226" t="s">
        <v>235</v>
      </c>
      <c r="AF226" t="s">
        <v>235</v>
      </c>
      <c r="AG226" t="s">
        <v>235</v>
      </c>
      <c r="AH226" t="s">
        <v>235</v>
      </c>
      <c r="AI226" t="s">
        <v>235</v>
      </c>
      <c r="AJ226" t="s">
        <v>235</v>
      </c>
      <c r="AK226" t="s">
        <v>235</v>
      </c>
      <c r="AL226">
        <v>1143</v>
      </c>
    </row>
    <row r="227" spans="1:39" x14ac:dyDescent="0.25">
      <c r="A227" t="str">
        <f t="shared" si="0"/>
        <v>HPT</v>
      </c>
      <c r="C227" t="str">
        <f t="shared" si="1"/>
        <v>010</v>
      </c>
      <c r="D227">
        <v>1</v>
      </c>
      <c r="I227">
        <f t="shared" si="2"/>
        <v>109953</v>
      </c>
      <c r="K227" s="18">
        <v>41116.572222222225</v>
      </c>
      <c r="L227" s="19">
        <f t="shared" si="3"/>
        <v>41116.405555555553</v>
      </c>
      <c r="M227" t="s">
        <v>161</v>
      </c>
      <c r="P227" t="s">
        <v>108</v>
      </c>
      <c r="Q227" t="s">
        <v>164</v>
      </c>
      <c r="R227" s="21" t="s">
        <v>108</v>
      </c>
      <c r="S227" s="32">
        <v>41116</v>
      </c>
      <c r="T227" t="s">
        <v>235</v>
      </c>
      <c r="U227" t="s">
        <v>235</v>
      </c>
      <c r="V227" t="s">
        <v>361</v>
      </c>
      <c r="W227" t="s">
        <v>308</v>
      </c>
      <c r="X227" t="s">
        <v>380</v>
      </c>
      <c r="Y227">
        <v>109953</v>
      </c>
      <c r="Z227" t="s">
        <v>235</v>
      </c>
      <c r="AA227" t="s">
        <v>381</v>
      </c>
      <c r="AB227" s="43">
        <v>0.4055555555555555</v>
      </c>
      <c r="AC227" s="45">
        <v>41116.405555555553</v>
      </c>
      <c r="AD227" t="s">
        <v>235</v>
      </c>
      <c r="AE227" t="s">
        <v>235</v>
      </c>
      <c r="AF227" t="s">
        <v>235</v>
      </c>
      <c r="AG227" t="s">
        <v>235</v>
      </c>
      <c r="AH227" t="s">
        <v>235</v>
      </c>
      <c r="AI227" t="s">
        <v>235</v>
      </c>
      <c r="AJ227" t="s">
        <v>235</v>
      </c>
      <c r="AK227" t="s">
        <v>235</v>
      </c>
      <c r="AL227">
        <v>1143</v>
      </c>
    </row>
    <row r="228" spans="1:39" x14ac:dyDescent="0.25">
      <c r="A228" t="str">
        <f t="shared" si="0"/>
        <v>HPT</v>
      </c>
      <c r="C228" t="str">
        <f t="shared" si="1"/>
        <v>003</v>
      </c>
      <c r="D228">
        <v>1</v>
      </c>
      <c r="I228">
        <f t="shared" si="2"/>
        <v>109516</v>
      </c>
      <c r="K228" s="18">
        <v>41116.57708333333</v>
      </c>
      <c r="L228" s="19">
        <f t="shared" si="3"/>
        <v>41116.410416666666</v>
      </c>
      <c r="M228" t="s">
        <v>161</v>
      </c>
      <c r="P228" t="s">
        <v>108</v>
      </c>
      <c r="Q228" t="s">
        <v>164</v>
      </c>
      <c r="R228" s="21" t="s">
        <v>108</v>
      </c>
      <c r="S228" s="32">
        <v>41116</v>
      </c>
      <c r="T228" t="s">
        <v>235</v>
      </c>
      <c r="U228" t="s">
        <v>235</v>
      </c>
      <c r="V228" t="s">
        <v>361</v>
      </c>
      <c r="W228" t="s">
        <v>310</v>
      </c>
      <c r="X228" t="s">
        <v>380</v>
      </c>
      <c r="Y228">
        <v>109516</v>
      </c>
      <c r="Z228" t="s">
        <v>235</v>
      </c>
      <c r="AA228" t="s">
        <v>381</v>
      </c>
      <c r="AB228" s="43">
        <v>0.41041666666666665</v>
      </c>
      <c r="AC228" s="45">
        <v>41116.410416666666</v>
      </c>
      <c r="AD228" t="s">
        <v>235</v>
      </c>
      <c r="AE228" t="s">
        <v>235</v>
      </c>
      <c r="AF228" t="s">
        <v>235</v>
      </c>
      <c r="AG228" t="s">
        <v>235</v>
      </c>
      <c r="AH228" t="s">
        <v>235</v>
      </c>
      <c r="AI228" t="s">
        <v>235</v>
      </c>
      <c r="AJ228" t="s">
        <v>235</v>
      </c>
      <c r="AK228" t="s">
        <v>235</v>
      </c>
      <c r="AL228">
        <v>1143</v>
      </c>
    </row>
    <row r="229" spans="1:39" x14ac:dyDescent="0.25">
      <c r="A229" t="str">
        <f t="shared" si="0"/>
        <v>HPT</v>
      </c>
      <c r="C229" t="str">
        <f t="shared" si="1"/>
        <v>011</v>
      </c>
      <c r="D229">
        <v>1</v>
      </c>
      <c r="I229">
        <f t="shared" si="2"/>
        <v>109947</v>
      </c>
      <c r="K229" s="18">
        <v>41116.583333333336</v>
      </c>
      <c r="L229" s="19">
        <f t="shared" si="3"/>
        <v>41116.416666666664</v>
      </c>
      <c r="M229" t="s">
        <v>161</v>
      </c>
      <c r="P229" t="s">
        <v>108</v>
      </c>
      <c r="Q229" t="s">
        <v>164</v>
      </c>
      <c r="R229" s="21" t="s">
        <v>108</v>
      </c>
      <c r="S229" s="32">
        <v>41116</v>
      </c>
      <c r="T229" t="s">
        <v>235</v>
      </c>
      <c r="U229" t="s">
        <v>235</v>
      </c>
      <c r="V229" t="s">
        <v>361</v>
      </c>
      <c r="W229" t="s">
        <v>311</v>
      </c>
      <c r="X229" t="s">
        <v>380</v>
      </c>
      <c r="Y229">
        <v>109947</v>
      </c>
      <c r="Z229" t="s">
        <v>235</v>
      </c>
      <c r="AA229" t="s">
        <v>381</v>
      </c>
      <c r="AB229" s="43">
        <v>0.41666666666666669</v>
      </c>
      <c r="AC229" s="45">
        <v>41116.416666666664</v>
      </c>
      <c r="AD229" t="s">
        <v>235</v>
      </c>
      <c r="AE229" t="s">
        <v>235</v>
      </c>
      <c r="AF229" t="s">
        <v>235</v>
      </c>
      <c r="AG229" t="s">
        <v>235</v>
      </c>
      <c r="AH229" t="s">
        <v>235</v>
      </c>
      <c r="AI229" t="s">
        <v>235</v>
      </c>
      <c r="AJ229" t="s">
        <v>235</v>
      </c>
      <c r="AK229" t="s">
        <v>235</v>
      </c>
      <c r="AL229">
        <v>1143</v>
      </c>
    </row>
    <row r="230" spans="1:39" x14ac:dyDescent="0.25">
      <c r="A230" t="str">
        <f t="shared" si="0"/>
        <v>HPT</v>
      </c>
      <c r="C230" t="str">
        <f t="shared" si="1"/>
        <v>004</v>
      </c>
      <c r="D230">
        <v>1</v>
      </c>
      <c r="I230">
        <f t="shared" si="2"/>
        <v>109126</v>
      </c>
      <c r="K230" s="18">
        <v>41116.588194444441</v>
      </c>
      <c r="L230" s="19">
        <f t="shared" si="3"/>
        <v>41116.421527777777</v>
      </c>
      <c r="M230" t="s">
        <v>161</v>
      </c>
      <c r="P230" t="s">
        <v>108</v>
      </c>
      <c r="Q230" t="s">
        <v>164</v>
      </c>
      <c r="R230" s="21" t="s">
        <v>108</v>
      </c>
      <c r="S230" s="32">
        <v>41116</v>
      </c>
      <c r="T230" t="s">
        <v>235</v>
      </c>
      <c r="U230" t="s">
        <v>235</v>
      </c>
      <c r="V230" t="s">
        <v>361</v>
      </c>
      <c r="W230" t="s">
        <v>312</v>
      </c>
      <c r="X230" t="s">
        <v>380</v>
      </c>
      <c r="Y230">
        <v>109126</v>
      </c>
      <c r="Z230" t="s">
        <v>235</v>
      </c>
      <c r="AA230" t="s">
        <v>381</v>
      </c>
      <c r="AB230" s="43">
        <v>0.42152777777777778</v>
      </c>
      <c r="AC230" s="45">
        <v>41116.421527777777</v>
      </c>
      <c r="AD230" t="s">
        <v>235</v>
      </c>
      <c r="AE230" t="s">
        <v>235</v>
      </c>
      <c r="AF230" t="s">
        <v>235</v>
      </c>
      <c r="AG230" t="s">
        <v>235</v>
      </c>
      <c r="AH230" t="s">
        <v>235</v>
      </c>
      <c r="AI230" t="s">
        <v>235</v>
      </c>
      <c r="AJ230" t="s">
        <v>235</v>
      </c>
      <c r="AK230" t="s">
        <v>235</v>
      </c>
      <c r="AL230">
        <v>1143</v>
      </c>
    </row>
    <row r="231" spans="1:39" x14ac:dyDescent="0.25">
      <c r="A231" t="str">
        <f t="shared" si="0"/>
        <v>HPT</v>
      </c>
      <c r="C231" t="str">
        <f t="shared" si="1"/>
        <v>012</v>
      </c>
      <c r="D231">
        <v>1</v>
      </c>
      <c r="I231">
        <f t="shared" si="2"/>
        <v>113226</v>
      </c>
      <c r="K231" s="18">
        <v>41116.593055555553</v>
      </c>
      <c r="L231" s="19">
        <f t="shared" si="3"/>
        <v>41116.426388888889</v>
      </c>
      <c r="M231" t="s">
        <v>161</v>
      </c>
      <c r="P231" t="s">
        <v>108</v>
      </c>
      <c r="Q231" t="s">
        <v>164</v>
      </c>
      <c r="R231" s="21" t="s">
        <v>108</v>
      </c>
      <c r="S231" s="32">
        <v>41116</v>
      </c>
      <c r="T231" t="s">
        <v>235</v>
      </c>
      <c r="U231" t="s">
        <v>235</v>
      </c>
      <c r="V231" t="s">
        <v>361</v>
      </c>
      <c r="W231" t="s">
        <v>313</v>
      </c>
      <c r="X231" t="s">
        <v>380</v>
      </c>
      <c r="Y231">
        <v>113226</v>
      </c>
      <c r="Z231" t="s">
        <v>235</v>
      </c>
      <c r="AA231" t="s">
        <v>381</v>
      </c>
      <c r="AB231" s="43">
        <v>0.42638888888888887</v>
      </c>
      <c r="AC231" s="45">
        <v>41116.426388888889</v>
      </c>
      <c r="AD231" t="s">
        <v>235</v>
      </c>
      <c r="AE231" t="s">
        <v>235</v>
      </c>
      <c r="AF231" t="s">
        <v>235</v>
      </c>
      <c r="AG231" t="s">
        <v>235</v>
      </c>
      <c r="AH231" t="s">
        <v>235</v>
      </c>
      <c r="AI231" t="s">
        <v>235</v>
      </c>
      <c r="AJ231" t="s">
        <v>235</v>
      </c>
      <c r="AK231" t="s">
        <v>235</v>
      </c>
      <c r="AL231">
        <v>1143</v>
      </c>
    </row>
    <row r="232" spans="1:39" x14ac:dyDescent="0.25">
      <c r="A232" t="str">
        <f t="shared" si="0"/>
        <v>HPT</v>
      </c>
      <c r="C232" t="str">
        <f t="shared" si="1"/>
        <v>005</v>
      </c>
      <c r="D232">
        <v>1</v>
      </c>
      <c r="I232">
        <f t="shared" si="2"/>
        <v>109899</v>
      </c>
      <c r="K232" s="18">
        <v>41116.599305555559</v>
      </c>
      <c r="L232" s="19">
        <f t="shared" si="3"/>
        <v>41116.432638888888</v>
      </c>
      <c r="M232" t="s">
        <v>161</v>
      </c>
      <c r="P232" t="s">
        <v>108</v>
      </c>
      <c r="Q232" t="s">
        <v>164</v>
      </c>
      <c r="R232" s="21" t="s">
        <v>108</v>
      </c>
      <c r="S232" s="32">
        <v>41116</v>
      </c>
      <c r="T232" t="s">
        <v>235</v>
      </c>
      <c r="U232" t="s">
        <v>235</v>
      </c>
      <c r="V232" t="s">
        <v>361</v>
      </c>
      <c r="W232" t="s">
        <v>314</v>
      </c>
      <c r="X232" t="s">
        <v>380</v>
      </c>
      <c r="Y232">
        <v>109899</v>
      </c>
      <c r="Z232" t="s">
        <v>235</v>
      </c>
      <c r="AA232" t="s">
        <v>381</v>
      </c>
      <c r="AB232" s="43">
        <v>0.43263888888888885</v>
      </c>
      <c r="AC232" s="45">
        <v>41116.432638888888</v>
      </c>
      <c r="AD232" t="s">
        <v>235</v>
      </c>
      <c r="AE232" t="s">
        <v>235</v>
      </c>
      <c r="AF232" t="s">
        <v>235</v>
      </c>
      <c r="AG232" t="s">
        <v>235</v>
      </c>
      <c r="AH232" t="s">
        <v>235</v>
      </c>
      <c r="AI232" t="s">
        <v>235</v>
      </c>
      <c r="AJ232" t="s">
        <v>235</v>
      </c>
      <c r="AK232" t="s">
        <v>235</v>
      </c>
      <c r="AL232">
        <v>1143</v>
      </c>
    </row>
    <row r="233" spans="1:39" x14ac:dyDescent="0.25">
      <c r="A233" t="str">
        <f t="shared" si="0"/>
        <v>HPT</v>
      </c>
      <c r="C233" t="str">
        <f t="shared" si="1"/>
        <v>013</v>
      </c>
      <c r="D233">
        <v>1</v>
      </c>
      <c r="I233">
        <f t="shared" si="2"/>
        <v>109417</v>
      </c>
      <c r="K233" s="18">
        <v>41116.606249999997</v>
      </c>
      <c r="L233" s="19">
        <f t="shared" si="3"/>
        <v>41116.439583333333</v>
      </c>
      <c r="M233" t="s">
        <v>161</v>
      </c>
      <c r="P233" t="s">
        <v>108</v>
      </c>
      <c r="Q233" t="s">
        <v>164</v>
      </c>
      <c r="R233" s="21" t="s">
        <v>108</v>
      </c>
      <c r="S233" s="32">
        <v>41116</v>
      </c>
      <c r="T233" t="s">
        <v>235</v>
      </c>
      <c r="U233" t="s">
        <v>235</v>
      </c>
      <c r="V233" t="s">
        <v>361</v>
      </c>
      <c r="W233" t="s">
        <v>316</v>
      </c>
      <c r="X233" t="s">
        <v>380</v>
      </c>
      <c r="Y233">
        <v>109417</v>
      </c>
      <c r="Z233" t="s">
        <v>235</v>
      </c>
      <c r="AA233" t="s">
        <v>381</v>
      </c>
      <c r="AB233" s="43">
        <v>0.43958333333333338</v>
      </c>
      <c r="AC233" s="45">
        <v>41116.439583333333</v>
      </c>
      <c r="AD233" t="s">
        <v>235</v>
      </c>
      <c r="AE233" t="s">
        <v>235</v>
      </c>
      <c r="AF233" t="s">
        <v>235</v>
      </c>
      <c r="AG233" t="s">
        <v>235</v>
      </c>
      <c r="AH233" t="s">
        <v>235</v>
      </c>
      <c r="AI233" t="s">
        <v>235</v>
      </c>
      <c r="AJ233" t="s">
        <v>235</v>
      </c>
      <c r="AK233" t="s">
        <v>235</v>
      </c>
      <c r="AL233">
        <v>1143</v>
      </c>
    </row>
    <row r="234" spans="1:39" x14ac:dyDescent="0.25">
      <c r="A234" t="str">
        <f t="shared" si="0"/>
        <v>HPT</v>
      </c>
      <c r="C234" t="str">
        <f t="shared" si="1"/>
        <v>006</v>
      </c>
      <c r="D234">
        <v>1</v>
      </c>
      <c r="I234">
        <f t="shared" si="2"/>
        <v>109432</v>
      </c>
      <c r="K234" s="18">
        <v>41116.613888888889</v>
      </c>
      <c r="L234" s="19">
        <f t="shared" si="3"/>
        <v>41116.447222222225</v>
      </c>
      <c r="M234" t="s">
        <v>161</v>
      </c>
      <c r="P234" t="s">
        <v>108</v>
      </c>
      <c r="Q234" t="s">
        <v>164</v>
      </c>
      <c r="R234" s="21" t="s">
        <v>108</v>
      </c>
      <c r="S234" s="32">
        <v>41116</v>
      </c>
      <c r="T234" t="s">
        <v>235</v>
      </c>
      <c r="U234" t="s">
        <v>235</v>
      </c>
      <c r="V234" t="s">
        <v>361</v>
      </c>
      <c r="W234" t="s">
        <v>386</v>
      </c>
      <c r="X234" t="s">
        <v>380</v>
      </c>
      <c r="Y234">
        <v>109432</v>
      </c>
      <c r="Z234" t="s">
        <v>235</v>
      </c>
      <c r="AA234" t="s">
        <v>381</v>
      </c>
      <c r="AB234" s="43">
        <v>0.44722222222222219</v>
      </c>
      <c r="AC234" s="45">
        <v>41116.447222222225</v>
      </c>
      <c r="AD234" t="s">
        <v>235</v>
      </c>
      <c r="AE234" t="s">
        <v>235</v>
      </c>
      <c r="AF234" t="s">
        <v>235</v>
      </c>
      <c r="AG234" t="s">
        <v>235</v>
      </c>
      <c r="AH234" t="s">
        <v>235</v>
      </c>
      <c r="AI234" t="s">
        <v>235</v>
      </c>
      <c r="AJ234" t="s">
        <v>235</v>
      </c>
      <c r="AK234" t="s">
        <v>235</v>
      </c>
      <c r="AL234">
        <v>1143</v>
      </c>
    </row>
    <row r="235" spans="1:39" x14ac:dyDescent="0.25">
      <c r="A235" t="str">
        <f t="shared" si="0"/>
        <v>HPT</v>
      </c>
      <c r="C235" t="str">
        <f t="shared" si="1"/>
        <v>014</v>
      </c>
      <c r="D235">
        <v>1</v>
      </c>
      <c r="I235">
        <f t="shared" si="2"/>
        <v>109452</v>
      </c>
      <c r="K235" s="18">
        <v>41116.620138888888</v>
      </c>
      <c r="L235" s="19">
        <f t="shared" si="3"/>
        <v>41116.453472222223</v>
      </c>
      <c r="M235" t="s">
        <v>161</v>
      </c>
      <c r="P235" t="s">
        <v>108</v>
      </c>
      <c r="Q235" t="s">
        <v>164</v>
      </c>
      <c r="R235" s="21" t="s">
        <v>108</v>
      </c>
      <c r="S235" s="32">
        <v>41116</v>
      </c>
      <c r="T235" t="s">
        <v>235</v>
      </c>
      <c r="U235" t="s">
        <v>235</v>
      </c>
      <c r="V235" t="s">
        <v>361</v>
      </c>
      <c r="W235" t="s">
        <v>317</v>
      </c>
      <c r="X235" t="s">
        <v>380</v>
      </c>
      <c r="Y235">
        <v>109452</v>
      </c>
      <c r="Z235" t="s">
        <v>235</v>
      </c>
      <c r="AA235" t="s">
        <v>381</v>
      </c>
      <c r="AB235" s="43">
        <v>0.45347222222222222</v>
      </c>
      <c r="AC235" s="45">
        <v>41116.453472222223</v>
      </c>
      <c r="AD235" t="s">
        <v>235</v>
      </c>
      <c r="AE235" t="s">
        <v>235</v>
      </c>
      <c r="AF235" t="s">
        <v>235</v>
      </c>
      <c r="AG235" t="s">
        <v>235</v>
      </c>
      <c r="AH235" t="s">
        <v>235</v>
      </c>
      <c r="AI235" t="s">
        <v>235</v>
      </c>
      <c r="AJ235" t="s">
        <v>235</v>
      </c>
      <c r="AK235" t="s">
        <v>235</v>
      </c>
      <c r="AL235">
        <v>1143</v>
      </c>
    </row>
    <row r="236" spans="1:39" x14ac:dyDescent="0.25">
      <c r="A236" t="str">
        <f t="shared" si="0"/>
        <v>HPT</v>
      </c>
      <c r="C236" t="str">
        <f t="shared" si="1"/>
        <v>015</v>
      </c>
      <c r="D236">
        <v>1</v>
      </c>
      <c r="I236">
        <f t="shared" si="2"/>
        <v>109490</v>
      </c>
      <c r="K236" s="18">
        <v>41116.640972222223</v>
      </c>
      <c r="L236" s="19">
        <f t="shared" si="3"/>
        <v>41116.474305555559</v>
      </c>
      <c r="M236" t="s">
        <v>161</v>
      </c>
      <c r="P236" t="s">
        <v>108</v>
      </c>
      <c r="Q236" t="s">
        <v>164</v>
      </c>
      <c r="R236" s="21" t="s">
        <v>108</v>
      </c>
      <c r="S236" s="32">
        <v>41116</v>
      </c>
      <c r="T236" t="s">
        <v>235</v>
      </c>
      <c r="U236" t="s">
        <v>235</v>
      </c>
      <c r="V236" t="s">
        <v>361</v>
      </c>
      <c r="W236" t="s">
        <v>318</v>
      </c>
      <c r="X236" t="s">
        <v>380</v>
      </c>
      <c r="Y236">
        <v>109490</v>
      </c>
      <c r="Z236" t="s">
        <v>235</v>
      </c>
      <c r="AA236" t="s">
        <v>381</v>
      </c>
      <c r="AB236" s="43">
        <v>0.47430555555555554</v>
      </c>
      <c r="AC236" s="45">
        <v>41116.474305555559</v>
      </c>
      <c r="AD236" t="s">
        <v>235</v>
      </c>
      <c r="AE236" t="s">
        <v>235</v>
      </c>
      <c r="AF236" t="s">
        <v>235</v>
      </c>
      <c r="AG236" t="s">
        <v>382</v>
      </c>
      <c r="AH236" t="s">
        <v>235</v>
      </c>
      <c r="AI236" t="s">
        <v>235</v>
      </c>
      <c r="AJ236" t="s">
        <v>235</v>
      </c>
      <c r="AK236" t="s">
        <v>235</v>
      </c>
      <c r="AL236">
        <v>1143</v>
      </c>
    </row>
    <row r="237" spans="1:39" x14ac:dyDescent="0.25">
      <c r="A237" t="str">
        <f t="shared" si="0"/>
        <v>HPT</v>
      </c>
      <c r="C237" t="str">
        <f t="shared" si="1"/>
        <v>008</v>
      </c>
      <c r="D237">
        <v>1</v>
      </c>
      <c r="I237">
        <f t="shared" si="2"/>
        <v>109957</v>
      </c>
      <c r="K237" s="18">
        <v>41116.650694444441</v>
      </c>
      <c r="L237" s="19">
        <f t="shared" si="3"/>
        <v>41116.484027777777</v>
      </c>
      <c r="M237" t="s">
        <v>161</v>
      </c>
      <c r="P237" t="s">
        <v>108</v>
      </c>
      <c r="Q237" t="s">
        <v>164</v>
      </c>
      <c r="R237" s="21" t="s">
        <v>108</v>
      </c>
      <c r="S237" s="32">
        <v>41116</v>
      </c>
      <c r="T237" t="s">
        <v>235</v>
      </c>
      <c r="U237" t="s">
        <v>235</v>
      </c>
      <c r="V237" t="s">
        <v>361</v>
      </c>
      <c r="W237" t="s">
        <v>319</v>
      </c>
      <c r="X237" t="s">
        <v>380</v>
      </c>
      <c r="Y237">
        <v>109957</v>
      </c>
      <c r="Z237" t="s">
        <v>235</v>
      </c>
      <c r="AA237" t="s">
        <v>381</v>
      </c>
      <c r="AB237" s="43">
        <v>0.48402777777777778</v>
      </c>
      <c r="AC237" s="45">
        <v>41116.484027777777</v>
      </c>
      <c r="AD237" t="s">
        <v>235</v>
      </c>
      <c r="AE237" t="s">
        <v>235</v>
      </c>
      <c r="AF237" t="s">
        <v>235</v>
      </c>
      <c r="AG237" t="s">
        <v>382</v>
      </c>
      <c r="AH237" t="s">
        <v>235</v>
      </c>
      <c r="AI237" t="s">
        <v>235</v>
      </c>
      <c r="AJ237" t="s">
        <v>235</v>
      </c>
      <c r="AK237" t="s">
        <v>235</v>
      </c>
      <c r="AL237">
        <v>1143</v>
      </c>
    </row>
    <row r="238" spans="1:39" x14ac:dyDescent="0.25">
      <c r="A238" t="str">
        <f t="shared" si="0"/>
        <v>HPT</v>
      </c>
      <c r="C238" t="str">
        <f t="shared" si="1"/>
        <v>007</v>
      </c>
      <c r="D238">
        <v>2</v>
      </c>
      <c r="I238">
        <f t="shared" si="2"/>
        <v>109514</v>
      </c>
      <c r="K238" s="18">
        <v>41116.665277777778</v>
      </c>
      <c r="L238" s="19">
        <f t="shared" si="3"/>
        <v>41116.498611111114</v>
      </c>
      <c r="M238" t="s">
        <v>161</v>
      </c>
      <c r="P238" t="s">
        <v>108</v>
      </c>
      <c r="Q238" t="s">
        <v>164</v>
      </c>
      <c r="R238" s="21" t="s">
        <v>108</v>
      </c>
      <c r="S238" s="32">
        <v>41116</v>
      </c>
      <c r="T238" t="s">
        <v>235</v>
      </c>
      <c r="U238" t="s">
        <v>235</v>
      </c>
      <c r="V238" t="s">
        <v>361</v>
      </c>
      <c r="W238" t="s">
        <v>384</v>
      </c>
      <c r="X238" t="s">
        <v>380</v>
      </c>
      <c r="Y238">
        <v>109514</v>
      </c>
      <c r="Z238" t="s">
        <v>235</v>
      </c>
      <c r="AA238" t="s">
        <v>381</v>
      </c>
      <c r="AB238" s="43">
        <v>0.49861111111111112</v>
      </c>
      <c r="AC238" s="45">
        <v>41116.498611111114</v>
      </c>
      <c r="AD238" t="s">
        <v>235</v>
      </c>
      <c r="AE238" t="s">
        <v>235</v>
      </c>
      <c r="AF238" t="s">
        <v>235</v>
      </c>
      <c r="AG238" t="s">
        <v>382</v>
      </c>
      <c r="AH238" t="s">
        <v>235</v>
      </c>
      <c r="AI238" t="s">
        <v>235</v>
      </c>
      <c r="AJ238" t="s">
        <v>235</v>
      </c>
      <c r="AK238" t="s">
        <v>235</v>
      </c>
      <c r="AL238">
        <v>1143</v>
      </c>
    </row>
    <row r="239" spans="1:39" x14ac:dyDescent="0.25">
      <c r="A239" t="str">
        <f t="shared" ref="A239:A270" si="4">LEFT(W239,3)</f>
        <v>GRD</v>
      </c>
      <c r="C239" t="str">
        <f t="shared" ref="C239:C270" si="5">RIGHT(W239,3)</f>
        <v>002</v>
      </c>
      <c r="D239">
        <v>8</v>
      </c>
      <c r="I239">
        <f t="shared" ref="I239:I270" si="6">Y239</f>
        <v>109922</v>
      </c>
      <c r="K239" s="18">
        <v>41116.768055555556</v>
      </c>
      <c r="L239" s="19">
        <f t="shared" ref="L239:L270" si="7">AC239</f>
        <v>41116.601388888892</v>
      </c>
      <c r="M239" t="s">
        <v>161</v>
      </c>
      <c r="P239" t="s">
        <v>108</v>
      </c>
      <c r="Q239" t="s">
        <v>179</v>
      </c>
      <c r="R239" s="21" t="s">
        <v>108</v>
      </c>
      <c r="S239" s="32">
        <v>41116</v>
      </c>
      <c r="T239" t="s">
        <v>235</v>
      </c>
      <c r="U239" t="s">
        <v>235</v>
      </c>
      <c r="V239" t="s">
        <v>361</v>
      </c>
      <c r="W239" t="s">
        <v>210</v>
      </c>
      <c r="X239" t="s">
        <v>380</v>
      </c>
      <c r="Y239">
        <v>109922</v>
      </c>
      <c r="Z239" t="s">
        <v>235</v>
      </c>
      <c r="AA239" t="s">
        <v>381</v>
      </c>
      <c r="AB239" s="43">
        <v>0.60138888888888886</v>
      </c>
      <c r="AC239" s="45">
        <v>41116.601388888892</v>
      </c>
      <c r="AD239" t="s">
        <v>235</v>
      </c>
      <c r="AE239" t="s">
        <v>235</v>
      </c>
      <c r="AF239" t="s">
        <v>235</v>
      </c>
      <c r="AG239" t="s">
        <v>382</v>
      </c>
      <c r="AH239" t="s">
        <v>235</v>
      </c>
      <c r="AI239" t="s">
        <v>235</v>
      </c>
      <c r="AJ239" t="s">
        <v>235</v>
      </c>
      <c r="AK239" t="s">
        <v>235</v>
      </c>
      <c r="AL239">
        <v>1143</v>
      </c>
    </row>
    <row r="240" spans="1:39" x14ac:dyDescent="0.25">
      <c r="A240" t="str">
        <f t="shared" si="4"/>
        <v>GRD</v>
      </c>
      <c r="C240" t="str">
        <f t="shared" si="5"/>
        <v>004</v>
      </c>
      <c r="D240">
        <v>4</v>
      </c>
      <c r="I240">
        <f t="shared" si="6"/>
        <v>109466</v>
      </c>
      <c r="K240" s="18">
        <v>41116.771527777775</v>
      </c>
      <c r="L240" s="19">
        <f t="shared" si="7"/>
        <v>41116.604861111111</v>
      </c>
      <c r="M240" t="s">
        <v>161</v>
      </c>
      <c r="P240" t="s">
        <v>108</v>
      </c>
      <c r="Q240" t="s">
        <v>164</v>
      </c>
      <c r="R240" s="21" t="s">
        <v>108</v>
      </c>
      <c r="S240" s="32">
        <v>41116</v>
      </c>
      <c r="T240" t="s">
        <v>235</v>
      </c>
      <c r="U240" t="s">
        <v>235</v>
      </c>
      <c r="V240" t="s">
        <v>361</v>
      </c>
      <c r="W240" t="s">
        <v>212</v>
      </c>
      <c r="X240" t="s">
        <v>380</v>
      </c>
      <c r="Y240">
        <v>109466</v>
      </c>
      <c r="Z240" t="s">
        <v>235</v>
      </c>
      <c r="AA240" t="s">
        <v>381</v>
      </c>
      <c r="AB240" s="43">
        <v>0.60486111111111118</v>
      </c>
      <c r="AC240" s="45">
        <v>41116.604861111111</v>
      </c>
      <c r="AD240" t="s">
        <v>235</v>
      </c>
      <c r="AE240" t="s">
        <v>235</v>
      </c>
      <c r="AF240" t="s">
        <v>235</v>
      </c>
      <c r="AG240" t="s">
        <v>382</v>
      </c>
      <c r="AH240" t="s">
        <v>235</v>
      </c>
      <c r="AI240" t="s">
        <v>235</v>
      </c>
      <c r="AJ240" t="s">
        <v>235</v>
      </c>
      <c r="AK240" t="s">
        <v>235</v>
      </c>
      <c r="AL240">
        <v>1143</v>
      </c>
    </row>
    <row r="241" spans="1:39" x14ac:dyDescent="0.25">
      <c r="A241" t="str">
        <f t="shared" si="4"/>
        <v>GRD</v>
      </c>
      <c r="C241" t="str">
        <f t="shared" si="5"/>
        <v>006</v>
      </c>
      <c r="D241">
        <v>5</v>
      </c>
      <c r="I241">
        <f t="shared" si="6"/>
        <v>109934</v>
      </c>
      <c r="K241" s="18">
        <v>41116.78125</v>
      </c>
      <c r="L241" s="19">
        <f t="shared" si="7"/>
        <v>41116.614583333336</v>
      </c>
      <c r="M241" t="s">
        <v>161</v>
      </c>
      <c r="P241" t="s">
        <v>108</v>
      </c>
      <c r="Q241" t="s">
        <v>164</v>
      </c>
      <c r="R241" s="21" t="s">
        <v>108</v>
      </c>
      <c r="S241" s="32">
        <v>41116</v>
      </c>
      <c r="T241" t="s">
        <v>235</v>
      </c>
      <c r="U241" t="s">
        <v>235</v>
      </c>
      <c r="V241" t="s">
        <v>361</v>
      </c>
      <c r="W241" t="s">
        <v>214</v>
      </c>
      <c r="X241" t="s">
        <v>380</v>
      </c>
      <c r="Y241">
        <v>109934</v>
      </c>
      <c r="Z241" t="s">
        <v>235</v>
      </c>
      <c r="AA241" t="s">
        <v>381</v>
      </c>
      <c r="AB241" s="43">
        <v>0.61458333333333337</v>
      </c>
      <c r="AC241" s="45">
        <v>41116.614583333336</v>
      </c>
      <c r="AD241" t="s">
        <v>235</v>
      </c>
      <c r="AE241" t="s">
        <v>235</v>
      </c>
      <c r="AF241" t="s">
        <v>235</v>
      </c>
      <c r="AG241" t="s">
        <v>382</v>
      </c>
      <c r="AH241" t="s">
        <v>235</v>
      </c>
      <c r="AI241" t="s">
        <v>235</v>
      </c>
      <c r="AJ241" t="s">
        <v>235</v>
      </c>
      <c r="AK241" t="s">
        <v>235</v>
      </c>
      <c r="AL241">
        <v>1143</v>
      </c>
    </row>
    <row r="242" spans="1:39" x14ac:dyDescent="0.25">
      <c r="A242" t="str">
        <f t="shared" si="4"/>
        <v>GRD</v>
      </c>
      <c r="C242" t="str">
        <f t="shared" si="5"/>
        <v>001</v>
      </c>
      <c r="D242">
        <v>6</v>
      </c>
      <c r="I242">
        <f t="shared" si="6"/>
        <v>109487</v>
      </c>
      <c r="K242" s="18">
        <v>41116.802083333336</v>
      </c>
      <c r="L242" s="19">
        <f t="shared" si="7"/>
        <v>41116.635416666664</v>
      </c>
      <c r="M242" t="s">
        <v>161</v>
      </c>
      <c r="P242" t="s">
        <v>108</v>
      </c>
      <c r="Q242" t="s">
        <v>164</v>
      </c>
      <c r="R242" s="21" t="s">
        <v>108</v>
      </c>
      <c r="S242" s="32">
        <v>41116</v>
      </c>
      <c r="T242" t="s">
        <v>235</v>
      </c>
      <c r="U242" t="s">
        <v>235</v>
      </c>
      <c r="V242" t="s">
        <v>361</v>
      </c>
      <c r="W242" t="s">
        <v>209</v>
      </c>
      <c r="X242" t="s">
        <v>380</v>
      </c>
      <c r="Y242">
        <v>109487</v>
      </c>
      <c r="Z242" t="s">
        <v>235</v>
      </c>
      <c r="AA242" t="s">
        <v>381</v>
      </c>
      <c r="AB242" s="43">
        <v>0.63541666666666663</v>
      </c>
      <c r="AC242" s="45">
        <v>41116.635416666664</v>
      </c>
      <c r="AD242" t="s">
        <v>235</v>
      </c>
      <c r="AE242" t="s">
        <v>235</v>
      </c>
      <c r="AF242" t="s">
        <v>235</v>
      </c>
      <c r="AG242" t="s">
        <v>382</v>
      </c>
      <c r="AH242" t="s">
        <v>235</v>
      </c>
      <c r="AI242" t="s">
        <v>235</v>
      </c>
      <c r="AJ242" t="s">
        <v>235</v>
      </c>
      <c r="AK242" t="s">
        <v>235</v>
      </c>
      <c r="AL242">
        <v>1143</v>
      </c>
    </row>
    <row r="243" spans="1:39" x14ac:dyDescent="0.25">
      <c r="A243" t="str">
        <f t="shared" si="4"/>
        <v>GRD</v>
      </c>
      <c r="C243" t="str">
        <f t="shared" si="5"/>
        <v>003</v>
      </c>
      <c r="D243">
        <v>4</v>
      </c>
      <c r="I243">
        <f t="shared" si="6"/>
        <v>109892</v>
      </c>
      <c r="K243" s="18">
        <v>41116.811111111114</v>
      </c>
      <c r="L243" s="19">
        <f t="shared" si="7"/>
        <v>41116.644444444442</v>
      </c>
      <c r="M243" t="s">
        <v>161</v>
      </c>
      <c r="P243" t="s">
        <v>108</v>
      </c>
      <c r="Q243" t="s">
        <v>164</v>
      </c>
      <c r="R243" s="21" t="s">
        <v>108</v>
      </c>
      <c r="S243" s="32">
        <v>41116</v>
      </c>
      <c r="T243" t="s">
        <v>235</v>
      </c>
      <c r="U243" t="s">
        <v>235</v>
      </c>
      <c r="V243" t="s">
        <v>361</v>
      </c>
      <c r="W243" t="s">
        <v>211</v>
      </c>
      <c r="X243" t="s">
        <v>380</v>
      </c>
      <c r="Y243">
        <v>109892</v>
      </c>
      <c r="Z243" t="s">
        <v>235</v>
      </c>
      <c r="AA243" t="s">
        <v>381</v>
      </c>
      <c r="AB243" s="43">
        <v>0.64444444444444449</v>
      </c>
      <c r="AC243" s="45">
        <v>41116.644444444442</v>
      </c>
      <c r="AD243" t="s">
        <v>235</v>
      </c>
      <c r="AE243" t="s">
        <v>235</v>
      </c>
      <c r="AF243" t="s">
        <v>235</v>
      </c>
      <c r="AG243" t="s">
        <v>382</v>
      </c>
      <c r="AH243" t="s">
        <v>235</v>
      </c>
      <c r="AI243" t="s">
        <v>235</v>
      </c>
      <c r="AJ243" t="s">
        <v>235</v>
      </c>
      <c r="AK243" t="s">
        <v>235</v>
      </c>
      <c r="AL243">
        <v>1143</v>
      </c>
    </row>
    <row r="244" spans="1:39" x14ac:dyDescent="0.25">
      <c r="A244" t="str">
        <f t="shared" si="4"/>
        <v>GRD</v>
      </c>
      <c r="C244" t="str">
        <f t="shared" si="5"/>
        <v>005</v>
      </c>
      <c r="D244">
        <v>5</v>
      </c>
      <c r="I244">
        <f t="shared" si="6"/>
        <v>109441</v>
      </c>
      <c r="K244" s="18">
        <v>41116.814583333333</v>
      </c>
      <c r="L244" s="19">
        <f t="shared" si="7"/>
        <v>41116.647916666669</v>
      </c>
      <c r="M244" t="s">
        <v>161</v>
      </c>
      <c r="P244" t="s">
        <v>108</v>
      </c>
      <c r="Q244" t="s">
        <v>164</v>
      </c>
      <c r="R244" s="21" t="s">
        <v>108</v>
      </c>
      <c r="S244" s="32">
        <v>41116</v>
      </c>
      <c r="T244" t="s">
        <v>235</v>
      </c>
      <c r="U244" t="s">
        <v>235</v>
      </c>
      <c r="V244" t="s">
        <v>361</v>
      </c>
      <c r="W244" t="s">
        <v>213</v>
      </c>
      <c r="X244" t="s">
        <v>380</v>
      </c>
      <c r="Y244">
        <v>109441</v>
      </c>
      <c r="Z244" t="s">
        <v>235</v>
      </c>
      <c r="AA244" t="s">
        <v>381</v>
      </c>
      <c r="AB244" s="43">
        <v>0.6479166666666667</v>
      </c>
      <c r="AC244" s="45">
        <v>41116.647916666669</v>
      </c>
      <c r="AD244" t="s">
        <v>235</v>
      </c>
      <c r="AE244" t="s">
        <v>235</v>
      </c>
      <c r="AF244" t="s">
        <v>235</v>
      </c>
      <c r="AG244" t="s">
        <v>382</v>
      </c>
      <c r="AH244" t="s">
        <v>235</v>
      </c>
      <c r="AI244" t="s">
        <v>235</v>
      </c>
      <c r="AJ244" t="s">
        <v>235</v>
      </c>
      <c r="AK244" t="s">
        <v>235</v>
      </c>
      <c r="AL244">
        <v>1143</v>
      </c>
    </row>
    <row r="245" spans="1:39" x14ac:dyDescent="0.25">
      <c r="A245" t="str">
        <f t="shared" si="4"/>
        <v>GRD</v>
      </c>
      <c r="C245" t="str">
        <f t="shared" si="5"/>
        <v>007</v>
      </c>
      <c r="D245">
        <v>2</v>
      </c>
      <c r="I245">
        <f t="shared" si="6"/>
        <v>114481</v>
      </c>
      <c r="K245" s="18">
        <v>41116.829861111109</v>
      </c>
      <c r="L245" s="19">
        <f t="shared" si="7"/>
        <v>41116.663194444445</v>
      </c>
      <c r="M245" t="s">
        <v>161</v>
      </c>
      <c r="P245" t="s">
        <v>108</v>
      </c>
      <c r="Q245" t="s">
        <v>164</v>
      </c>
      <c r="R245" s="21" t="s">
        <v>108</v>
      </c>
      <c r="S245" s="32">
        <v>41116</v>
      </c>
      <c r="T245" t="s">
        <v>235</v>
      </c>
      <c r="U245" t="s">
        <v>235</v>
      </c>
      <c r="V245" t="s">
        <v>361</v>
      </c>
      <c r="W245" t="s">
        <v>215</v>
      </c>
      <c r="X245" t="s">
        <v>380</v>
      </c>
      <c r="Y245">
        <v>114481</v>
      </c>
      <c r="Z245" t="s">
        <v>235</v>
      </c>
      <c r="AA245" t="s">
        <v>381</v>
      </c>
      <c r="AB245" s="43">
        <v>0.66319444444444442</v>
      </c>
      <c r="AC245" s="45">
        <v>41116.663194444445</v>
      </c>
      <c r="AD245" t="s">
        <v>235</v>
      </c>
      <c r="AE245" t="s">
        <v>235</v>
      </c>
      <c r="AF245" t="s">
        <v>235</v>
      </c>
      <c r="AG245" t="s">
        <v>382</v>
      </c>
      <c r="AH245" t="s">
        <v>235</v>
      </c>
      <c r="AI245" t="s">
        <v>235</v>
      </c>
      <c r="AJ245" t="s">
        <v>235</v>
      </c>
      <c r="AK245" t="s">
        <v>235</v>
      </c>
      <c r="AL245">
        <v>1143</v>
      </c>
    </row>
    <row r="246" spans="1:39" x14ac:dyDescent="0.25">
      <c r="A246" t="str">
        <f t="shared" si="4"/>
        <v>GRD</v>
      </c>
      <c r="C246" t="str">
        <f t="shared" si="5"/>
        <v>008</v>
      </c>
      <c r="D246">
        <v>1</v>
      </c>
      <c r="I246">
        <f t="shared" si="6"/>
        <v>109911</v>
      </c>
      <c r="K246" s="18">
        <v>41116.838888888888</v>
      </c>
      <c r="L246" s="19">
        <f t="shared" si="7"/>
        <v>41116.672222222223</v>
      </c>
      <c r="M246" t="s">
        <v>161</v>
      </c>
      <c r="P246" t="s">
        <v>108</v>
      </c>
      <c r="Q246" t="s">
        <v>164</v>
      </c>
      <c r="R246" s="21" t="s">
        <v>108</v>
      </c>
      <c r="S246" s="32">
        <v>41116</v>
      </c>
      <c r="T246" t="s">
        <v>235</v>
      </c>
      <c r="U246" t="s">
        <v>235</v>
      </c>
      <c r="V246" t="s">
        <v>361</v>
      </c>
      <c r="W246" t="s">
        <v>216</v>
      </c>
      <c r="X246" t="s">
        <v>380</v>
      </c>
      <c r="Y246">
        <v>109911</v>
      </c>
      <c r="Z246" t="s">
        <v>235</v>
      </c>
      <c r="AA246" t="s">
        <v>381</v>
      </c>
      <c r="AB246" s="43">
        <v>0.67222222222222217</v>
      </c>
      <c r="AC246" s="45">
        <v>41116.672222222223</v>
      </c>
      <c r="AD246" t="s">
        <v>235</v>
      </c>
      <c r="AE246" t="s">
        <v>235</v>
      </c>
      <c r="AF246" t="s">
        <v>235</v>
      </c>
      <c r="AG246" t="s">
        <v>382</v>
      </c>
      <c r="AH246" t="s">
        <v>235</v>
      </c>
      <c r="AI246" t="s">
        <v>235</v>
      </c>
      <c r="AJ246" t="s">
        <v>235</v>
      </c>
      <c r="AK246" t="s">
        <v>235</v>
      </c>
      <c r="AL246">
        <v>1143</v>
      </c>
    </row>
    <row r="247" spans="1:39" x14ac:dyDescent="0.25">
      <c r="A247" t="str">
        <f t="shared" si="4"/>
        <v>PCH</v>
      </c>
      <c r="C247" t="str">
        <f t="shared" si="5"/>
        <v>001</v>
      </c>
      <c r="D247">
        <v>4</v>
      </c>
      <c r="I247">
        <f t="shared" si="6"/>
        <v>109453</v>
      </c>
      <c r="K247" s="18">
        <v>41116.847916666666</v>
      </c>
      <c r="L247" s="19">
        <f t="shared" si="7"/>
        <v>41116.681250000001</v>
      </c>
      <c r="M247" t="s">
        <v>161</v>
      </c>
      <c r="P247" t="s">
        <v>108</v>
      </c>
      <c r="Q247" t="s">
        <v>179</v>
      </c>
      <c r="R247" s="21" t="s">
        <v>108</v>
      </c>
      <c r="S247" s="32">
        <v>41116</v>
      </c>
      <c r="T247" t="s">
        <v>235</v>
      </c>
      <c r="U247" t="s">
        <v>235</v>
      </c>
      <c r="V247" t="s">
        <v>361</v>
      </c>
      <c r="W247" t="s">
        <v>207</v>
      </c>
      <c r="X247" t="s">
        <v>380</v>
      </c>
      <c r="Y247">
        <v>109453</v>
      </c>
      <c r="Z247" t="s">
        <v>235</v>
      </c>
      <c r="AA247" t="s">
        <v>381</v>
      </c>
      <c r="AB247" s="43">
        <v>0.68125000000000002</v>
      </c>
      <c r="AC247" s="45">
        <v>41116.681250000001</v>
      </c>
      <c r="AD247" t="s">
        <v>235</v>
      </c>
      <c r="AE247" t="s">
        <v>235</v>
      </c>
      <c r="AF247" t="s">
        <v>235</v>
      </c>
      <c r="AG247" t="s">
        <v>382</v>
      </c>
      <c r="AH247" t="s">
        <v>235</v>
      </c>
      <c r="AI247" t="s">
        <v>235</v>
      </c>
      <c r="AJ247" t="s">
        <v>235</v>
      </c>
      <c r="AK247" t="s">
        <v>235</v>
      </c>
      <c r="AL247">
        <v>1143</v>
      </c>
      <c r="AM247" s="38"/>
    </row>
    <row r="248" spans="1:39" x14ac:dyDescent="0.25">
      <c r="A248" t="str">
        <f t="shared" si="4"/>
        <v>BLL</v>
      </c>
      <c r="C248" t="str">
        <f t="shared" si="5"/>
        <v>001</v>
      </c>
      <c r="D248">
        <v>3</v>
      </c>
      <c r="I248">
        <f t="shared" si="6"/>
        <v>109437</v>
      </c>
      <c r="K248" s="18">
        <v>41116.859722222223</v>
      </c>
      <c r="L248" s="19">
        <f t="shared" si="7"/>
        <v>41116.693055555559</v>
      </c>
      <c r="M248" t="s">
        <v>161</v>
      </c>
      <c r="P248" t="s">
        <v>108</v>
      </c>
      <c r="Q248" t="s">
        <v>179</v>
      </c>
      <c r="R248" s="21" t="s">
        <v>108</v>
      </c>
      <c r="S248" s="32">
        <v>41116</v>
      </c>
      <c r="T248" t="s">
        <v>235</v>
      </c>
      <c r="U248" t="s">
        <v>235</v>
      </c>
      <c r="V248" t="s">
        <v>361</v>
      </c>
      <c r="W248" t="s">
        <v>206</v>
      </c>
      <c r="X248" t="s">
        <v>380</v>
      </c>
      <c r="Y248">
        <v>109437</v>
      </c>
      <c r="Z248" t="s">
        <v>235</v>
      </c>
      <c r="AA248" t="s">
        <v>381</v>
      </c>
      <c r="AB248" s="43">
        <v>0.69305555555555554</v>
      </c>
      <c r="AC248" s="45">
        <v>41116.693055555559</v>
      </c>
      <c r="AD248" t="s">
        <v>235</v>
      </c>
      <c r="AE248" t="s">
        <v>235</v>
      </c>
      <c r="AF248" t="s">
        <v>235</v>
      </c>
      <c r="AG248" t="s">
        <v>235</v>
      </c>
      <c r="AH248" t="s">
        <v>235</v>
      </c>
      <c r="AI248" t="s">
        <v>235</v>
      </c>
      <c r="AJ248" t="s">
        <v>235</v>
      </c>
      <c r="AK248" t="s">
        <v>235</v>
      </c>
      <c r="AL248">
        <v>1143</v>
      </c>
    </row>
    <row r="249" spans="1:39" x14ac:dyDescent="0.25">
      <c r="A249" t="str">
        <f t="shared" si="4"/>
        <v>LWS</v>
      </c>
      <c r="C249" t="str">
        <f t="shared" si="5"/>
        <v>001</v>
      </c>
      <c r="D249">
        <v>1</v>
      </c>
      <c r="I249">
        <f t="shared" si="6"/>
        <v>109970</v>
      </c>
      <c r="K249" s="18">
        <v>41116.877083333333</v>
      </c>
      <c r="L249" s="19">
        <f t="shared" si="7"/>
        <v>41116.710416666669</v>
      </c>
      <c r="M249" t="s">
        <v>161</v>
      </c>
      <c r="P249" t="s">
        <v>108</v>
      </c>
      <c r="Q249" t="s">
        <v>179</v>
      </c>
      <c r="R249" s="21" t="s">
        <v>108</v>
      </c>
      <c r="S249" s="32">
        <v>41116</v>
      </c>
      <c r="T249" t="s">
        <v>235</v>
      </c>
      <c r="U249" t="s">
        <v>235</v>
      </c>
      <c r="V249" t="s">
        <v>361</v>
      </c>
      <c r="W249" t="s">
        <v>203</v>
      </c>
      <c r="X249" t="s">
        <v>380</v>
      </c>
      <c r="Y249">
        <v>109970</v>
      </c>
      <c r="Z249" t="s">
        <v>235</v>
      </c>
      <c r="AA249" t="s">
        <v>381</v>
      </c>
      <c r="AB249" s="43">
        <v>0.7104166666666667</v>
      </c>
      <c r="AC249" s="45">
        <v>41116.710416666669</v>
      </c>
      <c r="AD249" t="s">
        <v>235</v>
      </c>
      <c r="AE249" t="s">
        <v>235</v>
      </c>
      <c r="AF249" t="s">
        <v>235</v>
      </c>
      <c r="AG249" t="s">
        <v>235</v>
      </c>
      <c r="AH249" t="s">
        <v>235</v>
      </c>
      <c r="AI249" t="s">
        <v>235</v>
      </c>
      <c r="AJ249" t="s">
        <v>235</v>
      </c>
      <c r="AK249" t="s">
        <v>235</v>
      </c>
      <c r="AL249">
        <v>1143</v>
      </c>
    </row>
    <row r="250" spans="1:39" x14ac:dyDescent="0.25">
      <c r="A250" t="str">
        <f t="shared" si="4"/>
        <v>CKI</v>
      </c>
      <c r="C250" t="str">
        <f t="shared" si="5"/>
        <v>003</v>
      </c>
      <c r="D250">
        <v>3</v>
      </c>
      <c r="I250">
        <f t="shared" si="6"/>
        <v>109440</v>
      </c>
      <c r="K250" s="18">
        <v>41116.888888888891</v>
      </c>
      <c r="L250" s="19">
        <f t="shared" si="7"/>
        <v>41116.722222222219</v>
      </c>
      <c r="M250" t="s">
        <v>161</v>
      </c>
      <c r="P250" t="s">
        <v>108</v>
      </c>
      <c r="Q250" t="s">
        <v>179</v>
      </c>
      <c r="R250" s="21" t="s">
        <v>108</v>
      </c>
      <c r="S250" s="32">
        <v>41116</v>
      </c>
      <c r="T250" t="s">
        <v>235</v>
      </c>
      <c r="U250" t="s">
        <v>235</v>
      </c>
      <c r="V250" t="s">
        <v>361</v>
      </c>
      <c r="W250" t="s">
        <v>194</v>
      </c>
      <c r="X250" t="s">
        <v>380</v>
      </c>
      <c r="Y250">
        <v>109440</v>
      </c>
      <c r="Z250" t="s">
        <v>235</v>
      </c>
      <c r="AA250" t="s">
        <v>381</v>
      </c>
      <c r="AB250" s="43">
        <v>0.72222222222222221</v>
      </c>
      <c r="AC250" s="45">
        <v>41116.722222222219</v>
      </c>
      <c r="AD250" t="s">
        <v>235</v>
      </c>
      <c r="AE250" t="s">
        <v>235</v>
      </c>
      <c r="AF250" t="s">
        <v>235</v>
      </c>
      <c r="AG250" t="s">
        <v>235</v>
      </c>
      <c r="AH250" t="s">
        <v>235</v>
      </c>
      <c r="AI250" t="s">
        <v>235</v>
      </c>
      <c r="AJ250" t="s">
        <v>235</v>
      </c>
      <c r="AK250" t="s">
        <v>235</v>
      </c>
      <c r="AL250">
        <v>1143</v>
      </c>
    </row>
    <row r="251" spans="1:39" x14ac:dyDescent="0.25">
      <c r="A251" t="str">
        <f t="shared" si="4"/>
        <v>BLC</v>
      </c>
      <c r="C251" t="str">
        <f t="shared" si="5"/>
        <v>001</v>
      </c>
      <c r="D251">
        <v>1</v>
      </c>
      <c r="I251">
        <f t="shared" si="6"/>
        <v>109123</v>
      </c>
      <c r="K251" s="18">
        <v>41116.907638888886</v>
      </c>
      <c r="L251" s="19">
        <f t="shared" si="7"/>
        <v>41116.740972222222</v>
      </c>
      <c r="M251" t="s">
        <v>161</v>
      </c>
      <c r="P251" t="s">
        <v>108</v>
      </c>
      <c r="Q251" t="s">
        <v>179</v>
      </c>
      <c r="R251" s="21" t="s">
        <v>108</v>
      </c>
      <c r="S251" s="32">
        <v>41116</v>
      </c>
      <c r="T251" t="s">
        <v>235</v>
      </c>
      <c r="U251" t="s">
        <v>235</v>
      </c>
      <c r="V251" t="s">
        <v>361</v>
      </c>
      <c r="W251" t="s">
        <v>192</v>
      </c>
      <c r="X251" t="s">
        <v>380</v>
      </c>
      <c r="Y251">
        <v>109123</v>
      </c>
      <c r="Z251" t="s">
        <v>235</v>
      </c>
      <c r="AA251" t="s">
        <v>381</v>
      </c>
      <c r="AB251" s="43">
        <v>0.74097222222222225</v>
      </c>
      <c r="AC251" s="45">
        <v>41116.740972222222</v>
      </c>
      <c r="AD251" t="s">
        <v>235</v>
      </c>
      <c r="AE251" t="s">
        <v>235</v>
      </c>
      <c r="AF251" t="s">
        <v>235</v>
      </c>
      <c r="AG251" t="s">
        <v>235</v>
      </c>
      <c r="AH251" t="s">
        <v>235</v>
      </c>
      <c r="AI251" t="s">
        <v>235</v>
      </c>
      <c r="AJ251" t="s">
        <v>235</v>
      </c>
      <c r="AK251" t="s">
        <v>235</v>
      </c>
      <c r="AL251">
        <v>1143</v>
      </c>
    </row>
    <row r="252" spans="1:39" x14ac:dyDescent="0.25">
      <c r="A252" t="str">
        <f t="shared" si="4"/>
        <v>LRP</v>
      </c>
      <c r="C252" t="str">
        <f t="shared" si="5"/>
        <v>001</v>
      </c>
      <c r="D252">
        <v>3</v>
      </c>
      <c r="I252">
        <f t="shared" si="6"/>
        <v>109461</v>
      </c>
      <c r="K252" s="18">
        <v>41117.512499999997</v>
      </c>
      <c r="L252" s="19">
        <f t="shared" si="7"/>
        <v>41117.345833333333</v>
      </c>
      <c r="M252" t="s">
        <v>161</v>
      </c>
      <c r="P252" t="s">
        <v>108</v>
      </c>
      <c r="Q252" t="s">
        <v>179</v>
      </c>
      <c r="R252" s="21" t="s">
        <v>108</v>
      </c>
      <c r="S252" s="32">
        <v>41117</v>
      </c>
      <c r="T252" t="s">
        <v>235</v>
      </c>
      <c r="U252" t="s">
        <v>235</v>
      </c>
      <c r="V252" t="s">
        <v>361</v>
      </c>
      <c r="W252" t="s">
        <v>196</v>
      </c>
      <c r="X252" t="s">
        <v>380</v>
      </c>
      <c r="Y252">
        <v>109461</v>
      </c>
      <c r="Z252" t="s">
        <v>235</v>
      </c>
      <c r="AA252" t="s">
        <v>381</v>
      </c>
      <c r="AB252" s="43">
        <v>0.34583333333333338</v>
      </c>
      <c r="AC252" s="45">
        <v>41117.345833333333</v>
      </c>
      <c r="AD252" t="s">
        <v>235</v>
      </c>
      <c r="AE252" t="s">
        <v>235</v>
      </c>
      <c r="AF252" t="s">
        <v>235</v>
      </c>
      <c r="AG252" t="s">
        <v>235</v>
      </c>
      <c r="AH252" t="s">
        <v>235</v>
      </c>
      <c r="AI252" t="s">
        <v>235</v>
      </c>
      <c r="AJ252" t="s">
        <v>235</v>
      </c>
      <c r="AK252" t="s">
        <v>235</v>
      </c>
      <c r="AL252">
        <v>1143</v>
      </c>
    </row>
    <row r="253" spans="1:39" x14ac:dyDescent="0.25">
      <c r="A253" t="str">
        <f t="shared" si="4"/>
        <v>IS1</v>
      </c>
      <c r="C253" t="str">
        <f t="shared" si="5"/>
        <v>002</v>
      </c>
      <c r="D253">
        <v>3</v>
      </c>
      <c r="I253">
        <f t="shared" si="6"/>
        <v>109897</v>
      </c>
      <c r="K253" s="18">
        <v>41117.522916666669</v>
      </c>
      <c r="L253" s="19">
        <f t="shared" si="7"/>
        <v>41117.356249999997</v>
      </c>
      <c r="M253" t="s">
        <v>161</v>
      </c>
      <c r="P253" t="s">
        <v>108</v>
      </c>
      <c r="Q253" t="s">
        <v>179</v>
      </c>
      <c r="R253" s="21" t="s">
        <v>108</v>
      </c>
      <c r="S253" s="32">
        <v>41117</v>
      </c>
      <c r="T253" t="s">
        <v>235</v>
      </c>
      <c r="U253" t="s">
        <v>235</v>
      </c>
      <c r="V253" t="s">
        <v>361</v>
      </c>
      <c r="W253" t="s">
        <v>195</v>
      </c>
      <c r="X253" t="s">
        <v>380</v>
      </c>
      <c r="Y253">
        <v>109897</v>
      </c>
      <c r="Z253" t="s">
        <v>235</v>
      </c>
      <c r="AA253" t="s">
        <v>381</v>
      </c>
      <c r="AB253" s="43">
        <v>0.35625000000000001</v>
      </c>
      <c r="AC253" s="45">
        <v>41117.356249999997</v>
      </c>
      <c r="AD253" t="s">
        <v>235</v>
      </c>
      <c r="AE253" t="s">
        <v>235</v>
      </c>
      <c r="AF253" t="s">
        <v>235</v>
      </c>
      <c r="AG253" t="s">
        <v>235</v>
      </c>
      <c r="AH253" t="s">
        <v>235</v>
      </c>
      <c r="AI253" t="s">
        <v>235</v>
      </c>
      <c r="AJ253" t="s">
        <v>235</v>
      </c>
      <c r="AK253" t="s">
        <v>235</v>
      </c>
      <c r="AL253">
        <v>1143</v>
      </c>
    </row>
    <row r="254" spans="1:39" x14ac:dyDescent="0.25">
      <c r="A254" t="str">
        <f t="shared" si="4"/>
        <v>IS1</v>
      </c>
      <c r="C254" t="str">
        <f t="shared" si="5"/>
        <v>004</v>
      </c>
      <c r="D254">
        <v>4</v>
      </c>
      <c r="I254">
        <f t="shared" si="6"/>
        <v>109424</v>
      </c>
      <c r="K254" s="18">
        <v>41117.533333333333</v>
      </c>
      <c r="L254" s="19">
        <f t="shared" si="7"/>
        <v>41117.366666666669</v>
      </c>
      <c r="M254" t="s">
        <v>161</v>
      </c>
      <c r="P254" t="s">
        <v>108</v>
      </c>
      <c r="Q254" t="s">
        <v>179</v>
      </c>
      <c r="R254" s="21" t="s">
        <v>108</v>
      </c>
      <c r="S254" s="32">
        <v>41117</v>
      </c>
      <c r="T254" t="s">
        <v>235</v>
      </c>
      <c r="U254" t="s">
        <v>235</v>
      </c>
      <c r="V254" t="s">
        <v>361</v>
      </c>
      <c r="W254" t="s">
        <v>189</v>
      </c>
      <c r="X254" t="s">
        <v>380</v>
      </c>
      <c r="Y254">
        <v>109424</v>
      </c>
      <c r="Z254" t="s">
        <v>235</v>
      </c>
      <c r="AA254" t="s">
        <v>381</v>
      </c>
      <c r="AB254" s="43">
        <v>0.3666666666666667</v>
      </c>
      <c r="AC254" s="45">
        <v>41117.366666666669</v>
      </c>
      <c r="AD254" t="s">
        <v>235</v>
      </c>
      <c r="AE254" t="s">
        <v>235</v>
      </c>
      <c r="AF254" t="s">
        <v>235</v>
      </c>
      <c r="AG254" t="s">
        <v>235</v>
      </c>
      <c r="AH254" t="s">
        <v>235</v>
      </c>
      <c r="AI254" t="s">
        <v>235</v>
      </c>
      <c r="AJ254" t="s">
        <v>235</v>
      </c>
      <c r="AK254" t="s">
        <v>235</v>
      </c>
      <c r="AL254">
        <v>1143</v>
      </c>
    </row>
    <row r="255" spans="1:39" x14ac:dyDescent="0.25">
      <c r="A255" t="str">
        <f t="shared" si="4"/>
        <v>RVR</v>
      </c>
      <c r="C255" t="str">
        <f t="shared" si="5"/>
        <v>002</v>
      </c>
      <c r="D255">
        <v>3</v>
      </c>
      <c r="I255">
        <f t="shared" si="6"/>
        <v>109920</v>
      </c>
      <c r="K255" s="18">
        <v>41117.546527777777</v>
      </c>
      <c r="L255" s="19">
        <f t="shared" si="7"/>
        <v>41117.379861111112</v>
      </c>
      <c r="M255" t="s">
        <v>161</v>
      </c>
      <c r="P255" t="s">
        <v>108</v>
      </c>
      <c r="Q255" t="s">
        <v>179</v>
      </c>
      <c r="R255" s="21" t="s">
        <v>108</v>
      </c>
      <c r="S255" s="32">
        <v>41117</v>
      </c>
      <c r="T255" t="s">
        <v>235</v>
      </c>
      <c r="U255" t="s">
        <v>235</v>
      </c>
      <c r="V255" t="s">
        <v>361</v>
      </c>
      <c r="W255" t="s">
        <v>186</v>
      </c>
      <c r="X255" t="s">
        <v>380</v>
      </c>
      <c r="Y255">
        <v>109920</v>
      </c>
      <c r="Z255" t="s">
        <v>235</v>
      </c>
      <c r="AA255" t="s">
        <v>381</v>
      </c>
      <c r="AB255" s="43">
        <v>0.37986111111111115</v>
      </c>
      <c r="AC255" s="45">
        <v>41117.379861111112</v>
      </c>
      <c r="AD255" t="s">
        <v>235</v>
      </c>
      <c r="AE255" t="s">
        <v>235</v>
      </c>
      <c r="AF255" t="s">
        <v>235</v>
      </c>
      <c r="AG255" t="s">
        <v>235</v>
      </c>
      <c r="AH255" t="s">
        <v>235</v>
      </c>
      <c r="AI255" t="s">
        <v>235</v>
      </c>
      <c r="AJ255" t="s">
        <v>235</v>
      </c>
      <c r="AK255" t="s">
        <v>235</v>
      </c>
      <c r="AL255">
        <v>1143</v>
      </c>
    </row>
    <row r="256" spans="1:39" x14ac:dyDescent="0.25">
      <c r="A256" t="str">
        <f t="shared" si="4"/>
        <v>RVR</v>
      </c>
      <c r="C256" t="str">
        <f t="shared" si="5"/>
        <v>001</v>
      </c>
      <c r="D256">
        <v>3</v>
      </c>
      <c r="I256">
        <f t="shared" si="6"/>
        <v>109410</v>
      </c>
      <c r="K256" s="18">
        <v>41117.55972222222</v>
      </c>
      <c r="L256" s="19">
        <f t="shared" si="7"/>
        <v>41117.393055555556</v>
      </c>
      <c r="M256" t="s">
        <v>161</v>
      </c>
      <c r="P256" t="s">
        <v>108</v>
      </c>
      <c r="Q256" t="s">
        <v>179</v>
      </c>
      <c r="R256" s="21" t="s">
        <v>108</v>
      </c>
      <c r="S256" s="32">
        <v>41117</v>
      </c>
      <c r="T256" t="s">
        <v>235</v>
      </c>
      <c r="U256" t="s">
        <v>235</v>
      </c>
      <c r="V256" t="s">
        <v>361</v>
      </c>
      <c r="W256" t="s">
        <v>201</v>
      </c>
      <c r="X256" t="s">
        <v>380</v>
      </c>
      <c r="Y256">
        <v>109410</v>
      </c>
      <c r="Z256" t="s">
        <v>235</v>
      </c>
      <c r="AA256" t="s">
        <v>381</v>
      </c>
      <c r="AB256" s="43">
        <v>0.39305555555555555</v>
      </c>
      <c r="AC256" s="45">
        <v>41117.393055555556</v>
      </c>
      <c r="AD256" t="s">
        <v>235</v>
      </c>
      <c r="AE256" t="s">
        <v>235</v>
      </c>
      <c r="AF256" t="s">
        <v>235</v>
      </c>
      <c r="AG256" t="s">
        <v>235</v>
      </c>
      <c r="AH256" t="s">
        <v>235</v>
      </c>
      <c r="AI256" t="s">
        <v>235</v>
      </c>
      <c r="AJ256" t="s">
        <v>235</v>
      </c>
      <c r="AK256" t="s">
        <v>235</v>
      </c>
      <c r="AL256">
        <v>1143</v>
      </c>
    </row>
    <row r="257" spans="1:38" x14ac:dyDescent="0.25">
      <c r="A257" t="str">
        <f t="shared" si="4"/>
        <v>EDS</v>
      </c>
      <c r="C257" t="str">
        <f t="shared" si="5"/>
        <v>001</v>
      </c>
      <c r="D257">
        <v>3</v>
      </c>
      <c r="I257">
        <f t="shared" si="6"/>
        <v>110011</v>
      </c>
      <c r="K257" s="18">
        <v>41120.629861111112</v>
      </c>
      <c r="L257" s="19">
        <f t="shared" si="7"/>
        <v>41120.463194444441</v>
      </c>
      <c r="M257" t="s">
        <v>161</v>
      </c>
      <c r="P257" t="s">
        <v>108</v>
      </c>
      <c r="Q257" t="s">
        <v>164</v>
      </c>
      <c r="R257" s="21" t="s">
        <v>108</v>
      </c>
      <c r="S257" s="32">
        <v>41120</v>
      </c>
      <c r="T257" t="s">
        <v>379</v>
      </c>
      <c r="U257" t="s">
        <v>387</v>
      </c>
      <c r="V257" t="s">
        <v>361</v>
      </c>
      <c r="W257" t="s">
        <v>243</v>
      </c>
      <c r="X257" t="s">
        <v>380</v>
      </c>
      <c r="Y257">
        <v>110011</v>
      </c>
      <c r="Z257" t="s">
        <v>235</v>
      </c>
      <c r="AA257" t="s">
        <v>381</v>
      </c>
      <c r="AB257" s="43">
        <v>0.46319444444444446</v>
      </c>
      <c r="AC257" s="45">
        <v>41120.463194444441</v>
      </c>
      <c r="AD257">
        <v>46.498559999999998</v>
      </c>
      <c r="AE257">
        <v>-84.333479999999994</v>
      </c>
      <c r="AF257" t="s">
        <v>235</v>
      </c>
      <c r="AG257" t="s">
        <v>235</v>
      </c>
      <c r="AH257" t="s">
        <v>235</v>
      </c>
      <c r="AI257" t="s">
        <v>235</v>
      </c>
      <c r="AJ257" t="s">
        <v>235</v>
      </c>
      <c r="AK257" t="s">
        <v>235</v>
      </c>
      <c r="AL257">
        <v>1143</v>
      </c>
    </row>
    <row r="258" spans="1:38" x14ac:dyDescent="0.25">
      <c r="A258" t="str">
        <f t="shared" si="4"/>
        <v>EDS</v>
      </c>
      <c r="C258" t="str">
        <f t="shared" si="5"/>
        <v>004</v>
      </c>
      <c r="D258">
        <v>3</v>
      </c>
      <c r="I258">
        <f t="shared" si="6"/>
        <v>109491</v>
      </c>
      <c r="K258" s="18">
        <v>41120.634027777778</v>
      </c>
      <c r="L258" s="19">
        <f t="shared" si="7"/>
        <v>41120.467361111114</v>
      </c>
      <c r="M258" t="s">
        <v>161</v>
      </c>
      <c r="P258" t="s">
        <v>108</v>
      </c>
      <c r="Q258" t="s">
        <v>164</v>
      </c>
      <c r="R258" s="21" t="s">
        <v>108</v>
      </c>
      <c r="S258" s="32">
        <v>41120</v>
      </c>
      <c r="T258" t="s">
        <v>379</v>
      </c>
      <c r="U258" t="s">
        <v>387</v>
      </c>
      <c r="V258" t="s">
        <v>361</v>
      </c>
      <c r="W258" t="s">
        <v>248</v>
      </c>
      <c r="X258" t="s">
        <v>380</v>
      </c>
      <c r="Y258">
        <v>109491</v>
      </c>
      <c r="Z258" t="s">
        <v>235</v>
      </c>
      <c r="AA258" t="s">
        <v>381</v>
      </c>
      <c r="AB258" s="43">
        <v>0.46736111111111112</v>
      </c>
      <c r="AC258" s="45">
        <v>41120.467361111114</v>
      </c>
      <c r="AD258">
        <v>46.498330000000003</v>
      </c>
      <c r="AE258">
        <v>-84.333569999999995</v>
      </c>
      <c r="AF258" t="s">
        <v>235</v>
      </c>
      <c r="AG258" t="s">
        <v>235</v>
      </c>
      <c r="AH258" t="s">
        <v>235</v>
      </c>
      <c r="AI258" t="s">
        <v>235</v>
      </c>
      <c r="AJ258" t="s">
        <v>235</v>
      </c>
      <c r="AK258" t="s">
        <v>235</v>
      </c>
      <c r="AL258">
        <v>1143</v>
      </c>
    </row>
    <row r="259" spans="1:38" x14ac:dyDescent="0.25">
      <c r="A259" t="str">
        <f t="shared" si="4"/>
        <v>EDS</v>
      </c>
      <c r="C259" t="str">
        <f t="shared" si="5"/>
        <v>005</v>
      </c>
      <c r="D259">
        <v>1</v>
      </c>
      <c r="I259">
        <f t="shared" si="6"/>
        <v>109430</v>
      </c>
      <c r="K259" s="18">
        <v>41120.642361111109</v>
      </c>
      <c r="L259" s="19">
        <f t="shared" si="7"/>
        <v>41120.475694444445</v>
      </c>
      <c r="M259" t="s">
        <v>161</v>
      </c>
      <c r="P259" t="s">
        <v>108</v>
      </c>
      <c r="Q259" t="s">
        <v>164</v>
      </c>
      <c r="R259" s="21" t="s">
        <v>108</v>
      </c>
      <c r="S259" s="32">
        <v>41120</v>
      </c>
      <c r="T259" t="s">
        <v>379</v>
      </c>
      <c r="U259" t="s">
        <v>387</v>
      </c>
      <c r="V259" t="s">
        <v>361</v>
      </c>
      <c r="W259" t="s">
        <v>249</v>
      </c>
      <c r="X259" t="s">
        <v>380</v>
      </c>
      <c r="Y259">
        <v>109430</v>
      </c>
      <c r="Z259" t="s">
        <v>235</v>
      </c>
      <c r="AA259" t="s">
        <v>381</v>
      </c>
      <c r="AB259" s="43">
        <v>0.47569444444444442</v>
      </c>
      <c r="AC259" s="45">
        <v>41120.475694444445</v>
      </c>
      <c r="AD259">
        <v>46.498609999999999</v>
      </c>
      <c r="AE259">
        <v>-84.333849999999998</v>
      </c>
      <c r="AF259" t="s">
        <v>235</v>
      </c>
      <c r="AG259" t="s">
        <v>235</v>
      </c>
      <c r="AH259" t="s">
        <v>235</v>
      </c>
      <c r="AI259" t="s">
        <v>235</v>
      </c>
      <c r="AJ259" t="s">
        <v>235</v>
      </c>
      <c r="AK259" t="s">
        <v>235</v>
      </c>
      <c r="AL259">
        <v>1143</v>
      </c>
    </row>
    <row r="260" spans="1:38" x14ac:dyDescent="0.25">
      <c r="A260" t="str">
        <f t="shared" si="4"/>
        <v>EDS</v>
      </c>
      <c r="C260" t="str">
        <f t="shared" si="5"/>
        <v>002</v>
      </c>
      <c r="D260">
        <v>4</v>
      </c>
      <c r="I260">
        <f t="shared" si="6"/>
        <v>109880</v>
      </c>
      <c r="K260" s="18">
        <v>41120.649305555555</v>
      </c>
      <c r="L260" s="19">
        <f t="shared" si="7"/>
        <v>41120.482638888891</v>
      </c>
      <c r="M260" t="s">
        <v>161</v>
      </c>
      <c r="P260" t="s">
        <v>108</v>
      </c>
      <c r="Q260" t="s">
        <v>164</v>
      </c>
      <c r="R260" s="21" t="s">
        <v>108</v>
      </c>
      <c r="S260" s="32">
        <v>41120</v>
      </c>
      <c r="T260" t="s">
        <v>379</v>
      </c>
      <c r="U260" t="s">
        <v>387</v>
      </c>
      <c r="V260" t="s">
        <v>361</v>
      </c>
      <c r="W260" t="s">
        <v>246</v>
      </c>
      <c r="X260" t="s">
        <v>380</v>
      </c>
      <c r="Y260">
        <v>109880</v>
      </c>
      <c r="Z260" t="s">
        <v>235</v>
      </c>
      <c r="AA260" t="s">
        <v>381</v>
      </c>
      <c r="AB260" s="43">
        <v>0.4826388888888889</v>
      </c>
      <c r="AC260" s="45">
        <v>41120.482638888891</v>
      </c>
      <c r="AD260">
        <v>46.49877</v>
      </c>
      <c r="AE260">
        <v>-84.333920000000006</v>
      </c>
      <c r="AF260" t="s">
        <v>235</v>
      </c>
      <c r="AG260" t="s">
        <v>235</v>
      </c>
      <c r="AH260" t="s">
        <v>235</v>
      </c>
      <c r="AI260" t="s">
        <v>235</v>
      </c>
      <c r="AJ260" t="s">
        <v>235</v>
      </c>
      <c r="AK260" t="s">
        <v>235</v>
      </c>
      <c r="AL260">
        <v>1143</v>
      </c>
    </row>
    <row r="261" spans="1:38" x14ac:dyDescent="0.25">
      <c r="A261" t="str">
        <f t="shared" si="4"/>
        <v>EDS</v>
      </c>
      <c r="C261" t="str">
        <f t="shared" si="5"/>
        <v>003</v>
      </c>
      <c r="D261">
        <v>3</v>
      </c>
      <c r="I261">
        <f t="shared" si="6"/>
        <v>109923</v>
      </c>
      <c r="K261" s="18">
        <v>41120.655555555553</v>
      </c>
      <c r="L261" s="19">
        <f t="shared" si="7"/>
        <v>41120.488888888889</v>
      </c>
      <c r="M261" t="s">
        <v>161</v>
      </c>
      <c r="P261" t="s">
        <v>108</v>
      </c>
      <c r="Q261" t="s">
        <v>164</v>
      </c>
      <c r="R261" s="21" t="s">
        <v>108</v>
      </c>
      <c r="S261" s="32">
        <v>41120</v>
      </c>
      <c r="T261" t="s">
        <v>379</v>
      </c>
      <c r="U261" t="s">
        <v>387</v>
      </c>
      <c r="V261" t="s">
        <v>361</v>
      </c>
      <c r="W261" t="s">
        <v>247</v>
      </c>
      <c r="X261" t="s">
        <v>380</v>
      </c>
      <c r="Y261">
        <v>109923</v>
      </c>
      <c r="Z261" t="s">
        <v>235</v>
      </c>
      <c r="AA261" t="s">
        <v>381</v>
      </c>
      <c r="AB261" s="43">
        <v>0.48888888888888887</v>
      </c>
      <c r="AC261" s="45">
        <v>41120.488888888889</v>
      </c>
      <c r="AD261">
        <v>46.498539999999998</v>
      </c>
      <c r="AE261">
        <v>-84.334190000000007</v>
      </c>
      <c r="AF261" t="s">
        <v>235</v>
      </c>
      <c r="AG261" t="s">
        <v>235</v>
      </c>
      <c r="AH261" t="s">
        <v>235</v>
      </c>
      <c r="AI261" t="s">
        <v>235</v>
      </c>
      <c r="AJ261" t="s">
        <v>235</v>
      </c>
      <c r="AK261" t="s">
        <v>235</v>
      </c>
      <c r="AL261">
        <v>1143</v>
      </c>
    </row>
    <row r="262" spans="1:38" x14ac:dyDescent="0.25">
      <c r="A262" t="str">
        <f t="shared" si="4"/>
        <v>SSM</v>
      </c>
      <c r="C262" t="str">
        <f t="shared" si="5"/>
        <v>004</v>
      </c>
      <c r="D262">
        <v>4</v>
      </c>
      <c r="I262">
        <f t="shared" si="6"/>
        <v>109986</v>
      </c>
      <c r="K262" s="18">
        <v>41120.659722222219</v>
      </c>
      <c r="L262" s="19">
        <f t="shared" si="7"/>
        <v>41120.493055555555</v>
      </c>
      <c r="M262" t="s">
        <v>161</v>
      </c>
      <c r="P262" t="s">
        <v>108</v>
      </c>
      <c r="Q262" t="s">
        <v>164</v>
      </c>
      <c r="R262" s="21" t="s">
        <v>108</v>
      </c>
      <c r="S262" s="32">
        <v>41120</v>
      </c>
      <c r="T262" t="s">
        <v>235</v>
      </c>
      <c r="U262" t="s">
        <v>235</v>
      </c>
      <c r="V262" t="s">
        <v>361</v>
      </c>
      <c r="W262" t="s">
        <v>236</v>
      </c>
      <c r="X262" t="s">
        <v>380</v>
      </c>
      <c r="Y262">
        <v>109986</v>
      </c>
      <c r="Z262" t="s">
        <v>235</v>
      </c>
      <c r="AA262" t="s">
        <v>381</v>
      </c>
      <c r="AB262" s="43">
        <v>0.49305555555555558</v>
      </c>
      <c r="AC262" s="45">
        <v>41120.493055555555</v>
      </c>
      <c r="AD262" t="s">
        <v>235</v>
      </c>
      <c r="AE262" t="s">
        <v>235</v>
      </c>
      <c r="AF262" t="s">
        <v>235</v>
      </c>
      <c r="AG262" t="s">
        <v>235</v>
      </c>
      <c r="AH262" t="s">
        <v>235</v>
      </c>
      <c r="AI262" t="s">
        <v>235</v>
      </c>
      <c r="AJ262" t="s">
        <v>235</v>
      </c>
      <c r="AK262" t="s">
        <v>235</v>
      </c>
      <c r="AL262">
        <v>1143</v>
      </c>
    </row>
    <row r="263" spans="1:38" x14ac:dyDescent="0.25">
      <c r="A263" t="str">
        <f t="shared" si="4"/>
        <v>SSM</v>
      </c>
      <c r="C263" t="str">
        <f t="shared" si="5"/>
        <v>005</v>
      </c>
      <c r="D263">
        <v>2</v>
      </c>
      <c r="I263">
        <f t="shared" si="6"/>
        <v>109420</v>
      </c>
      <c r="K263" s="18">
        <v>41120.668749999997</v>
      </c>
      <c r="L263" s="19">
        <f t="shared" si="7"/>
        <v>41120.502083333333</v>
      </c>
      <c r="M263" t="s">
        <v>161</v>
      </c>
      <c r="P263" t="s">
        <v>108</v>
      </c>
      <c r="Q263" t="s">
        <v>164</v>
      </c>
      <c r="R263" s="21" t="s">
        <v>108</v>
      </c>
      <c r="S263" s="32">
        <v>41120</v>
      </c>
      <c r="T263" t="s">
        <v>235</v>
      </c>
      <c r="U263" t="s">
        <v>235</v>
      </c>
      <c r="V263" t="s">
        <v>361</v>
      </c>
      <c r="W263" t="s">
        <v>239</v>
      </c>
      <c r="X263" t="s">
        <v>380</v>
      </c>
      <c r="Y263">
        <v>109420</v>
      </c>
      <c r="Z263" t="s">
        <v>235</v>
      </c>
      <c r="AA263" t="s">
        <v>381</v>
      </c>
      <c r="AB263" s="43">
        <v>0.50208333333333333</v>
      </c>
      <c r="AC263" s="45">
        <v>41120.502083333333</v>
      </c>
      <c r="AD263" t="s">
        <v>235</v>
      </c>
      <c r="AE263" t="s">
        <v>235</v>
      </c>
      <c r="AF263" t="s">
        <v>235</v>
      </c>
      <c r="AG263" t="s">
        <v>235</v>
      </c>
      <c r="AH263" t="s">
        <v>235</v>
      </c>
      <c r="AI263" t="s">
        <v>235</v>
      </c>
      <c r="AJ263" t="s">
        <v>235</v>
      </c>
      <c r="AK263" t="s">
        <v>235</v>
      </c>
      <c r="AL263">
        <v>1143</v>
      </c>
    </row>
    <row r="264" spans="1:38" x14ac:dyDescent="0.25">
      <c r="A264" t="str">
        <f t="shared" si="4"/>
        <v>SSM</v>
      </c>
      <c r="C264" t="str">
        <f t="shared" si="5"/>
        <v>023</v>
      </c>
      <c r="D264">
        <v>1</v>
      </c>
      <c r="I264">
        <f t="shared" si="6"/>
        <v>109438</v>
      </c>
      <c r="K264" s="18">
        <v>41120.700694444444</v>
      </c>
      <c r="L264" s="19">
        <f t="shared" si="7"/>
        <v>41120.53402777778</v>
      </c>
      <c r="M264" t="s">
        <v>161</v>
      </c>
      <c r="P264" t="s">
        <v>108</v>
      </c>
      <c r="Q264" t="s">
        <v>164</v>
      </c>
      <c r="R264" s="21" t="s">
        <v>108</v>
      </c>
      <c r="S264" s="32">
        <v>41120</v>
      </c>
      <c r="T264" t="s">
        <v>235</v>
      </c>
      <c r="U264" t="s">
        <v>235</v>
      </c>
      <c r="V264" t="s">
        <v>361</v>
      </c>
      <c r="W264" t="s">
        <v>258</v>
      </c>
      <c r="X264" t="s">
        <v>380</v>
      </c>
      <c r="Y264">
        <v>109438</v>
      </c>
      <c r="Z264" t="s">
        <v>235</v>
      </c>
      <c r="AA264" t="s">
        <v>381</v>
      </c>
      <c r="AB264" s="43">
        <v>0.53402777777777777</v>
      </c>
      <c r="AC264" s="45">
        <v>41120.53402777778</v>
      </c>
      <c r="AD264" t="s">
        <v>235</v>
      </c>
      <c r="AE264" t="s">
        <v>235</v>
      </c>
      <c r="AF264" t="s">
        <v>235</v>
      </c>
      <c r="AG264" t="s">
        <v>235</v>
      </c>
      <c r="AH264" t="s">
        <v>235</v>
      </c>
      <c r="AI264" t="s">
        <v>235</v>
      </c>
      <c r="AJ264" t="s">
        <v>235</v>
      </c>
      <c r="AK264" t="s">
        <v>235</v>
      </c>
      <c r="AL264">
        <v>1143</v>
      </c>
    </row>
    <row r="265" spans="1:38" x14ac:dyDescent="0.25">
      <c r="A265" t="str">
        <f t="shared" si="4"/>
        <v>RTR</v>
      </c>
      <c r="C265" t="str">
        <f t="shared" si="5"/>
        <v>001</v>
      </c>
      <c r="D265">
        <v>3</v>
      </c>
      <c r="I265">
        <f t="shared" si="6"/>
        <v>109984</v>
      </c>
      <c r="K265" s="18">
        <v>41120.705555555556</v>
      </c>
      <c r="L265" s="19">
        <f t="shared" si="7"/>
        <v>41120.538888888892</v>
      </c>
      <c r="M265" t="s">
        <v>161</v>
      </c>
      <c r="P265" t="s">
        <v>108</v>
      </c>
      <c r="Q265" t="s">
        <v>179</v>
      </c>
      <c r="R265" s="21" t="s">
        <v>108</v>
      </c>
      <c r="S265" s="32">
        <v>41120</v>
      </c>
      <c r="T265" t="s">
        <v>235</v>
      </c>
      <c r="U265" t="s">
        <v>235</v>
      </c>
      <c r="V265" t="s">
        <v>361</v>
      </c>
      <c r="W265" t="s">
        <v>274</v>
      </c>
      <c r="X265" t="s">
        <v>380</v>
      </c>
      <c r="Y265">
        <v>109984</v>
      </c>
      <c r="Z265" t="s">
        <v>235</v>
      </c>
      <c r="AA265" t="s">
        <v>381</v>
      </c>
      <c r="AB265" s="43">
        <v>0.53888888888888886</v>
      </c>
      <c r="AC265" s="45">
        <v>41120.538888888892</v>
      </c>
      <c r="AD265" t="s">
        <v>235</v>
      </c>
      <c r="AE265" t="s">
        <v>235</v>
      </c>
      <c r="AF265" t="s">
        <v>235</v>
      </c>
      <c r="AG265" t="s">
        <v>235</v>
      </c>
      <c r="AH265" t="s">
        <v>235</v>
      </c>
      <c r="AI265" t="s">
        <v>235</v>
      </c>
      <c r="AJ265" t="s">
        <v>235</v>
      </c>
      <c r="AK265" t="s">
        <v>235</v>
      </c>
      <c r="AL265">
        <v>63366</v>
      </c>
    </row>
    <row r="266" spans="1:38" x14ac:dyDescent="0.25">
      <c r="A266" t="str">
        <f t="shared" si="4"/>
        <v>SSM</v>
      </c>
      <c r="C266" t="str">
        <f t="shared" si="5"/>
        <v>014</v>
      </c>
      <c r="D266">
        <v>3</v>
      </c>
      <c r="I266">
        <f t="shared" si="6"/>
        <v>113217</v>
      </c>
      <c r="K266" s="18">
        <v>41120.706944444442</v>
      </c>
      <c r="L266" s="19">
        <f t="shared" si="7"/>
        <v>41120.540277777778</v>
      </c>
      <c r="M266" t="s">
        <v>161</v>
      </c>
      <c r="P266" t="s">
        <v>108</v>
      </c>
      <c r="Q266" t="s">
        <v>164</v>
      </c>
      <c r="R266" s="21" t="s">
        <v>108</v>
      </c>
      <c r="S266" s="32">
        <v>41120</v>
      </c>
      <c r="T266" t="s">
        <v>235</v>
      </c>
      <c r="U266" t="s">
        <v>235</v>
      </c>
      <c r="V266" t="s">
        <v>361</v>
      </c>
      <c r="W266" t="s">
        <v>254</v>
      </c>
      <c r="X266" t="s">
        <v>380</v>
      </c>
      <c r="Y266">
        <v>113217</v>
      </c>
      <c r="Z266" t="s">
        <v>235</v>
      </c>
      <c r="AA266" t="s">
        <v>381</v>
      </c>
      <c r="AB266" s="43">
        <v>0.54027777777777775</v>
      </c>
      <c r="AC266" s="45">
        <v>41120.540277777778</v>
      </c>
      <c r="AD266" t="s">
        <v>235</v>
      </c>
      <c r="AE266" t="s">
        <v>235</v>
      </c>
      <c r="AF266" t="s">
        <v>235</v>
      </c>
      <c r="AG266" t="s">
        <v>235</v>
      </c>
      <c r="AH266" t="s">
        <v>235</v>
      </c>
      <c r="AI266" t="s">
        <v>235</v>
      </c>
      <c r="AJ266" t="s">
        <v>235</v>
      </c>
      <c r="AK266" t="s">
        <v>235</v>
      </c>
      <c r="AL266">
        <v>1143</v>
      </c>
    </row>
    <row r="267" spans="1:38" x14ac:dyDescent="0.25">
      <c r="A267" t="str">
        <f t="shared" si="4"/>
        <v>SSM</v>
      </c>
      <c r="C267" t="str">
        <f t="shared" si="5"/>
        <v>016</v>
      </c>
      <c r="D267">
        <v>3</v>
      </c>
      <c r="I267">
        <f t="shared" si="6"/>
        <v>109476</v>
      </c>
      <c r="K267" s="18">
        <v>41120.712500000001</v>
      </c>
      <c r="L267" s="19">
        <f t="shared" si="7"/>
        <v>41120.54583333333</v>
      </c>
      <c r="M267" t="s">
        <v>161</v>
      </c>
      <c r="P267" t="s">
        <v>108</v>
      </c>
      <c r="Q267" t="s">
        <v>164</v>
      </c>
      <c r="R267" s="21" t="s">
        <v>108</v>
      </c>
      <c r="S267" s="32">
        <v>41120</v>
      </c>
      <c r="T267" t="s">
        <v>235</v>
      </c>
      <c r="U267" t="s">
        <v>235</v>
      </c>
      <c r="V267" t="s">
        <v>361</v>
      </c>
      <c r="W267" t="s">
        <v>252</v>
      </c>
      <c r="X267" t="s">
        <v>380</v>
      </c>
      <c r="Y267">
        <v>109476</v>
      </c>
      <c r="Z267" t="s">
        <v>235</v>
      </c>
      <c r="AA267" t="s">
        <v>381</v>
      </c>
      <c r="AB267" s="43">
        <v>0.54583333333333328</v>
      </c>
      <c r="AC267" s="45">
        <v>41120.54583333333</v>
      </c>
      <c r="AD267" t="s">
        <v>235</v>
      </c>
      <c r="AE267" t="s">
        <v>235</v>
      </c>
      <c r="AF267" t="s">
        <v>235</v>
      </c>
      <c r="AG267" t="s">
        <v>235</v>
      </c>
      <c r="AH267" t="s">
        <v>235</v>
      </c>
      <c r="AI267" t="s">
        <v>235</v>
      </c>
      <c r="AJ267" t="s">
        <v>235</v>
      </c>
      <c r="AK267" t="s">
        <v>235</v>
      </c>
      <c r="AL267">
        <v>1143</v>
      </c>
    </row>
    <row r="268" spans="1:38" x14ac:dyDescent="0.25">
      <c r="A268" t="str">
        <f t="shared" si="4"/>
        <v>SSM</v>
      </c>
      <c r="C268" t="str">
        <f t="shared" si="5"/>
        <v>019</v>
      </c>
      <c r="D268">
        <v>4</v>
      </c>
      <c r="I268">
        <f t="shared" si="6"/>
        <v>109459</v>
      </c>
      <c r="K268" s="18">
        <v>41120.717361111114</v>
      </c>
      <c r="L268" s="19">
        <f t="shared" si="7"/>
        <v>41120.550694444442</v>
      </c>
      <c r="M268" t="s">
        <v>161</v>
      </c>
      <c r="P268" t="s">
        <v>108</v>
      </c>
      <c r="Q268" t="s">
        <v>164</v>
      </c>
      <c r="R268" s="21" t="s">
        <v>108</v>
      </c>
      <c r="S268" s="32">
        <v>41120</v>
      </c>
      <c r="T268" t="s">
        <v>235</v>
      </c>
      <c r="U268" t="s">
        <v>235</v>
      </c>
      <c r="V268" t="s">
        <v>361</v>
      </c>
      <c r="W268" t="s">
        <v>251</v>
      </c>
      <c r="X268" t="s">
        <v>380</v>
      </c>
      <c r="Y268">
        <v>109459</v>
      </c>
      <c r="Z268" t="s">
        <v>235</v>
      </c>
      <c r="AA268" t="s">
        <v>381</v>
      </c>
      <c r="AB268" s="43">
        <v>0.55069444444444449</v>
      </c>
      <c r="AC268" s="45">
        <v>41120.550694444442</v>
      </c>
      <c r="AD268" t="s">
        <v>235</v>
      </c>
      <c r="AE268" t="s">
        <v>235</v>
      </c>
      <c r="AF268" t="s">
        <v>235</v>
      </c>
      <c r="AG268" t="s">
        <v>235</v>
      </c>
      <c r="AH268" t="s">
        <v>235</v>
      </c>
      <c r="AI268" t="s">
        <v>235</v>
      </c>
      <c r="AJ268" t="s">
        <v>235</v>
      </c>
      <c r="AK268" t="s">
        <v>235</v>
      </c>
      <c r="AL268">
        <v>1143</v>
      </c>
    </row>
    <row r="269" spans="1:38" x14ac:dyDescent="0.25">
      <c r="A269" t="str">
        <f t="shared" si="4"/>
        <v>SSM</v>
      </c>
      <c r="C269" t="str">
        <f t="shared" si="5"/>
        <v>018</v>
      </c>
      <c r="D269">
        <v>5</v>
      </c>
      <c r="I269">
        <f t="shared" si="6"/>
        <v>109447</v>
      </c>
      <c r="K269" s="18">
        <v>41120.730555555558</v>
      </c>
      <c r="L269" s="19">
        <f t="shared" si="7"/>
        <v>41120.563888888886</v>
      </c>
      <c r="M269" t="s">
        <v>161</v>
      </c>
      <c r="P269" t="s">
        <v>108</v>
      </c>
      <c r="Q269" t="s">
        <v>164</v>
      </c>
      <c r="R269" s="21" t="s">
        <v>108</v>
      </c>
      <c r="S269" s="32">
        <v>41120</v>
      </c>
      <c r="T269" t="s">
        <v>235</v>
      </c>
      <c r="U269" t="s">
        <v>235</v>
      </c>
      <c r="V269" t="s">
        <v>361</v>
      </c>
      <c r="W269" t="s">
        <v>242</v>
      </c>
      <c r="X269" t="s">
        <v>380</v>
      </c>
      <c r="Y269">
        <v>109447</v>
      </c>
      <c r="Z269" t="s">
        <v>235</v>
      </c>
      <c r="AA269" t="s">
        <v>381</v>
      </c>
      <c r="AB269" s="43">
        <v>0.56388888888888888</v>
      </c>
      <c r="AC269" s="45">
        <v>41120.563888888886</v>
      </c>
      <c r="AD269" t="s">
        <v>235</v>
      </c>
      <c r="AE269" t="s">
        <v>235</v>
      </c>
      <c r="AF269" t="s">
        <v>235</v>
      </c>
      <c r="AG269" t="s">
        <v>235</v>
      </c>
      <c r="AH269" t="s">
        <v>235</v>
      </c>
      <c r="AI269" t="s">
        <v>235</v>
      </c>
      <c r="AJ269" t="s">
        <v>235</v>
      </c>
      <c r="AK269" t="s">
        <v>235</v>
      </c>
      <c r="AL269">
        <v>1143</v>
      </c>
    </row>
    <row r="270" spans="1:38" x14ac:dyDescent="0.25">
      <c r="A270" t="str">
        <f t="shared" si="4"/>
        <v>SSM</v>
      </c>
      <c r="C270" t="str">
        <f t="shared" si="5"/>
        <v>015</v>
      </c>
      <c r="D270">
        <v>5</v>
      </c>
      <c r="I270">
        <f t="shared" si="6"/>
        <v>109907</v>
      </c>
      <c r="K270" s="18">
        <v>41120.73541666667</v>
      </c>
      <c r="L270" s="19">
        <f t="shared" si="7"/>
        <v>41120.568749999999</v>
      </c>
      <c r="M270" t="s">
        <v>161</v>
      </c>
      <c r="P270" t="s">
        <v>108</v>
      </c>
      <c r="Q270" t="s">
        <v>164</v>
      </c>
      <c r="R270" s="21" t="s">
        <v>108</v>
      </c>
      <c r="S270" s="32">
        <v>41120</v>
      </c>
      <c r="T270" t="s">
        <v>235</v>
      </c>
      <c r="U270" t="s">
        <v>235</v>
      </c>
      <c r="V270" t="s">
        <v>361</v>
      </c>
      <c r="W270" t="s">
        <v>241</v>
      </c>
      <c r="X270" t="s">
        <v>380</v>
      </c>
      <c r="Y270">
        <v>109907</v>
      </c>
      <c r="Z270" t="s">
        <v>235</v>
      </c>
      <c r="AA270" t="s">
        <v>381</v>
      </c>
      <c r="AB270" s="43">
        <v>0.56874999999999998</v>
      </c>
      <c r="AC270" s="45">
        <v>41120.568749999999</v>
      </c>
      <c r="AD270" t="s">
        <v>235</v>
      </c>
      <c r="AE270" t="s">
        <v>235</v>
      </c>
      <c r="AF270" t="s">
        <v>235</v>
      </c>
      <c r="AG270" t="s">
        <v>235</v>
      </c>
      <c r="AH270" t="s">
        <v>235</v>
      </c>
      <c r="AI270" t="s">
        <v>235</v>
      </c>
      <c r="AJ270" t="s">
        <v>235</v>
      </c>
      <c r="AK270" t="s">
        <v>235</v>
      </c>
      <c r="AL270">
        <v>1143</v>
      </c>
    </row>
    <row r="271" spans="1:38" x14ac:dyDescent="0.25">
      <c r="A271" t="str">
        <f t="shared" ref="A271:A302" si="8">LEFT(W271,3)</f>
        <v>RTR</v>
      </c>
      <c r="C271" t="str">
        <f t="shared" ref="C271:C302" si="9">RIGHT(W271,3)</f>
        <v>002</v>
      </c>
      <c r="D271">
        <v>3</v>
      </c>
      <c r="I271">
        <f t="shared" ref="I271:I302" si="10">Y271</f>
        <v>113227</v>
      </c>
      <c r="K271" s="18">
        <v>41120.738888888889</v>
      </c>
      <c r="L271" s="19">
        <f t="shared" ref="L271:L302" si="11">AC271</f>
        <v>41120.572222222225</v>
      </c>
      <c r="M271" t="s">
        <v>161</v>
      </c>
      <c r="P271" t="s">
        <v>108</v>
      </c>
      <c r="Q271" t="s">
        <v>179</v>
      </c>
      <c r="R271" s="21" t="s">
        <v>108</v>
      </c>
      <c r="S271" s="32">
        <v>41120</v>
      </c>
      <c r="T271" t="s">
        <v>235</v>
      </c>
      <c r="U271" t="s">
        <v>235</v>
      </c>
      <c r="V271" t="s">
        <v>361</v>
      </c>
      <c r="W271" t="s">
        <v>275</v>
      </c>
      <c r="X271" t="s">
        <v>380</v>
      </c>
      <c r="Y271">
        <v>113227</v>
      </c>
      <c r="Z271" t="s">
        <v>235</v>
      </c>
      <c r="AA271" t="s">
        <v>381</v>
      </c>
      <c r="AB271" s="43">
        <v>0.57222222222222219</v>
      </c>
      <c r="AC271" s="45">
        <v>41120.572222222225</v>
      </c>
      <c r="AD271" t="s">
        <v>235</v>
      </c>
      <c r="AE271" t="s">
        <v>235</v>
      </c>
      <c r="AF271" t="s">
        <v>235</v>
      </c>
      <c r="AG271" t="s">
        <v>235</v>
      </c>
      <c r="AH271" t="s">
        <v>235</v>
      </c>
      <c r="AI271" t="s">
        <v>235</v>
      </c>
      <c r="AJ271" t="s">
        <v>235</v>
      </c>
      <c r="AK271" t="s">
        <v>235</v>
      </c>
      <c r="AL271">
        <v>63366</v>
      </c>
    </row>
    <row r="272" spans="1:38" x14ac:dyDescent="0.25">
      <c r="A272" t="str">
        <f t="shared" si="8"/>
        <v>SSM</v>
      </c>
      <c r="C272" t="str">
        <f t="shared" si="9"/>
        <v>001</v>
      </c>
      <c r="D272">
        <v>3</v>
      </c>
      <c r="I272">
        <f t="shared" si="10"/>
        <v>109951</v>
      </c>
      <c r="K272" s="18">
        <v>41120.746527777781</v>
      </c>
      <c r="L272" s="19">
        <f t="shared" si="11"/>
        <v>41120.579861111109</v>
      </c>
      <c r="M272" t="s">
        <v>161</v>
      </c>
      <c r="P272" t="s">
        <v>108</v>
      </c>
      <c r="Q272" t="s">
        <v>164</v>
      </c>
      <c r="R272" s="21" t="s">
        <v>108</v>
      </c>
      <c r="S272" s="32">
        <v>41120</v>
      </c>
      <c r="T272" t="s">
        <v>235</v>
      </c>
      <c r="U272" t="s">
        <v>235</v>
      </c>
      <c r="V272" t="s">
        <v>361</v>
      </c>
      <c r="W272" t="s">
        <v>253</v>
      </c>
      <c r="X272" t="s">
        <v>380</v>
      </c>
      <c r="Y272">
        <v>109951</v>
      </c>
      <c r="Z272" t="s">
        <v>235</v>
      </c>
      <c r="AA272" t="s">
        <v>381</v>
      </c>
      <c r="AB272" s="43">
        <v>0.57986111111111105</v>
      </c>
      <c r="AC272" s="45">
        <v>41120.579861111109</v>
      </c>
      <c r="AD272" t="s">
        <v>235</v>
      </c>
      <c r="AE272" t="s">
        <v>235</v>
      </c>
      <c r="AF272" t="s">
        <v>235</v>
      </c>
      <c r="AG272" t="s">
        <v>235</v>
      </c>
      <c r="AH272" t="s">
        <v>235</v>
      </c>
      <c r="AI272" t="s">
        <v>235</v>
      </c>
      <c r="AJ272" t="s">
        <v>235</v>
      </c>
      <c r="AK272" t="s">
        <v>235</v>
      </c>
      <c r="AL272">
        <v>1143</v>
      </c>
    </row>
    <row r="273" spans="1:38" x14ac:dyDescent="0.25">
      <c r="A273" t="str">
        <f t="shared" si="8"/>
        <v>GRD</v>
      </c>
      <c r="C273" t="str">
        <f t="shared" si="9"/>
        <v>010</v>
      </c>
      <c r="D273">
        <v>2</v>
      </c>
      <c r="I273">
        <f t="shared" si="10"/>
        <v>109930</v>
      </c>
      <c r="K273" s="18">
        <v>41120.767361111109</v>
      </c>
      <c r="L273" s="19">
        <f t="shared" si="11"/>
        <v>41120.600694444445</v>
      </c>
      <c r="M273" t="s">
        <v>161</v>
      </c>
      <c r="P273" t="s">
        <v>108</v>
      </c>
      <c r="Q273" t="s">
        <v>179</v>
      </c>
      <c r="R273" s="21" t="s">
        <v>108</v>
      </c>
      <c r="S273" s="32">
        <v>41120</v>
      </c>
      <c r="T273" t="s">
        <v>235</v>
      </c>
      <c r="U273" t="s">
        <v>235</v>
      </c>
      <c r="V273" t="s">
        <v>361</v>
      </c>
      <c r="W273" t="s">
        <v>271</v>
      </c>
      <c r="X273" t="s">
        <v>380</v>
      </c>
      <c r="Y273">
        <v>109930</v>
      </c>
      <c r="Z273" t="s">
        <v>235</v>
      </c>
      <c r="AA273" t="s">
        <v>381</v>
      </c>
      <c r="AB273" s="43">
        <v>0.60069444444444442</v>
      </c>
      <c r="AC273" s="45">
        <v>41120.600694444445</v>
      </c>
      <c r="AD273" t="s">
        <v>235</v>
      </c>
      <c r="AE273" t="s">
        <v>235</v>
      </c>
      <c r="AF273" t="s">
        <v>235</v>
      </c>
      <c r="AG273" t="s">
        <v>235</v>
      </c>
      <c r="AH273" t="s">
        <v>235</v>
      </c>
      <c r="AI273" t="s">
        <v>235</v>
      </c>
      <c r="AJ273" t="s">
        <v>235</v>
      </c>
      <c r="AK273" t="s">
        <v>235</v>
      </c>
      <c r="AL273">
        <v>63366</v>
      </c>
    </row>
    <row r="274" spans="1:38" x14ac:dyDescent="0.25">
      <c r="A274" t="str">
        <f t="shared" si="8"/>
        <v>SSM</v>
      </c>
      <c r="C274" t="str">
        <f t="shared" si="9"/>
        <v>020</v>
      </c>
      <c r="D274">
        <v>4</v>
      </c>
      <c r="I274">
        <f t="shared" si="10"/>
        <v>110004</v>
      </c>
      <c r="K274" s="18">
        <v>41120.768055555556</v>
      </c>
      <c r="L274" s="19">
        <f t="shared" si="11"/>
        <v>41120.601388888892</v>
      </c>
      <c r="M274" t="s">
        <v>161</v>
      </c>
      <c r="P274" t="s">
        <v>108</v>
      </c>
      <c r="Q274" t="s">
        <v>164</v>
      </c>
      <c r="R274" s="21" t="s">
        <v>108</v>
      </c>
      <c r="S274" s="32">
        <v>41120</v>
      </c>
      <c r="T274" t="s">
        <v>235</v>
      </c>
      <c r="U274" t="s">
        <v>235</v>
      </c>
      <c r="V274" t="s">
        <v>361</v>
      </c>
      <c r="W274" t="s">
        <v>256</v>
      </c>
      <c r="X274" t="s">
        <v>380</v>
      </c>
      <c r="Y274">
        <v>110004</v>
      </c>
      <c r="Z274" t="s">
        <v>235</v>
      </c>
      <c r="AA274" t="s">
        <v>381</v>
      </c>
      <c r="AB274" s="43">
        <v>0.60138888888888886</v>
      </c>
      <c r="AC274" s="45">
        <v>41120.601388888892</v>
      </c>
      <c r="AD274" t="s">
        <v>235</v>
      </c>
      <c r="AE274" t="s">
        <v>235</v>
      </c>
      <c r="AF274" t="s">
        <v>235</v>
      </c>
      <c r="AG274" t="s">
        <v>235</v>
      </c>
      <c r="AH274" t="s">
        <v>235</v>
      </c>
      <c r="AI274" t="s">
        <v>235</v>
      </c>
      <c r="AJ274" t="s">
        <v>235</v>
      </c>
      <c r="AK274" t="s">
        <v>235</v>
      </c>
      <c r="AL274">
        <v>1143</v>
      </c>
    </row>
    <row r="275" spans="1:38" x14ac:dyDescent="0.25">
      <c r="A275" t="str">
        <f t="shared" si="8"/>
        <v>GRD</v>
      </c>
      <c r="C275" t="str">
        <f t="shared" si="9"/>
        <v>011</v>
      </c>
      <c r="D275">
        <v>2</v>
      </c>
      <c r="I275">
        <f t="shared" si="10"/>
        <v>109927</v>
      </c>
      <c r="K275" s="18">
        <v>41120.77847222222</v>
      </c>
      <c r="L275" s="19">
        <f t="shared" si="11"/>
        <v>41120.611805555556</v>
      </c>
      <c r="M275" t="s">
        <v>161</v>
      </c>
      <c r="P275" t="s">
        <v>108</v>
      </c>
      <c r="Q275" t="s">
        <v>179</v>
      </c>
      <c r="R275" s="21" t="s">
        <v>108</v>
      </c>
      <c r="S275" s="32">
        <v>41120</v>
      </c>
      <c r="T275" t="s">
        <v>235</v>
      </c>
      <c r="U275" t="s">
        <v>235</v>
      </c>
      <c r="V275" t="s">
        <v>361</v>
      </c>
      <c r="W275" t="s">
        <v>273</v>
      </c>
      <c r="X275" t="s">
        <v>380</v>
      </c>
      <c r="Y275">
        <v>109927</v>
      </c>
      <c r="Z275" t="s">
        <v>235</v>
      </c>
      <c r="AA275" t="s">
        <v>381</v>
      </c>
      <c r="AB275" s="43">
        <v>0.6118055555555556</v>
      </c>
      <c r="AC275" s="45">
        <v>41120.611805555556</v>
      </c>
      <c r="AD275" t="s">
        <v>235</v>
      </c>
      <c r="AE275" t="s">
        <v>235</v>
      </c>
      <c r="AF275" t="s">
        <v>235</v>
      </c>
      <c r="AG275" t="s">
        <v>235</v>
      </c>
      <c r="AH275" t="s">
        <v>235</v>
      </c>
      <c r="AI275" t="s">
        <v>235</v>
      </c>
      <c r="AJ275" t="s">
        <v>235</v>
      </c>
      <c r="AK275" t="s">
        <v>235</v>
      </c>
      <c r="AL275">
        <v>63366</v>
      </c>
    </row>
    <row r="276" spans="1:38" x14ac:dyDescent="0.25">
      <c r="A276" t="str">
        <f t="shared" si="8"/>
        <v>SSM</v>
      </c>
      <c r="C276" t="str">
        <f t="shared" si="9"/>
        <v>012</v>
      </c>
      <c r="D276">
        <v>3</v>
      </c>
      <c r="I276">
        <f t="shared" si="10"/>
        <v>109888</v>
      </c>
      <c r="K276" s="18">
        <v>41120.779166666667</v>
      </c>
      <c r="L276" s="19">
        <f t="shared" si="11"/>
        <v>41120.612500000003</v>
      </c>
      <c r="M276" t="s">
        <v>161</v>
      </c>
      <c r="P276" t="s">
        <v>108</v>
      </c>
      <c r="Q276" t="s">
        <v>164</v>
      </c>
      <c r="R276" s="21" t="s">
        <v>108</v>
      </c>
      <c r="S276" s="32">
        <v>41120</v>
      </c>
      <c r="T276" t="s">
        <v>235</v>
      </c>
      <c r="U276" t="s">
        <v>235</v>
      </c>
      <c r="V276" t="s">
        <v>361</v>
      </c>
      <c r="W276" t="s">
        <v>259</v>
      </c>
      <c r="X276" t="s">
        <v>380</v>
      </c>
      <c r="Y276">
        <v>109888</v>
      </c>
      <c r="Z276" t="s">
        <v>235</v>
      </c>
      <c r="AA276" t="s">
        <v>381</v>
      </c>
      <c r="AB276" s="43">
        <v>0.61249999999999993</v>
      </c>
      <c r="AC276" s="45">
        <v>41120.612500000003</v>
      </c>
      <c r="AD276" t="s">
        <v>235</v>
      </c>
      <c r="AE276" t="s">
        <v>235</v>
      </c>
      <c r="AF276" t="s">
        <v>235</v>
      </c>
      <c r="AG276" t="s">
        <v>235</v>
      </c>
      <c r="AH276" t="s">
        <v>235</v>
      </c>
      <c r="AI276" t="s">
        <v>235</v>
      </c>
      <c r="AJ276" t="s">
        <v>235</v>
      </c>
      <c r="AK276" t="s">
        <v>235</v>
      </c>
      <c r="AL276">
        <v>1143</v>
      </c>
    </row>
    <row r="277" spans="1:38" x14ac:dyDescent="0.25">
      <c r="A277" t="str">
        <f t="shared" si="8"/>
        <v>SSM</v>
      </c>
      <c r="C277" t="str">
        <f t="shared" si="9"/>
        <v>011</v>
      </c>
      <c r="D277">
        <v>3</v>
      </c>
      <c r="I277">
        <f t="shared" si="10"/>
        <v>110014</v>
      </c>
      <c r="K277" s="18">
        <v>41120.784722222219</v>
      </c>
      <c r="L277" s="19">
        <f t="shared" si="11"/>
        <v>41120.618055555555</v>
      </c>
      <c r="M277" t="s">
        <v>161</v>
      </c>
      <c r="P277" t="s">
        <v>108</v>
      </c>
      <c r="Q277" t="s">
        <v>164</v>
      </c>
      <c r="R277" s="21" t="s">
        <v>108</v>
      </c>
      <c r="S277" s="32">
        <v>41120</v>
      </c>
      <c r="T277" t="s">
        <v>235</v>
      </c>
      <c r="U277" t="s">
        <v>235</v>
      </c>
      <c r="V277" t="s">
        <v>361</v>
      </c>
      <c r="W277" t="s">
        <v>260</v>
      </c>
      <c r="X277" t="s">
        <v>380</v>
      </c>
      <c r="Y277">
        <v>110014</v>
      </c>
      <c r="Z277" t="s">
        <v>235</v>
      </c>
      <c r="AA277" t="s">
        <v>381</v>
      </c>
      <c r="AB277" s="43">
        <v>0.61805555555555558</v>
      </c>
      <c r="AC277" s="45">
        <v>41120.618055555555</v>
      </c>
      <c r="AD277" t="s">
        <v>235</v>
      </c>
      <c r="AE277" t="s">
        <v>235</v>
      </c>
      <c r="AF277" t="s">
        <v>235</v>
      </c>
      <c r="AG277" t="s">
        <v>235</v>
      </c>
      <c r="AH277" t="s">
        <v>235</v>
      </c>
      <c r="AI277" t="s">
        <v>235</v>
      </c>
      <c r="AJ277" t="s">
        <v>235</v>
      </c>
      <c r="AK277" t="s">
        <v>235</v>
      </c>
      <c r="AL277">
        <v>1143</v>
      </c>
    </row>
    <row r="278" spans="1:38" x14ac:dyDescent="0.25">
      <c r="A278" t="str">
        <f t="shared" si="8"/>
        <v>SSM</v>
      </c>
      <c r="C278" t="str">
        <f t="shared" si="9"/>
        <v>010</v>
      </c>
      <c r="D278">
        <v>4</v>
      </c>
      <c r="I278">
        <f t="shared" si="10"/>
        <v>109443</v>
      </c>
      <c r="K278" s="18">
        <v>41120.788888888892</v>
      </c>
      <c r="L278" s="19">
        <f t="shared" si="11"/>
        <v>41120.62222222222</v>
      </c>
      <c r="M278" t="s">
        <v>161</v>
      </c>
      <c r="P278" t="s">
        <v>108</v>
      </c>
      <c r="Q278" t="s">
        <v>164</v>
      </c>
      <c r="R278" s="21" t="s">
        <v>108</v>
      </c>
      <c r="S278" s="32">
        <v>41120</v>
      </c>
      <c r="T278" t="s">
        <v>235</v>
      </c>
      <c r="U278" t="s">
        <v>235</v>
      </c>
      <c r="V278" t="s">
        <v>361</v>
      </c>
      <c r="W278" t="s">
        <v>264</v>
      </c>
      <c r="X278" t="s">
        <v>380</v>
      </c>
      <c r="Y278">
        <v>109443</v>
      </c>
      <c r="Z278" t="s">
        <v>235</v>
      </c>
      <c r="AA278" t="s">
        <v>381</v>
      </c>
      <c r="AB278" s="43">
        <v>0.62222222222222223</v>
      </c>
      <c r="AC278" s="45">
        <v>41120.62222222222</v>
      </c>
      <c r="AD278" t="s">
        <v>235</v>
      </c>
      <c r="AE278" t="s">
        <v>235</v>
      </c>
      <c r="AF278" t="s">
        <v>235</v>
      </c>
      <c r="AG278" t="s">
        <v>235</v>
      </c>
      <c r="AH278" t="s">
        <v>235</v>
      </c>
      <c r="AI278" t="s">
        <v>235</v>
      </c>
      <c r="AJ278" t="s">
        <v>235</v>
      </c>
      <c r="AK278" t="s">
        <v>235</v>
      </c>
      <c r="AL278">
        <v>1143</v>
      </c>
    </row>
    <row r="279" spans="1:38" x14ac:dyDescent="0.25">
      <c r="A279" t="str">
        <f t="shared" si="8"/>
        <v>SSM</v>
      </c>
      <c r="C279" t="str">
        <f t="shared" si="9"/>
        <v>003</v>
      </c>
      <c r="D279">
        <v>3</v>
      </c>
      <c r="I279">
        <f t="shared" si="10"/>
        <v>109442</v>
      </c>
      <c r="K279" s="18">
        <v>41120.794444444444</v>
      </c>
      <c r="L279" s="19">
        <f t="shared" si="11"/>
        <v>41120.62777777778</v>
      </c>
      <c r="M279" t="s">
        <v>161</v>
      </c>
      <c r="P279" t="s">
        <v>108</v>
      </c>
      <c r="Q279" t="s">
        <v>164</v>
      </c>
      <c r="R279" s="21" t="s">
        <v>108</v>
      </c>
      <c r="S279" s="32">
        <v>41120</v>
      </c>
      <c r="T279" t="s">
        <v>235</v>
      </c>
      <c r="U279" t="s">
        <v>235</v>
      </c>
      <c r="V279" t="s">
        <v>361</v>
      </c>
      <c r="W279" t="s">
        <v>265</v>
      </c>
      <c r="X279" t="s">
        <v>380</v>
      </c>
      <c r="Y279">
        <v>109442</v>
      </c>
      <c r="Z279" t="s">
        <v>235</v>
      </c>
      <c r="AA279" t="s">
        <v>381</v>
      </c>
      <c r="AB279" s="43">
        <v>0.62777777777777777</v>
      </c>
      <c r="AC279" s="45">
        <v>41120.62777777778</v>
      </c>
      <c r="AD279" t="s">
        <v>235</v>
      </c>
      <c r="AE279" t="s">
        <v>235</v>
      </c>
      <c r="AF279" t="s">
        <v>235</v>
      </c>
      <c r="AG279" t="s">
        <v>235</v>
      </c>
      <c r="AH279" t="s">
        <v>235</v>
      </c>
      <c r="AI279" t="s">
        <v>235</v>
      </c>
      <c r="AJ279" t="s">
        <v>235</v>
      </c>
      <c r="AK279" t="s">
        <v>235</v>
      </c>
      <c r="AL279">
        <v>1143</v>
      </c>
    </row>
    <row r="280" spans="1:38" x14ac:dyDescent="0.25">
      <c r="A280" t="str">
        <f t="shared" si="8"/>
        <v>SSM</v>
      </c>
      <c r="C280" t="str">
        <f t="shared" si="9"/>
        <v>021</v>
      </c>
      <c r="D280">
        <v>2</v>
      </c>
      <c r="I280">
        <f t="shared" si="10"/>
        <v>109978</v>
      </c>
      <c r="K280" s="18">
        <v>41120.802083333336</v>
      </c>
      <c r="L280" s="19">
        <f t="shared" si="11"/>
        <v>41120.635416666664</v>
      </c>
      <c r="M280" t="s">
        <v>161</v>
      </c>
      <c r="P280" t="s">
        <v>108</v>
      </c>
      <c r="Q280" t="s">
        <v>164</v>
      </c>
      <c r="R280" s="21" t="s">
        <v>108</v>
      </c>
      <c r="S280" s="32">
        <v>41120</v>
      </c>
      <c r="T280" t="s">
        <v>235</v>
      </c>
      <c r="U280" t="s">
        <v>235</v>
      </c>
      <c r="V280" t="s">
        <v>361</v>
      </c>
      <c r="W280" t="s">
        <v>266</v>
      </c>
      <c r="X280" t="s">
        <v>380</v>
      </c>
      <c r="Y280">
        <v>109978</v>
      </c>
      <c r="Z280" t="s">
        <v>235</v>
      </c>
      <c r="AA280" t="s">
        <v>381</v>
      </c>
      <c r="AB280" s="43">
        <v>0.63541666666666663</v>
      </c>
      <c r="AC280" s="45">
        <v>41120.635416666664</v>
      </c>
      <c r="AD280" t="s">
        <v>235</v>
      </c>
      <c r="AE280" t="s">
        <v>235</v>
      </c>
      <c r="AF280" t="s">
        <v>235</v>
      </c>
      <c r="AG280" t="s">
        <v>235</v>
      </c>
      <c r="AH280" t="s">
        <v>235</v>
      </c>
      <c r="AI280" t="s">
        <v>235</v>
      </c>
      <c r="AJ280" t="s">
        <v>235</v>
      </c>
      <c r="AK280" t="s">
        <v>235</v>
      </c>
      <c r="AL280">
        <v>1143</v>
      </c>
    </row>
    <row r="281" spans="1:38" x14ac:dyDescent="0.25">
      <c r="A281" t="str">
        <f t="shared" si="8"/>
        <v>OVP</v>
      </c>
      <c r="C281" t="str">
        <f t="shared" si="9"/>
        <v>001</v>
      </c>
      <c r="D281">
        <v>3</v>
      </c>
      <c r="I281">
        <f t="shared" si="10"/>
        <v>109414</v>
      </c>
      <c r="K281" s="18">
        <v>41121.497916666667</v>
      </c>
      <c r="L281" s="19">
        <f t="shared" si="11"/>
        <v>41121.331250000003</v>
      </c>
      <c r="M281" t="s">
        <v>161</v>
      </c>
      <c r="P281" t="s">
        <v>108</v>
      </c>
      <c r="Q281" t="s">
        <v>179</v>
      </c>
      <c r="R281" s="21" t="s">
        <v>108</v>
      </c>
      <c r="S281" s="32">
        <v>41121</v>
      </c>
      <c r="T281" t="s">
        <v>235</v>
      </c>
      <c r="U281" t="s">
        <v>235</v>
      </c>
      <c r="V281" t="s">
        <v>361</v>
      </c>
      <c r="W281" t="s">
        <v>298</v>
      </c>
      <c r="X281" t="s">
        <v>380</v>
      </c>
      <c r="Y281">
        <v>109414</v>
      </c>
      <c r="Z281" t="s">
        <v>235</v>
      </c>
      <c r="AA281" t="s">
        <v>381</v>
      </c>
      <c r="AB281" s="43">
        <v>0.33124999999999999</v>
      </c>
      <c r="AC281" s="45">
        <v>41121.331250000003</v>
      </c>
      <c r="AD281" t="s">
        <v>235</v>
      </c>
      <c r="AE281" t="s">
        <v>235</v>
      </c>
      <c r="AF281" t="s">
        <v>235</v>
      </c>
      <c r="AG281" t="s">
        <v>235</v>
      </c>
      <c r="AH281" t="s">
        <v>235</v>
      </c>
      <c r="AI281" t="s">
        <v>235</v>
      </c>
      <c r="AJ281" t="s">
        <v>235</v>
      </c>
      <c r="AK281" t="s">
        <v>235</v>
      </c>
      <c r="AL281">
        <v>63366</v>
      </c>
    </row>
    <row r="282" spans="1:38" x14ac:dyDescent="0.25">
      <c r="A282" t="str">
        <f t="shared" si="8"/>
        <v>OVP</v>
      </c>
      <c r="C282" t="str">
        <f t="shared" si="9"/>
        <v>002</v>
      </c>
      <c r="D282">
        <v>4</v>
      </c>
      <c r="I282">
        <f t="shared" si="10"/>
        <v>110012</v>
      </c>
      <c r="K282" s="18">
        <v>41121.504861111112</v>
      </c>
      <c r="L282" s="19">
        <f t="shared" si="11"/>
        <v>41121.338194444441</v>
      </c>
      <c r="M282" t="s">
        <v>161</v>
      </c>
      <c r="P282" t="s">
        <v>108</v>
      </c>
      <c r="Q282" t="s">
        <v>179</v>
      </c>
      <c r="R282" s="21" t="s">
        <v>108</v>
      </c>
      <c r="S282" s="32">
        <v>41121</v>
      </c>
      <c r="T282" t="s">
        <v>235</v>
      </c>
      <c r="U282" t="s">
        <v>235</v>
      </c>
      <c r="V282" t="s">
        <v>361</v>
      </c>
      <c r="W282" t="s">
        <v>296</v>
      </c>
      <c r="X282" t="s">
        <v>380</v>
      </c>
      <c r="Y282">
        <v>110012</v>
      </c>
      <c r="Z282" t="s">
        <v>235</v>
      </c>
      <c r="AA282" t="s">
        <v>381</v>
      </c>
      <c r="AB282" s="43">
        <v>0.33819444444444446</v>
      </c>
      <c r="AC282" s="45">
        <v>41121.338194444441</v>
      </c>
      <c r="AD282" t="s">
        <v>235</v>
      </c>
      <c r="AE282" t="s">
        <v>235</v>
      </c>
      <c r="AF282" t="s">
        <v>235</v>
      </c>
      <c r="AG282" t="s">
        <v>235</v>
      </c>
      <c r="AH282" t="s">
        <v>235</v>
      </c>
      <c r="AI282" t="s">
        <v>235</v>
      </c>
      <c r="AJ282" t="s">
        <v>235</v>
      </c>
      <c r="AK282" t="s">
        <v>235</v>
      </c>
      <c r="AL282">
        <v>63366</v>
      </c>
    </row>
    <row r="283" spans="1:38" x14ac:dyDescent="0.25">
      <c r="A283" t="str">
        <f t="shared" si="8"/>
        <v>OVP</v>
      </c>
      <c r="C283" t="str">
        <f t="shared" si="9"/>
        <v>003</v>
      </c>
      <c r="D283">
        <v>3</v>
      </c>
      <c r="I283">
        <f t="shared" si="10"/>
        <v>109883</v>
      </c>
      <c r="K283" s="18">
        <v>41121.518055555556</v>
      </c>
      <c r="L283" s="19">
        <f t="shared" si="11"/>
        <v>41121.351388888892</v>
      </c>
      <c r="M283" t="s">
        <v>161</v>
      </c>
      <c r="P283" t="s">
        <v>108</v>
      </c>
      <c r="Q283" t="s">
        <v>179</v>
      </c>
      <c r="R283" s="21" t="s">
        <v>108</v>
      </c>
      <c r="S283" s="32">
        <v>41121</v>
      </c>
      <c r="T283" t="s">
        <v>235</v>
      </c>
      <c r="U283" t="s">
        <v>235</v>
      </c>
      <c r="V283" t="s">
        <v>361</v>
      </c>
      <c r="W283" t="s">
        <v>297</v>
      </c>
      <c r="X283" t="s">
        <v>380</v>
      </c>
      <c r="Y283">
        <v>109883</v>
      </c>
      <c r="Z283" t="s">
        <v>235</v>
      </c>
      <c r="AA283" t="s">
        <v>381</v>
      </c>
      <c r="AB283" s="43">
        <v>0.35138888888888892</v>
      </c>
      <c r="AC283" s="45">
        <v>41121.351388888892</v>
      </c>
      <c r="AD283" t="s">
        <v>235</v>
      </c>
      <c r="AE283" t="s">
        <v>235</v>
      </c>
      <c r="AF283" t="s">
        <v>235</v>
      </c>
      <c r="AG283" t="s">
        <v>235</v>
      </c>
      <c r="AH283" t="s">
        <v>235</v>
      </c>
      <c r="AI283" t="s">
        <v>235</v>
      </c>
      <c r="AJ283" t="s">
        <v>235</v>
      </c>
      <c r="AK283" t="s">
        <v>235</v>
      </c>
      <c r="AL283">
        <v>63366</v>
      </c>
    </row>
    <row r="284" spans="1:38" x14ac:dyDescent="0.25">
      <c r="A284" t="str">
        <f t="shared" si="8"/>
        <v>BRS</v>
      </c>
      <c r="C284" t="str">
        <f t="shared" si="9"/>
        <v>001</v>
      </c>
      <c r="D284">
        <v>3</v>
      </c>
      <c r="I284">
        <f t="shared" si="10"/>
        <v>110007</v>
      </c>
      <c r="K284" s="18">
        <v>41121.534722222219</v>
      </c>
      <c r="L284" s="19">
        <f t="shared" si="11"/>
        <v>41121.368055555555</v>
      </c>
      <c r="M284" t="s">
        <v>161</v>
      </c>
      <c r="P284" t="s">
        <v>108</v>
      </c>
      <c r="Q284" t="s">
        <v>179</v>
      </c>
      <c r="R284" s="21" t="s">
        <v>108</v>
      </c>
      <c r="S284" s="32">
        <v>41121</v>
      </c>
      <c r="T284" t="s">
        <v>235</v>
      </c>
      <c r="U284" t="s">
        <v>235</v>
      </c>
      <c r="V284" t="s">
        <v>361</v>
      </c>
      <c r="W284" t="s">
        <v>299</v>
      </c>
      <c r="X284" t="s">
        <v>380</v>
      </c>
      <c r="Y284">
        <v>110007</v>
      </c>
      <c r="Z284" t="s">
        <v>235</v>
      </c>
      <c r="AA284" t="s">
        <v>381</v>
      </c>
      <c r="AB284" s="43">
        <v>0.36805555555555558</v>
      </c>
      <c r="AC284" s="45">
        <v>41121.368055555555</v>
      </c>
      <c r="AD284" t="s">
        <v>235</v>
      </c>
      <c r="AE284" t="s">
        <v>235</v>
      </c>
      <c r="AF284" t="s">
        <v>235</v>
      </c>
      <c r="AG284" t="s">
        <v>235</v>
      </c>
      <c r="AH284" t="s">
        <v>235</v>
      </c>
      <c r="AI284" t="s">
        <v>235</v>
      </c>
      <c r="AJ284" t="s">
        <v>235</v>
      </c>
      <c r="AK284" t="s">
        <v>235</v>
      </c>
      <c r="AL284">
        <v>63366</v>
      </c>
    </row>
    <row r="285" spans="1:38" x14ac:dyDescent="0.25">
      <c r="A285" t="str">
        <f t="shared" si="8"/>
        <v>BRS</v>
      </c>
      <c r="C285" t="str">
        <f t="shared" si="9"/>
        <v>002</v>
      </c>
      <c r="D285">
        <v>3</v>
      </c>
      <c r="I285">
        <f t="shared" si="10"/>
        <v>109513</v>
      </c>
      <c r="K285" s="18">
        <v>41121.542361111111</v>
      </c>
      <c r="L285" s="19">
        <f t="shared" si="11"/>
        <v>41121.375694444447</v>
      </c>
      <c r="M285" t="s">
        <v>161</v>
      </c>
      <c r="P285" t="s">
        <v>108</v>
      </c>
      <c r="Q285" t="s">
        <v>179</v>
      </c>
      <c r="R285" s="21" t="s">
        <v>108</v>
      </c>
      <c r="S285" s="32">
        <v>41121</v>
      </c>
      <c r="T285" t="s">
        <v>235</v>
      </c>
      <c r="U285" t="s">
        <v>235</v>
      </c>
      <c r="V285" t="s">
        <v>361</v>
      </c>
      <c r="W285" t="s">
        <v>300</v>
      </c>
      <c r="X285" t="s">
        <v>380</v>
      </c>
      <c r="Y285">
        <v>109513</v>
      </c>
      <c r="Z285" t="s">
        <v>235</v>
      </c>
      <c r="AA285" t="s">
        <v>381</v>
      </c>
      <c r="AB285" s="43">
        <v>0.3756944444444445</v>
      </c>
      <c r="AC285" s="45">
        <v>41121.375694444447</v>
      </c>
      <c r="AD285" t="s">
        <v>235</v>
      </c>
      <c r="AE285" t="s">
        <v>235</v>
      </c>
      <c r="AF285" t="s">
        <v>235</v>
      </c>
      <c r="AG285" t="s">
        <v>235</v>
      </c>
      <c r="AH285" t="s">
        <v>235</v>
      </c>
      <c r="AI285" t="s">
        <v>235</v>
      </c>
      <c r="AJ285" t="s">
        <v>235</v>
      </c>
      <c r="AK285" t="s">
        <v>235</v>
      </c>
      <c r="AL285">
        <v>63366</v>
      </c>
    </row>
    <row r="286" spans="1:38" x14ac:dyDescent="0.25">
      <c r="A286" t="str">
        <f t="shared" si="8"/>
        <v>LRC</v>
      </c>
      <c r="C286" t="str">
        <f t="shared" si="9"/>
        <v>003</v>
      </c>
      <c r="D286">
        <v>4</v>
      </c>
      <c r="I286">
        <f t="shared" si="10"/>
        <v>109439</v>
      </c>
      <c r="K286" s="18">
        <v>41121.561805555553</v>
      </c>
      <c r="L286" s="19">
        <f t="shared" si="11"/>
        <v>41121.395138888889</v>
      </c>
      <c r="M286" t="s">
        <v>161</v>
      </c>
      <c r="P286" t="s">
        <v>108</v>
      </c>
      <c r="Q286" t="s">
        <v>164</v>
      </c>
      <c r="R286" s="21" t="s">
        <v>108</v>
      </c>
      <c r="S286" s="32">
        <v>41121</v>
      </c>
      <c r="T286" t="s">
        <v>235</v>
      </c>
      <c r="U286" t="s">
        <v>235</v>
      </c>
      <c r="V286" t="s">
        <v>361</v>
      </c>
      <c r="W286" t="s">
        <v>291</v>
      </c>
      <c r="X286" t="s">
        <v>380</v>
      </c>
      <c r="Y286">
        <v>109439</v>
      </c>
      <c r="Z286" t="s">
        <v>235</v>
      </c>
      <c r="AA286" t="s">
        <v>381</v>
      </c>
      <c r="AB286" s="43">
        <v>0.39513888888888887</v>
      </c>
      <c r="AC286" s="45">
        <v>41121.395138888889</v>
      </c>
      <c r="AD286" t="s">
        <v>235</v>
      </c>
      <c r="AE286" t="s">
        <v>235</v>
      </c>
      <c r="AF286" t="s">
        <v>235</v>
      </c>
      <c r="AG286" t="s">
        <v>382</v>
      </c>
      <c r="AH286" t="s">
        <v>235</v>
      </c>
      <c r="AI286" t="s">
        <v>235</v>
      </c>
      <c r="AJ286" t="s">
        <v>235</v>
      </c>
      <c r="AK286" t="s">
        <v>235</v>
      </c>
      <c r="AL286">
        <v>1143</v>
      </c>
    </row>
    <row r="287" spans="1:38" x14ac:dyDescent="0.25">
      <c r="A287" t="str">
        <f t="shared" si="8"/>
        <v>LRC</v>
      </c>
      <c r="C287" t="str">
        <f t="shared" si="9"/>
        <v>006</v>
      </c>
      <c r="D287">
        <v>4</v>
      </c>
      <c r="I287">
        <f t="shared" si="10"/>
        <v>109477</v>
      </c>
      <c r="K287" s="18">
        <v>41121.581250000003</v>
      </c>
      <c r="L287" s="19">
        <f t="shared" si="11"/>
        <v>41121.414583333331</v>
      </c>
      <c r="M287" t="s">
        <v>161</v>
      </c>
      <c r="P287" t="s">
        <v>108</v>
      </c>
      <c r="Q287" t="s">
        <v>164</v>
      </c>
      <c r="R287" s="21" t="s">
        <v>108</v>
      </c>
      <c r="S287" s="32">
        <v>41121</v>
      </c>
      <c r="T287" t="s">
        <v>235</v>
      </c>
      <c r="U287" t="s">
        <v>235</v>
      </c>
      <c r="V287" t="s">
        <v>361</v>
      </c>
      <c r="W287" t="s">
        <v>284</v>
      </c>
      <c r="X287" t="s">
        <v>380</v>
      </c>
      <c r="Y287">
        <v>109477</v>
      </c>
      <c r="Z287" t="s">
        <v>235</v>
      </c>
      <c r="AA287" t="s">
        <v>381</v>
      </c>
      <c r="AB287" s="43">
        <v>0.4145833333333333</v>
      </c>
      <c r="AC287" s="45">
        <v>41121.414583333331</v>
      </c>
      <c r="AD287" t="s">
        <v>235</v>
      </c>
      <c r="AE287" t="s">
        <v>235</v>
      </c>
      <c r="AF287" t="s">
        <v>235</v>
      </c>
      <c r="AG287" t="s">
        <v>382</v>
      </c>
      <c r="AH287" t="s">
        <v>235</v>
      </c>
      <c r="AI287" t="s">
        <v>235</v>
      </c>
      <c r="AJ287" t="s">
        <v>235</v>
      </c>
      <c r="AK287" t="s">
        <v>235</v>
      </c>
      <c r="AL287">
        <v>1143</v>
      </c>
    </row>
    <row r="288" spans="1:38" x14ac:dyDescent="0.25">
      <c r="A288" t="str">
        <f t="shared" si="8"/>
        <v>LRC</v>
      </c>
      <c r="C288" t="str">
        <f t="shared" si="9"/>
        <v>007</v>
      </c>
      <c r="D288">
        <v>3</v>
      </c>
      <c r="I288">
        <f t="shared" si="10"/>
        <v>109941</v>
      </c>
      <c r="K288" s="18">
        <v>41121.59097222222</v>
      </c>
      <c r="L288" s="19">
        <f t="shared" si="11"/>
        <v>41121.424305555556</v>
      </c>
      <c r="M288" t="s">
        <v>161</v>
      </c>
      <c r="P288" t="s">
        <v>108</v>
      </c>
      <c r="Q288" t="s">
        <v>164</v>
      </c>
      <c r="R288" s="21" t="s">
        <v>108</v>
      </c>
      <c r="S288" s="32">
        <v>41121</v>
      </c>
      <c r="T288" t="s">
        <v>235</v>
      </c>
      <c r="U288" t="s">
        <v>235</v>
      </c>
      <c r="V288" t="s">
        <v>361</v>
      </c>
      <c r="W288" t="s">
        <v>285</v>
      </c>
      <c r="X288" t="s">
        <v>380</v>
      </c>
      <c r="Y288">
        <v>109941</v>
      </c>
      <c r="Z288" t="s">
        <v>235</v>
      </c>
      <c r="AA288" t="s">
        <v>381</v>
      </c>
      <c r="AB288" s="43">
        <v>0.42430555555555555</v>
      </c>
      <c r="AC288" s="45">
        <v>41121.424305555556</v>
      </c>
      <c r="AD288" t="s">
        <v>235</v>
      </c>
      <c r="AE288" t="s">
        <v>235</v>
      </c>
      <c r="AF288" t="s">
        <v>235</v>
      </c>
      <c r="AG288" t="s">
        <v>382</v>
      </c>
      <c r="AH288" t="s">
        <v>235</v>
      </c>
      <c r="AI288" t="s">
        <v>235</v>
      </c>
      <c r="AJ288" t="s">
        <v>235</v>
      </c>
      <c r="AK288" t="s">
        <v>235</v>
      </c>
      <c r="AL288">
        <v>1143</v>
      </c>
    </row>
    <row r="289" spans="1:38" x14ac:dyDescent="0.25">
      <c r="A289" t="str">
        <f t="shared" si="8"/>
        <v>SSM</v>
      </c>
      <c r="C289" t="str">
        <f t="shared" si="9"/>
        <v>008</v>
      </c>
      <c r="D289">
        <v>3</v>
      </c>
      <c r="I289">
        <f t="shared" si="10"/>
        <v>113221</v>
      </c>
      <c r="K289" s="18">
        <v>41121.624305555553</v>
      </c>
      <c r="L289" s="19">
        <f t="shared" si="11"/>
        <v>41121.457638888889</v>
      </c>
      <c r="M289" t="s">
        <v>161</v>
      </c>
      <c r="P289" t="s">
        <v>108</v>
      </c>
      <c r="Q289" t="s">
        <v>164</v>
      </c>
      <c r="R289" s="21" t="s">
        <v>108</v>
      </c>
      <c r="S289" s="32">
        <v>41121</v>
      </c>
      <c r="T289" t="s">
        <v>235</v>
      </c>
      <c r="U289" t="s">
        <v>235</v>
      </c>
      <c r="V289" t="s">
        <v>361</v>
      </c>
      <c r="W289" t="s">
        <v>262</v>
      </c>
      <c r="X289" t="s">
        <v>380</v>
      </c>
      <c r="Y289">
        <v>113221</v>
      </c>
      <c r="Z289" t="s">
        <v>235</v>
      </c>
      <c r="AA289" t="s">
        <v>381</v>
      </c>
      <c r="AB289" s="43">
        <v>0.45763888888888887</v>
      </c>
      <c r="AC289" s="45">
        <v>41121.457638888889</v>
      </c>
      <c r="AD289" t="s">
        <v>235</v>
      </c>
      <c r="AE289" t="s">
        <v>235</v>
      </c>
      <c r="AF289" t="s">
        <v>235</v>
      </c>
      <c r="AG289" t="s">
        <v>235</v>
      </c>
      <c r="AH289" t="s">
        <v>235</v>
      </c>
      <c r="AI289" t="s">
        <v>235</v>
      </c>
      <c r="AJ289" t="s">
        <v>235</v>
      </c>
      <c r="AK289" t="s">
        <v>235</v>
      </c>
      <c r="AL289">
        <v>63366</v>
      </c>
    </row>
    <row r="290" spans="1:38" x14ac:dyDescent="0.25">
      <c r="A290" t="str">
        <f t="shared" si="8"/>
        <v>SSM</v>
      </c>
      <c r="C290" t="str">
        <f t="shared" si="9"/>
        <v>006</v>
      </c>
      <c r="D290">
        <v>4</v>
      </c>
      <c r="I290">
        <f t="shared" si="10"/>
        <v>109434</v>
      </c>
      <c r="K290" s="18">
        <v>41121.635416666664</v>
      </c>
      <c r="L290" s="19">
        <f t="shared" si="11"/>
        <v>41121.46875</v>
      </c>
      <c r="M290" t="s">
        <v>161</v>
      </c>
      <c r="P290" t="s">
        <v>108</v>
      </c>
      <c r="Q290" t="s">
        <v>164</v>
      </c>
      <c r="R290" s="21" t="s">
        <v>108</v>
      </c>
      <c r="S290" s="32">
        <v>41121</v>
      </c>
      <c r="T290" t="s">
        <v>235</v>
      </c>
      <c r="U290" t="s">
        <v>235</v>
      </c>
      <c r="V290" t="s">
        <v>361</v>
      </c>
      <c r="W290" t="s">
        <v>263</v>
      </c>
      <c r="X290" t="s">
        <v>380</v>
      </c>
      <c r="Y290">
        <v>109434</v>
      </c>
      <c r="Z290" t="s">
        <v>235</v>
      </c>
      <c r="AA290" t="s">
        <v>381</v>
      </c>
      <c r="AB290" s="43">
        <v>0.46875</v>
      </c>
      <c r="AC290" s="45">
        <v>41121.46875</v>
      </c>
      <c r="AD290" t="s">
        <v>235</v>
      </c>
      <c r="AE290" t="s">
        <v>235</v>
      </c>
      <c r="AF290" t="s">
        <v>235</v>
      </c>
      <c r="AG290" t="s">
        <v>235</v>
      </c>
      <c r="AH290" t="s">
        <v>235</v>
      </c>
      <c r="AI290" t="s">
        <v>235</v>
      </c>
      <c r="AJ290" t="s">
        <v>235</v>
      </c>
      <c r="AK290" t="s">
        <v>235</v>
      </c>
      <c r="AL290">
        <v>63366</v>
      </c>
    </row>
    <row r="291" spans="1:38" x14ac:dyDescent="0.25">
      <c r="A291" t="str">
        <f t="shared" si="8"/>
        <v>SSM</v>
      </c>
      <c r="C291" t="str">
        <f t="shared" si="9"/>
        <v>024</v>
      </c>
      <c r="D291">
        <v>1</v>
      </c>
      <c r="I291">
        <f t="shared" si="10"/>
        <v>109479</v>
      </c>
      <c r="K291" s="18">
        <v>41121.644444444442</v>
      </c>
      <c r="L291" s="19">
        <f t="shared" si="11"/>
        <v>41121.477777777778</v>
      </c>
      <c r="M291" t="s">
        <v>161</v>
      </c>
      <c r="P291" t="s">
        <v>108</v>
      </c>
      <c r="Q291" t="s">
        <v>164</v>
      </c>
      <c r="R291" s="21" t="s">
        <v>108</v>
      </c>
      <c r="S291" s="32">
        <v>41121</v>
      </c>
      <c r="T291" t="s">
        <v>235</v>
      </c>
      <c r="U291" t="s">
        <v>235</v>
      </c>
      <c r="V291" t="s">
        <v>361</v>
      </c>
      <c r="W291" t="s">
        <v>267</v>
      </c>
      <c r="X291" t="s">
        <v>380</v>
      </c>
      <c r="Y291">
        <v>109479</v>
      </c>
      <c r="Z291" t="s">
        <v>235</v>
      </c>
      <c r="AA291" t="s">
        <v>381</v>
      </c>
      <c r="AB291" s="43">
        <v>0.4777777777777778</v>
      </c>
      <c r="AC291" s="45">
        <v>41121.477777777778</v>
      </c>
      <c r="AD291" t="s">
        <v>235</v>
      </c>
      <c r="AE291" t="s">
        <v>235</v>
      </c>
      <c r="AF291" t="s">
        <v>235</v>
      </c>
      <c r="AG291" t="s">
        <v>235</v>
      </c>
      <c r="AH291" t="s">
        <v>235</v>
      </c>
      <c r="AI291" t="s">
        <v>235</v>
      </c>
      <c r="AJ291" t="s">
        <v>235</v>
      </c>
      <c r="AK291" t="s">
        <v>235</v>
      </c>
      <c r="AL291">
        <v>63366</v>
      </c>
    </row>
    <row r="292" spans="1:38" x14ac:dyDescent="0.25">
      <c r="A292" t="str">
        <f t="shared" si="8"/>
        <v>SSM</v>
      </c>
      <c r="C292" t="str">
        <f t="shared" si="9"/>
        <v>009</v>
      </c>
      <c r="D292">
        <v>3</v>
      </c>
      <c r="I292">
        <f t="shared" si="10"/>
        <v>109468</v>
      </c>
      <c r="K292" s="18">
        <v>41121.652777777781</v>
      </c>
      <c r="L292" s="19">
        <f t="shared" si="11"/>
        <v>41121.486111111109</v>
      </c>
      <c r="M292" t="s">
        <v>161</v>
      </c>
      <c r="P292" t="s">
        <v>108</v>
      </c>
      <c r="Q292" t="s">
        <v>164</v>
      </c>
      <c r="R292" s="21" t="s">
        <v>108</v>
      </c>
      <c r="S292" s="32">
        <v>41121</v>
      </c>
      <c r="T292" t="s">
        <v>235</v>
      </c>
      <c r="U292" t="s">
        <v>235</v>
      </c>
      <c r="V292" t="s">
        <v>361</v>
      </c>
      <c r="W292" t="s">
        <v>261</v>
      </c>
      <c r="X292" t="s">
        <v>380</v>
      </c>
      <c r="Y292">
        <v>109468</v>
      </c>
      <c r="Z292" t="s">
        <v>235</v>
      </c>
      <c r="AA292" t="s">
        <v>381</v>
      </c>
      <c r="AB292" s="43">
        <v>0.4861111111111111</v>
      </c>
      <c r="AC292" s="45">
        <v>41121.486111111109</v>
      </c>
      <c r="AD292" t="s">
        <v>235</v>
      </c>
      <c r="AE292" t="s">
        <v>235</v>
      </c>
      <c r="AF292" t="s">
        <v>235</v>
      </c>
      <c r="AG292" t="s">
        <v>235</v>
      </c>
      <c r="AH292" t="s">
        <v>235</v>
      </c>
      <c r="AI292" t="s">
        <v>235</v>
      </c>
      <c r="AJ292" t="s">
        <v>235</v>
      </c>
      <c r="AK292" t="s">
        <v>235</v>
      </c>
      <c r="AL292">
        <v>63366</v>
      </c>
    </row>
    <row r="293" spans="1:38" x14ac:dyDescent="0.25">
      <c r="A293" t="str">
        <f t="shared" si="8"/>
        <v>LGD</v>
      </c>
      <c r="C293" t="str">
        <f t="shared" si="9"/>
        <v>002</v>
      </c>
      <c r="D293">
        <v>1</v>
      </c>
      <c r="I293">
        <f t="shared" si="10"/>
        <v>109456</v>
      </c>
      <c r="K293" s="18">
        <v>41121.688888888886</v>
      </c>
      <c r="L293" s="19">
        <f t="shared" si="11"/>
        <v>41121.522222222222</v>
      </c>
      <c r="M293" t="s">
        <v>161</v>
      </c>
      <c r="P293" t="s">
        <v>108</v>
      </c>
      <c r="Q293" t="s">
        <v>179</v>
      </c>
      <c r="R293" s="21" t="s">
        <v>108</v>
      </c>
      <c r="S293" s="32">
        <v>41121</v>
      </c>
      <c r="T293" t="s">
        <v>235</v>
      </c>
      <c r="U293" t="s">
        <v>235</v>
      </c>
      <c r="V293" t="s">
        <v>361</v>
      </c>
      <c r="W293" t="s">
        <v>220</v>
      </c>
      <c r="X293" t="s">
        <v>380</v>
      </c>
      <c r="Y293">
        <v>109456</v>
      </c>
      <c r="Z293" t="s">
        <v>235</v>
      </c>
      <c r="AA293" t="s">
        <v>381</v>
      </c>
      <c r="AB293" s="43">
        <v>0.52222222222222225</v>
      </c>
      <c r="AC293" s="45">
        <v>41121.522222222222</v>
      </c>
      <c r="AD293" t="s">
        <v>235</v>
      </c>
      <c r="AE293" t="s">
        <v>235</v>
      </c>
      <c r="AF293" t="s">
        <v>235</v>
      </c>
      <c r="AG293" t="s">
        <v>382</v>
      </c>
      <c r="AH293" t="s">
        <v>235</v>
      </c>
      <c r="AI293" t="s">
        <v>235</v>
      </c>
      <c r="AJ293" t="s">
        <v>235</v>
      </c>
      <c r="AK293" t="s">
        <v>235</v>
      </c>
      <c r="AL293">
        <v>1143</v>
      </c>
    </row>
    <row r="294" spans="1:38" x14ac:dyDescent="0.25">
      <c r="A294" t="str">
        <f t="shared" si="8"/>
        <v>DCK</v>
      </c>
      <c r="C294" t="str">
        <f t="shared" si="9"/>
        <v>006</v>
      </c>
      <c r="D294">
        <v>1</v>
      </c>
      <c r="I294">
        <f t="shared" si="10"/>
        <v>109473</v>
      </c>
      <c r="K294" s="18">
        <v>41121.70208333333</v>
      </c>
      <c r="L294" s="19">
        <f t="shared" si="11"/>
        <v>41121.535416666666</v>
      </c>
      <c r="M294" t="s">
        <v>161</v>
      </c>
      <c r="P294" t="s">
        <v>108</v>
      </c>
      <c r="Q294" t="s">
        <v>164</v>
      </c>
      <c r="R294" s="21" t="s">
        <v>108</v>
      </c>
      <c r="S294" s="32">
        <v>41121</v>
      </c>
      <c r="T294" t="s">
        <v>235</v>
      </c>
      <c r="U294" t="s">
        <v>235</v>
      </c>
      <c r="V294" t="s">
        <v>361</v>
      </c>
      <c r="W294" t="s">
        <v>228</v>
      </c>
      <c r="X294" t="s">
        <v>380</v>
      </c>
      <c r="Y294">
        <v>109473</v>
      </c>
      <c r="Z294" t="s">
        <v>235</v>
      </c>
      <c r="AA294" t="s">
        <v>381</v>
      </c>
      <c r="AB294" s="43">
        <v>0.53541666666666665</v>
      </c>
      <c r="AC294" s="45">
        <v>41121.535416666666</v>
      </c>
      <c r="AD294" t="s">
        <v>235</v>
      </c>
      <c r="AE294" t="s">
        <v>235</v>
      </c>
      <c r="AF294" t="s">
        <v>235</v>
      </c>
      <c r="AG294" t="s">
        <v>382</v>
      </c>
      <c r="AH294" t="s">
        <v>235</v>
      </c>
      <c r="AI294" t="s">
        <v>235</v>
      </c>
      <c r="AJ294" t="s">
        <v>235</v>
      </c>
      <c r="AK294" t="s">
        <v>235</v>
      </c>
      <c r="AL294">
        <v>1143</v>
      </c>
    </row>
    <row r="295" spans="1:38" x14ac:dyDescent="0.25">
      <c r="A295" t="str">
        <f t="shared" si="8"/>
        <v>DCK</v>
      </c>
      <c r="C295" t="str">
        <f t="shared" si="9"/>
        <v>001</v>
      </c>
      <c r="D295">
        <v>3</v>
      </c>
      <c r="I295">
        <f t="shared" si="10"/>
        <v>113219</v>
      </c>
      <c r="K295" s="18">
        <v>41121.709027777775</v>
      </c>
      <c r="L295" s="19">
        <f t="shared" si="11"/>
        <v>41121.542361111111</v>
      </c>
      <c r="M295" t="s">
        <v>161</v>
      </c>
      <c r="P295" t="s">
        <v>108</v>
      </c>
      <c r="Q295" t="s">
        <v>164</v>
      </c>
      <c r="R295" s="21" t="s">
        <v>108</v>
      </c>
      <c r="S295" s="32">
        <v>41121</v>
      </c>
      <c r="T295" t="s">
        <v>235</v>
      </c>
      <c r="U295" t="s">
        <v>235</v>
      </c>
      <c r="V295" t="s">
        <v>361</v>
      </c>
      <c r="W295" t="s">
        <v>221</v>
      </c>
      <c r="X295" t="s">
        <v>380</v>
      </c>
      <c r="Y295">
        <v>113219</v>
      </c>
      <c r="Z295" t="s">
        <v>235</v>
      </c>
      <c r="AA295" t="s">
        <v>381</v>
      </c>
      <c r="AB295" s="43">
        <v>0.54236111111111118</v>
      </c>
      <c r="AC295" s="45">
        <v>41121.542361111111</v>
      </c>
      <c r="AD295" t="s">
        <v>235</v>
      </c>
      <c r="AE295" t="s">
        <v>235</v>
      </c>
      <c r="AF295" t="s">
        <v>235</v>
      </c>
      <c r="AG295" t="s">
        <v>382</v>
      </c>
      <c r="AH295" t="s">
        <v>235</v>
      </c>
      <c r="AI295" t="s">
        <v>235</v>
      </c>
      <c r="AJ295" t="s">
        <v>235</v>
      </c>
      <c r="AK295" t="s">
        <v>235</v>
      </c>
      <c r="AL295">
        <v>1143</v>
      </c>
    </row>
    <row r="296" spans="1:38" x14ac:dyDescent="0.25">
      <c r="A296" t="str">
        <f t="shared" si="8"/>
        <v>DCK</v>
      </c>
      <c r="C296" t="str">
        <f t="shared" si="9"/>
        <v>002</v>
      </c>
      <c r="D296">
        <v>4</v>
      </c>
      <c r="I296">
        <f t="shared" si="10"/>
        <v>109471</v>
      </c>
      <c r="K296" s="18">
        <v>41121.714583333334</v>
      </c>
      <c r="L296" s="19">
        <f t="shared" si="11"/>
        <v>41121.54791666667</v>
      </c>
      <c r="M296" t="s">
        <v>161</v>
      </c>
      <c r="P296" t="s">
        <v>108</v>
      </c>
      <c r="Q296" t="s">
        <v>164</v>
      </c>
      <c r="R296" s="21" t="s">
        <v>108</v>
      </c>
      <c r="S296" s="32">
        <v>41121</v>
      </c>
      <c r="T296" t="s">
        <v>235</v>
      </c>
      <c r="U296" t="s">
        <v>235</v>
      </c>
      <c r="V296" t="s">
        <v>361</v>
      </c>
      <c r="W296" t="s">
        <v>223</v>
      </c>
      <c r="X296" t="s">
        <v>380</v>
      </c>
      <c r="Y296">
        <v>109471</v>
      </c>
      <c r="Z296" t="s">
        <v>235</v>
      </c>
      <c r="AA296" t="s">
        <v>381</v>
      </c>
      <c r="AB296" s="43">
        <v>0.54791666666666672</v>
      </c>
      <c r="AC296" s="45">
        <v>41121.54791666667</v>
      </c>
      <c r="AD296" t="s">
        <v>235</v>
      </c>
      <c r="AE296" t="s">
        <v>235</v>
      </c>
      <c r="AF296" t="s">
        <v>235</v>
      </c>
      <c r="AG296" t="s">
        <v>382</v>
      </c>
      <c r="AH296" t="s">
        <v>235</v>
      </c>
      <c r="AI296" t="s">
        <v>235</v>
      </c>
      <c r="AJ296" t="s">
        <v>235</v>
      </c>
      <c r="AK296" t="s">
        <v>235</v>
      </c>
      <c r="AL296">
        <v>1143</v>
      </c>
    </row>
    <row r="297" spans="1:38" x14ac:dyDescent="0.25">
      <c r="A297" t="str">
        <f t="shared" si="8"/>
        <v>DCK</v>
      </c>
      <c r="C297" t="str">
        <f t="shared" si="9"/>
        <v>005</v>
      </c>
      <c r="D297">
        <v>1</v>
      </c>
      <c r="I297">
        <f t="shared" si="10"/>
        <v>109421</v>
      </c>
      <c r="K297" s="18">
        <v>41121.729861111111</v>
      </c>
      <c r="L297" s="19">
        <f t="shared" si="11"/>
        <v>41121.563194444447</v>
      </c>
      <c r="M297" t="s">
        <v>161</v>
      </c>
      <c r="P297" t="s">
        <v>108</v>
      </c>
      <c r="Q297" t="s">
        <v>164</v>
      </c>
      <c r="R297" s="21" t="s">
        <v>108</v>
      </c>
      <c r="S297" s="32">
        <v>41121</v>
      </c>
      <c r="T297" t="s">
        <v>235</v>
      </c>
      <c r="U297" t="s">
        <v>235</v>
      </c>
      <c r="V297" t="s">
        <v>361</v>
      </c>
      <c r="W297" t="s">
        <v>226</v>
      </c>
      <c r="X297" t="s">
        <v>380</v>
      </c>
      <c r="Y297">
        <v>109421</v>
      </c>
      <c r="Z297" t="s">
        <v>235</v>
      </c>
      <c r="AA297" t="s">
        <v>381</v>
      </c>
      <c r="AB297" s="43">
        <v>0.56319444444444444</v>
      </c>
      <c r="AC297" s="45">
        <v>41121.563194444447</v>
      </c>
      <c r="AD297" t="s">
        <v>235</v>
      </c>
      <c r="AE297" t="s">
        <v>235</v>
      </c>
      <c r="AF297" t="s">
        <v>235</v>
      </c>
      <c r="AG297" t="s">
        <v>382</v>
      </c>
      <c r="AH297" t="s">
        <v>235</v>
      </c>
      <c r="AI297" t="s">
        <v>235</v>
      </c>
      <c r="AJ297" t="s">
        <v>235</v>
      </c>
      <c r="AK297" t="s">
        <v>235</v>
      </c>
      <c r="AL297">
        <v>1143</v>
      </c>
    </row>
    <row r="298" spans="1:38" x14ac:dyDescent="0.25">
      <c r="A298" t="str">
        <f t="shared" si="8"/>
        <v>DCK</v>
      </c>
      <c r="C298" t="str">
        <f t="shared" si="9"/>
        <v>003</v>
      </c>
      <c r="D298">
        <v>1</v>
      </c>
      <c r="I298">
        <f t="shared" si="10"/>
        <v>109431</v>
      </c>
      <c r="K298" s="18">
        <v>41121.740277777775</v>
      </c>
      <c r="L298" s="19">
        <f t="shared" si="11"/>
        <v>41121.573611111111</v>
      </c>
      <c r="M298" t="s">
        <v>161</v>
      </c>
      <c r="P298" t="s">
        <v>108</v>
      </c>
      <c r="Q298" t="s">
        <v>164</v>
      </c>
      <c r="R298" s="21" t="s">
        <v>108</v>
      </c>
      <c r="S298" s="32">
        <v>41121</v>
      </c>
      <c r="T298" t="s">
        <v>235</v>
      </c>
      <c r="U298" t="s">
        <v>235</v>
      </c>
      <c r="V298" t="s">
        <v>361</v>
      </c>
      <c r="W298" t="s">
        <v>224</v>
      </c>
      <c r="X298" t="s">
        <v>380</v>
      </c>
      <c r="Y298">
        <v>109431</v>
      </c>
      <c r="Z298" t="s">
        <v>235</v>
      </c>
      <c r="AA298" t="s">
        <v>381</v>
      </c>
      <c r="AB298" s="43">
        <v>0.57361111111111118</v>
      </c>
      <c r="AC298" s="45">
        <v>41121.573611111111</v>
      </c>
      <c r="AD298" t="s">
        <v>235</v>
      </c>
      <c r="AE298" t="s">
        <v>235</v>
      </c>
      <c r="AF298" t="s">
        <v>235</v>
      </c>
      <c r="AG298" t="s">
        <v>382</v>
      </c>
      <c r="AH298" t="s">
        <v>235</v>
      </c>
      <c r="AI298" t="s">
        <v>235</v>
      </c>
      <c r="AJ298" t="s">
        <v>235</v>
      </c>
      <c r="AK298" t="s">
        <v>235</v>
      </c>
      <c r="AL298">
        <v>1143</v>
      </c>
    </row>
    <row r="299" spans="1:38" x14ac:dyDescent="0.25">
      <c r="A299" t="str">
        <f t="shared" si="8"/>
        <v>DCK</v>
      </c>
      <c r="C299" t="str">
        <f t="shared" si="9"/>
        <v>004</v>
      </c>
      <c r="D299">
        <v>1</v>
      </c>
      <c r="I299">
        <f t="shared" si="10"/>
        <v>109877</v>
      </c>
      <c r="K299" s="18">
        <v>41121.745833333334</v>
      </c>
      <c r="L299" s="19">
        <f t="shared" si="11"/>
        <v>41121.57916666667</v>
      </c>
      <c r="M299" t="s">
        <v>161</v>
      </c>
      <c r="P299" t="s">
        <v>108</v>
      </c>
      <c r="Q299" t="s">
        <v>164</v>
      </c>
      <c r="R299" s="21" t="s">
        <v>108</v>
      </c>
      <c r="S299" s="32">
        <v>41121</v>
      </c>
      <c r="T299" t="s">
        <v>235</v>
      </c>
      <c r="U299" t="s">
        <v>235</v>
      </c>
      <c r="V299" t="s">
        <v>361</v>
      </c>
      <c r="W299" t="s">
        <v>225</v>
      </c>
      <c r="X299" t="s">
        <v>380</v>
      </c>
      <c r="Y299">
        <v>109877</v>
      </c>
      <c r="Z299" t="s">
        <v>235</v>
      </c>
      <c r="AA299" t="s">
        <v>381</v>
      </c>
      <c r="AB299" s="43">
        <v>0.57916666666666672</v>
      </c>
      <c r="AC299" s="45">
        <v>41121.57916666667</v>
      </c>
      <c r="AD299" t="s">
        <v>235</v>
      </c>
      <c r="AE299" t="s">
        <v>235</v>
      </c>
      <c r="AF299" t="s">
        <v>235</v>
      </c>
      <c r="AG299" t="s">
        <v>382</v>
      </c>
      <c r="AH299" t="s">
        <v>235</v>
      </c>
      <c r="AI299" t="s">
        <v>235</v>
      </c>
      <c r="AJ299" t="s">
        <v>235</v>
      </c>
      <c r="AK299" t="s">
        <v>235</v>
      </c>
      <c r="AL299">
        <v>1143</v>
      </c>
    </row>
    <row r="300" spans="1:38" x14ac:dyDescent="0.25">
      <c r="A300" t="str">
        <f t="shared" si="8"/>
        <v>ECH</v>
      </c>
      <c r="C300" t="str">
        <f t="shared" si="9"/>
        <v>002</v>
      </c>
      <c r="D300">
        <v>3</v>
      </c>
      <c r="I300">
        <f t="shared" si="10"/>
        <v>113220</v>
      </c>
      <c r="K300" s="18">
        <v>41121.930555555555</v>
      </c>
      <c r="L300" s="19">
        <f t="shared" si="11"/>
        <v>41121.763888888891</v>
      </c>
      <c r="M300" t="s">
        <v>161</v>
      </c>
      <c r="P300" t="s">
        <v>108</v>
      </c>
      <c r="Q300" t="s">
        <v>179</v>
      </c>
      <c r="R300" s="21" t="s">
        <v>108</v>
      </c>
      <c r="S300" s="32">
        <v>41121</v>
      </c>
      <c r="T300" t="s">
        <v>235</v>
      </c>
      <c r="U300" t="s">
        <v>235</v>
      </c>
      <c r="V300" t="s">
        <v>361</v>
      </c>
      <c r="W300" t="s">
        <v>269</v>
      </c>
      <c r="X300" t="s">
        <v>380</v>
      </c>
      <c r="Y300">
        <v>113220</v>
      </c>
      <c r="Z300" t="s">
        <v>235</v>
      </c>
      <c r="AA300" t="s">
        <v>381</v>
      </c>
      <c r="AB300" s="43">
        <v>0.76388888888888884</v>
      </c>
      <c r="AC300" s="45">
        <v>41121.763888888891</v>
      </c>
      <c r="AD300" t="s">
        <v>235</v>
      </c>
      <c r="AE300" t="s">
        <v>235</v>
      </c>
      <c r="AF300" t="s">
        <v>235</v>
      </c>
      <c r="AG300" t="s">
        <v>382</v>
      </c>
      <c r="AH300" t="s">
        <v>235</v>
      </c>
      <c r="AI300" t="s">
        <v>235</v>
      </c>
      <c r="AJ300" t="s">
        <v>235</v>
      </c>
      <c r="AK300" t="s">
        <v>235</v>
      </c>
      <c r="AL300">
        <v>1143</v>
      </c>
    </row>
    <row r="301" spans="1:38" x14ac:dyDescent="0.25">
      <c r="A301" t="str">
        <f t="shared" si="8"/>
        <v>ECH</v>
      </c>
      <c r="C301" t="str">
        <f t="shared" si="9"/>
        <v>001</v>
      </c>
      <c r="D301">
        <v>3</v>
      </c>
      <c r="I301">
        <f t="shared" si="10"/>
        <v>109488</v>
      </c>
      <c r="K301" s="18">
        <v>41121.940972222219</v>
      </c>
      <c r="L301" s="19">
        <f t="shared" si="11"/>
        <v>41121.774305555555</v>
      </c>
      <c r="M301" t="s">
        <v>161</v>
      </c>
      <c r="P301" t="s">
        <v>108</v>
      </c>
      <c r="Q301" t="s">
        <v>179</v>
      </c>
      <c r="R301" s="21" t="s">
        <v>108</v>
      </c>
      <c r="S301" s="32">
        <v>41121</v>
      </c>
      <c r="T301" t="s">
        <v>235</v>
      </c>
      <c r="U301" t="s">
        <v>235</v>
      </c>
      <c r="V301" t="s">
        <v>361</v>
      </c>
      <c r="W301" t="s">
        <v>270</v>
      </c>
      <c r="X301" t="s">
        <v>380</v>
      </c>
      <c r="Y301">
        <v>109488</v>
      </c>
      <c r="Z301" t="s">
        <v>235</v>
      </c>
      <c r="AA301" t="s">
        <v>381</v>
      </c>
      <c r="AB301" s="43">
        <v>0.77430555555555547</v>
      </c>
      <c r="AC301" s="45">
        <v>41121.774305555555</v>
      </c>
      <c r="AD301" t="s">
        <v>235</v>
      </c>
      <c r="AE301" t="s">
        <v>235</v>
      </c>
      <c r="AF301" t="s">
        <v>235</v>
      </c>
      <c r="AG301" t="s">
        <v>382</v>
      </c>
      <c r="AH301" t="s">
        <v>235</v>
      </c>
      <c r="AI301" t="s">
        <v>235</v>
      </c>
      <c r="AJ301" t="s">
        <v>235</v>
      </c>
      <c r="AK301" t="s">
        <v>235</v>
      </c>
      <c r="AL301">
        <v>1143</v>
      </c>
    </row>
    <row r="302" spans="1:38" x14ac:dyDescent="0.25">
      <c r="A302" t="str">
        <f t="shared" si="8"/>
        <v>PWC</v>
      </c>
      <c r="C302" t="str">
        <f t="shared" si="9"/>
        <v>001</v>
      </c>
      <c r="D302">
        <v>4</v>
      </c>
      <c r="I302">
        <f t="shared" si="10"/>
        <v>109900</v>
      </c>
      <c r="K302" s="18">
        <v>41122.549305555556</v>
      </c>
      <c r="L302" s="19">
        <f t="shared" si="11"/>
        <v>41122.382638888892</v>
      </c>
      <c r="M302" t="s">
        <v>161</v>
      </c>
      <c r="P302" t="s">
        <v>108</v>
      </c>
      <c r="Q302" t="s">
        <v>179</v>
      </c>
      <c r="R302" s="21" t="s">
        <v>108</v>
      </c>
      <c r="S302" s="32">
        <v>41122</v>
      </c>
      <c r="T302" t="s">
        <v>235</v>
      </c>
      <c r="U302" t="s">
        <v>235</v>
      </c>
      <c r="V302" t="s">
        <v>361</v>
      </c>
      <c r="W302" t="s">
        <v>294</v>
      </c>
      <c r="X302" t="s">
        <v>380</v>
      </c>
      <c r="Y302">
        <v>109900</v>
      </c>
      <c r="Z302" t="s">
        <v>235</v>
      </c>
      <c r="AA302" t="s">
        <v>381</v>
      </c>
      <c r="AB302" s="43">
        <v>0.38263888888888892</v>
      </c>
      <c r="AC302" s="45">
        <v>41122.382638888892</v>
      </c>
      <c r="AD302" t="s">
        <v>235</v>
      </c>
      <c r="AE302" t="s">
        <v>235</v>
      </c>
      <c r="AF302" t="s">
        <v>235</v>
      </c>
      <c r="AG302" t="s">
        <v>235</v>
      </c>
      <c r="AH302" t="s">
        <v>235</v>
      </c>
      <c r="AI302" t="s">
        <v>235</v>
      </c>
      <c r="AJ302" t="s">
        <v>235</v>
      </c>
      <c r="AK302" t="s">
        <v>235</v>
      </c>
      <c r="AL302">
        <v>63366</v>
      </c>
    </row>
    <row r="303" spans="1:38" x14ac:dyDescent="0.25">
      <c r="A303" t="str">
        <f t="shared" ref="A303:A312" si="12">LEFT(W303,3)</f>
        <v>PWC</v>
      </c>
      <c r="C303" t="str">
        <f t="shared" ref="C303:C312" si="13">RIGHT(W303,3)</f>
        <v>002</v>
      </c>
      <c r="D303">
        <v>4</v>
      </c>
      <c r="I303">
        <f t="shared" ref="I303:I312" si="14">Y303</f>
        <v>109428</v>
      </c>
      <c r="K303" s="18">
        <v>41122.556250000001</v>
      </c>
      <c r="L303" s="19">
        <f t="shared" ref="L303:L312" si="15">AC303</f>
        <v>41122.38958333333</v>
      </c>
      <c r="M303" t="s">
        <v>161</v>
      </c>
      <c r="P303" t="s">
        <v>108</v>
      </c>
      <c r="Q303" t="s">
        <v>179</v>
      </c>
      <c r="R303" s="21" t="s">
        <v>108</v>
      </c>
      <c r="S303" s="32">
        <v>41122</v>
      </c>
      <c r="T303" t="s">
        <v>235</v>
      </c>
      <c r="U303" t="s">
        <v>235</v>
      </c>
      <c r="V303" t="s">
        <v>361</v>
      </c>
      <c r="W303" t="s">
        <v>295</v>
      </c>
      <c r="X303" t="s">
        <v>380</v>
      </c>
      <c r="Y303">
        <v>109428</v>
      </c>
      <c r="Z303" t="s">
        <v>235</v>
      </c>
      <c r="AA303" t="s">
        <v>381</v>
      </c>
      <c r="AB303" s="43">
        <v>0.38958333333333334</v>
      </c>
      <c r="AC303" s="45">
        <v>41122.38958333333</v>
      </c>
      <c r="AD303" t="s">
        <v>235</v>
      </c>
      <c r="AE303" t="s">
        <v>235</v>
      </c>
      <c r="AF303" t="s">
        <v>235</v>
      </c>
      <c r="AG303" t="s">
        <v>235</v>
      </c>
      <c r="AH303" t="s">
        <v>235</v>
      </c>
      <c r="AI303" t="s">
        <v>235</v>
      </c>
      <c r="AJ303" t="s">
        <v>235</v>
      </c>
      <c r="AK303" t="s">
        <v>235</v>
      </c>
      <c r="AL303">
        <v>63366</v>
      </c>
    </row>
    <row r="304" spans="1:38" x14ac:dyDescent="0.25">
      <c r="A304" t="str">
        <f t="shared" si="12"/>
        <v>SSM</v>
      </c>
      <c r="C304" t="str">
        <f t="shared" si="13"/>
        <v>002</v>
      </c>
      <c r="D304">
        <v>3</v>
      </c>
      <c r="I304">
        <f t="shared" si="14"/>
        <v>109945</v>
      </c>
      <c r="K304" s="18">
        <v>41122.563888888886</v>
      </c>
      <c r="L304" s="19">
        <f t="shared" si="15"/>
        <v>41122.397222222222</v>
      </c>
      <c r="M304" t="s">
        <v>161</v>
      </c>
      <c r="P304" t="s">
        <v>108</v>
      </c>
      <c r="Q304" t="s">
        <v>164</v>
      </c>
      <c r="R304" s="21" t="s">
        <v>108</v>
      </c>
      <c r="S304" s="32">
        <v>41122</v>
      </c>
      <c r="T304" t="s">
        <v>235</v>
      </c>
      <c r="U304" t="s">
        <v>235</v>
      </c>
      <c r="V304" t="s">
        <v>361</v>
      </c>
      <c r="W304" t="s">
        <v>255</v>
      </c>
      <c r="X304" t="s">
        <v>380</v>
      </c>
      <c r="Y304">
        <v>109945</v>
      </c>
      <c r="Z304" t="s">
        <v>235</v>
      </c>
      <c r="AA304" t="s">
        <v>381</v>
      </c>
      <c r="AB304" s="43">
        <v>0.3972222222222222</v>
      </c>
      <c r="AC304" s="45">
        <v>41122.397222222222</v>
      </c>
      <c r="AD304" t="s">
        <v>235</v>
      </c>
      <c r="AE304" t="s">
        <v>235</v>
      </c>
      <c r="AF304" t="s">
        <v>235</v>
      </c>
      <c r="AG304" t="s">
        <v>235</v>
      </c>
      <c r="AH304" t="s">
        <v>235</v>
      </c>
      <c r="AI304" t="s">
        <v>235</v>
      </c>
      <c r="AJ304" t="s">
        <v>235</v>
      </c>
      <c r="AK304" t="s">
        <v>235</v>
      </c>
      <c r="AL304">
        <v>63366</v>
      </c>
    </row>
    <row r="305" spans="1:38" x14ac:dyDescent="0.25">
      <c r="A305" t="str">
        <f t="shared" si="12"/>
        <v>FRC</v>
      </c>
      <c r="C305" t="str">
        <f t="shared" si="13"/>
        <v>002</v>
      </c>
      <c r="D305">
        <v>1</v>
      </c>
      <c r="I305">
        <f t="shared" si="14"/>
        <v>109905</v>
      </c>
      <c r="K305" s="18">
        <v>41122.625</v>
      </c>
      <c r="L305" s="19">
        <f t="shared" si="15"/>
        <v>41122.458333333336</v>
      </c>
      <c r="M305" t="s">
        <v>161</v>
      </c>
      <c r="P305" t="s">
        <v>108</v>
      </c>
      <c r="Q305" t="s">
        <v>179</v>
      </c>
      <c r="R305" s="21" t="s">
        <v>108</v>
      </c>
      <c r="S305" s="32">
        <v>41122</v>
      </c>
      <c r="T305" t="s">
        <v>235</v>
      </c>
      <c r="U305" t="s">
        <v>235</v>
      </c>
      <c r="V305" t="s">
        <v>361</v>
      </c>
      <c r="W305" t="s">
        <v>199</v>
      </c>
      <c r="X305" t="s">
        <v>380</v>
      </c>
      <c r="Y305">
        <v>109905</v>
      </c>
      <c r="Z305" t="s">
        <v>235</v>
      </c>
      <c r="AA305" t="s">
        <v>381</v>
      </c>
      <c r="AB305" s="43">
        <v>0.45833333333333331</v>
      </c>
      <c r="AC305" s="45">
        <v>41122.458333333336</v>
      </c>
      <c r="AD305" t="s">
        <v>235</v>
      </c>
      <c r="AE305" t="s">
        <v>235</v>
      </c>
      <c r="AF305" t="s">
        <v>235</v>
      </c>
      <c r="AG305" t="s">
        <v>235</v>
      </c>
      <c r="AH305" t="s">
        <v>235</v>
      </c>
      <c r="AI305" t="s">
        <v>235</v>
      </c>
      <c r="AJ305" t="s">
        <v>235</v>
      </c>
      <c r="AK305" t="s">
        <v>235</v>
      </c>
      <c r="AL305">
        <v>63366</v>
      </c>
    </row>
    <row r="306" spans="1:38" x14ac:dyDescent="0.25">
      <c r="A306" t="str">
        <f t="shared" si="12"/>
        <v>FRC</v>
      </c>
      <c r="C306" t="str">
        <f t="shared" si="13"/>
        <v>001</v>
      </c>
      <c r="D306">
        <v>1</v>
      </c>
      <c r="I306">
        <f t="shared" si="14"/>
        <v>113218</v>
      </c>
      <c r="K306" s="18">
        <v>41122.636111111111</v>
      </c>
      <c r="L306" s="19">
        <f t="shared" si="15"/>
        <v>41122.469444444447</v>
      </c>
      <c r="M306" t="s">
        <v>161</v>
      </c>
      <c r="P306" t="s">
        <v>108</v>
      </c>
      <c r="Q306" t="s">
        <v>179</v>
      </c>
      <c r="R306" s="21" t="s">
        <v>108</v>
      </c>
      <c r="S306" s="32">
        <v>41122</v>
      </c>
      <c r="T306" t="s">
        <v>235</v>
      </c>
      <c r="U306" t="s">
        <v>235</v>
      </c>
      <c r="V306" t="s">
        <v>361</v>
      </c>
      <c r="W306" t="s">
        <v>200</v>
      </c>
      <c r="X306" t="s">
        <v>380</v>
      </c>
      <c r="Y306">
        <v>113218</v>
      </c>
      <c r="Z306" t="s">
        <v>235</v>
      </c>
      <c r="AA306" t="s">
        <v>381</v>
      </c>
      <c r="AB306" s="43">
        <v>0.4694444444444445</v>
      </c>
      <c r="AC306" s="45">
        <v>41122.469444444447</v>
      </c>
      <c r="AD306" t="s">
        <v>235</v>
      </c>
      <c r="AE306" t="s">
        <v>235</v>
      </c>
      <c r="AF306" t="s">
        <v>235</v>
      </c>
      <c r="AG306" t="s">
        <v>235</v>
      </c>
      <c r="AH306" t="s">
        <v>235</v>
      </c>
      <c r="AI306" t="s">
        <v>235</v>
      </c>
      <c r="AJ306" t="s">
        <v>235</v>
      </c>
      <c r="AK306" t="s">
        <v>235</v>
      </c>
      <c r="AL306">
        <v>63366</v>
      </c>
    </row>
    <row r="307" spans="1:38" x14ac:dyDescent="0.25">
      <c r="A307" t="str">
        <f t="shared" si="12"/>
        <v>LRC</v>
      </c>
      <c r="C307" t="str">
        <f t="shared" si="13"/>
        <v>004</v>
      </c>
      <c r="D307">
        <v>3</v>
      </c>
      <c r="I307">
        <f t="shared" si="14"/>
        <v>109993</v>
      </c>
      <c r="K307" s="18">
        <v>41123.552083333336</v>
      </c>
      <c r="L307" s="19">
        <f t="shared" si="15"/>
        <v>41123.385416666664</v>
      </c>
      <c r="M307" t="s">
        <v>161</v>
      </c>
      <c r="P307" t="s">
        <v>108</v>
      </c>
      <c r="Q307" t="s">
        <v>164</v>
      </c>
      <c r="R307" s="21" t="s">
        <v>108</v>
      </c>
      <c r="S307" s="32">
        <v>41123</v>
      </c>
      <c r="T307" t="s">
        <v>235</v>
      </c>
      <c r="U307" t="s">
        <v>235</v>
      </c>
      <c r="V307" t="s">
        <v>361</v>
      </c>
      <c r="W307" t="s">
        <v>288</v>
      </c>
      <c r="X307" t="s">
        <v>380</v>
      </c>
      <c r="Y307">
        <v>109993</v>
      </c>
      <c r="Z307" t="s">
        <v>235</v>
      </c>
      <c r="AA307" t="s">
        <v>381</v>
      </c>
      <c r="AB307" s="43">
        <v>0.38541666666666669</v>
      </c>
      <c r="AC307" s="45">
        <v>41123.385416666664</v>
      </c>
      <c r="AD307" t="s">
        <v>235</v>
      </c>
      <c r="AE307" t="s">
        <v>235</v>
      </c>
      <c r="AF307" t="s">
        <v>235</v>
      </c>
      <c r="AG307" t="s">
        <v>235</v>
      </c>
      <c r="AH307" t="s">
        <v>235</v>
      </c>
      <c r="AI307" t="s">
        <v>235</v>
      </c>
      <c r="AJ307" t="s">
        <v>235</v>
      </c>
      <c r="AK307" t="s">
        <v>235</v>
      </c>
      <c r="AL307">
        <v>1143</v>
      </c>
    </row>
    <row r="308" spans="1:38" x14ac:dyDescent="0.25">
      <c r="A308" t="str">
        <f t="shared" si="12"/>
        <v>STR</v>
      </c>
      <c r="C308" t="str">
        <f t="shared" si="13"/>
        <v>001</v>
      </c>
      <c r="D308">
        <v>3</v>
      </c>
      <c r="I308">
        <f t="shared" si="14"/>
        <v>109936</v>
      </c>
      <c r="K308" s="18">
        <v>41123.708333333336</v>
      </c>
      <c r="L308" s="19">
        <f t="shared" si="15"/>
        <v>41123.541666666664</v>
      </c>
      <c r="M308" t="s">
        <v>161</v>
      </c>
      <c r="P308" t="s">
        <v>108</v>
      </c>
      <c r="Q308" t="s">
        <v>179</v>
      </c>
      <c r="R308" s="21" t="s">
        <v>108</v>
      </c>
      <c r="S308" s="32">
        <v>41123</v>
      </c>
      <c r="T308" t="s">
        <v>235</v>
      </c>
      <c r="U308" t="s">
        <v>235</v>
      </c>
      <c r="V308" t="s">
        <v>361</v>
      </c>
      <c r="W308" t="s">
        <v>231</v>
      </c>
      <c r="X308" t="s">
        <v>380</v>
      </c>
      <c r="Y308">
        <v>109936</v>
      </c>
      <c r="Z308" t="s">
        <v>235</v>
      </c>
      <c r="AA308" t="s">
        <v>381</v>
      </c>
      <c r="AB308" s="43">
        <v>0.54166666666666663</v>
      </c>
      <c r="AC308" s="45">
        <v>41123.541666666664</v>
      </c>
      <c r="AD308" t="s">
        <v>235</v>
      </c>
      <c r="AE308" t="s">
        <v>235</v>
      </c>
      <c r="AF308" t="s">
        <v>235</v>
      </c>
      <c r="AG308" t="s">
        <v>235</v>
      </c>
      <c r="AH308" t="s">
        <v>235</v>
      </c>
      <c r="AI308" t="s">
        <v>235</v>
      </c>
      <c r="AJ308" t="s">
        <v>235</v>
      </c>
      <c r="AK308" t="s">
        <v>235</v>
      </c>
      <c r="AL308">
        <v>1143</v>
      </c>
    </row>
    <row r="309" spans="1:38" x14ac:dyDescent="0.25">
      <c r="A309" t="str">
        <f t="shared" si="12"/>
        <v>STR</v>
      </c>
      <c r="C309" t="str">
        <f t="shared" si="13"/>
        <v>002</v>
      </c>
      <c r="D309">
        <v>3</v>
      </c>
      <c r="I309">
        <f t="shared" si="14"/>
        <v>109457</v>
      </c>
      <c r="K309" s="18">
        <v>41123.724305555559</v>
      </c>
      <c r="L309" s="19">
        <f t="shared" si="15"/>
        <v>41123.557638888888</v>
      </c>
      <c r="M309" t="s">
        <v>161</v>
      </c>
      <c r="P309" t="s">
        <v>108</v>
      </c>
      <c r="Q309" t="s">
        <v>179</v>
      </c>
      <c r="R309" s="21" t="s">
        <v>108</v>
      </c>
      <c r="S309" s="32">
        <v>41123</v>
      </c>
      <c r="T309" t="s">
        <v>235</v>
      </c>
      <c r="U309" t="s">
        <v>235</v>
      </c>
      <c r="V309" t="s">
        <v>361</v>
      </c>
      <c r="W309" t="s">
        <v>230</v>
      </c>
      <c r="X309" t="s">
        <v>380</v>
      </c>
      <c r="Y309">
        <v>109457</v>
      </c>
      <c r="Z309" t="s">
        <v>235</v>
      </c>
      <c r="AA309" t="s">
        <v>381</v>
      </c>
      <c r="AB309" s="43">
        <v>0.55763888888888891</v>
      </c>
      <c r="AC309" s="45">
        <v>41123.557638888888</v>
      </c>
      <c r="AD309" t="s">
        <v>235</v>
      </c>
      <c r="AE309" t="s">
        <v>235</v>
      </c>
      <c r="AF309" t="s">
        <v>235</v>
      </c>
      <c r="AG309" t="s">
        <v>235</v>
      </c>
      <c r="AH309" t="s">
        <v>235</v>
      </c>
      <c r="AI309" t="s">
        <v>235</v>
      </c>
      <c r="AJ309" t="s">
        <v>235</v>
      </c>
      <c r="AK309" t="s">
        <v>235</v>
      </c>
      <c r="AL309">
        <v>1143</v>
      </c>
    </row>
    <row r="310" spans="1:38" x14ac:dyDescent="0.25">
      <c r="A310" t="str">
        <f t="shared" si="12"/>
        <v>GRD</v>
      </c>
      <c r="C310" t="str">
        <f t="shared" si="13"/>
        <v>001</v>
      </c>
      <c r="D310">
        <v>5</v>
      </c>
      <c r="I310">
        <f t="shared" si="14"/>
        <v>109997</v>
      </c>
      <c r="K310" s="18">
        <v>41123.781944444447</v>
      </c>
      <c r="L310" s="19">
        <f t="shared" si="15"/>
        <v>41123.615277777775</v>
      </c>
      <c r="M310" t="s">
        <v>161</v>
      </c>
      <c r="P310" t="s">
        <v>108</v>
      </c>
      <c r="Q310" t="s">
        <v>164</v>
      </c>
      <c r="R310" s="21" t="s">
        <v>108</v>
      </c>
      <c r="S310" s="32">
        <v>41123</v>
      </c>
      <c r="T310" t="s">
        <v>235</v>
      </c>
      <c r="U310" t="s">
        <v>235</v>
      </c>
      <c r="V310" t="s">
        <v>361</v>
      </c>
      <c r="W310" t="s">
        <v>209</v>
      </c>
      <c r="X310" t="s">
        <v>380</v>
      </c>
      <c r="Y310">
        <v>109997</v>
      </c>
      <c r="Z310" t="s">
        <v>235</v>
      </c>
      <c r="AA310" t="s">
        <v>381</v>
      </c>
      <c r="AB310" s="43">
        <v>0.61527777777777781</v>
      </c>
      <c r="AC310" s="45">
        <f>S310+AB310</f>
        <v>41123.615277777775</v>
      </c>
      <c r="AD310" t="s">
        <v>235</v>
      </c>
      <c r="AE310" t="s">
        <v>235</v>
      </c>
      <c r="AF310" t="s">
        <v>235</v>
      </c>
      <c r="AG310" t="s">
        <v>235</v>
      </c>
      <c r="AH310" t="s">
        <v>235</v>
      </c>
      <c r="AI310" t="s">
        <v>235</v>
      </c>
      <c r="AJ310" t="s">
        <v>235</v>
      </c>
      <c r="AK310" t="s">
        <v>235</v>
      </c>
      <c r="AL310">
        <v>1143</v>
      </c>
    </row>
    <row r="311" spans="1:38" x14ac:dyDescent="0.25">
      <c r="A311" t="str">
        <f t="shared" si="12"/>
        <v>MNB</v>
      </c>
      <c r="C311" t="str">
        <f t="shared" si="13"/>
        <v>004</v>
      </c>
      <c r="D311">
        <v>2</v>
      </c>
      <c r="I311">
        <f t="shared" si="14"/>
        <v>109968</v>
      </c>
      <c r="K311" s="18">
        <v>41144.779166666667</v>
      </c>
      <c r="L311" s="19">
        <f t="shared" si="15"/>
        <v>41144.612500000003</v>
      </c>
      <c r="M311" t="s">
        <v>161</v>
      </c>
      <c r="P311" t="s">
        <v>108</v>
      </c>
      <c r="Q311" t="s">
        <v>164</v>
      </c>
      <c r="R311" s="21" t="s">
        <v>108</v>
      </c>
      <c r="S311" s="32">
        <v>41144</v>
      </c>
      <c r="T311" t="s">
        <v>235</v>
      </c>
      <c r="U311" t="s">
        <v>235</v>
      </c>
      <c r="V311" t="s">
        <v>361</v>
      </c>
      <c r="W311" t="s">
        <v>280</v>
      </c>
      <c r="X311" t="s">
        <v>380</v>
      </c>
      <c r="Y311">
        <v>109968</v>
      </c>
      <c r="Z311" t="s">
        <v>235</v>
      </c>
      <c r="AA311" t="s">
        <v>381</v>
      </c>
      <c r="AB311" s="43">
        <v>0.61249999999999993</v>
      </c>
      <c r="AC311" s="45">
        <v>41144.612500000003</v>
      </c>
      <c r="AD311" t="s">
        <v>235</v>
      </c>
      <c r="AE311" t="s">
        <v>235</v>
      </c>
      <c r="AF311" t="s">
        <v>235</v>
      </c>
      <c r="AG311" t="s">
        <v>235</v>
      </c>
      <c r="AH311" t="s">
        <v>235</v>
      </c>
      <c r="AI311" t="s">
        <v>235</v>
      </c>
      <c r="AJ311" t="s">
        <v>235</v>
      </c>
      <c r="AK311" t="s">
        <v>235</v>
      </c>
    </row>
    <row r="312" spans="1:38" x14ac:dyDescent="0.25">
      <c r="A312" t="str">
        <f t="shared" si="12"/>
        <v>SSM</v>
      </c>
      <c r="C312" t="str">
        <f t="shared" si="13"/>
        <v>022</v>
      </c>
      <c r="D312">
        <v>1</v>
      </c>
      <c r="I312">
        <f t="shared" si="14"/>
        <v>109942</v>
      </c>
      <c r="K312" s="18">
        <v>41144.856249999997</v>
      </c>
      <c r="L312" s="19">
        <f t="shared" si="15"/>
        <v>41144.689583333333</v>
      </c>
      <c r="M312" t="s">
        <v>161</v>
      </c>
      <c r="P312" t="s">
        <v>108</v>
      </c>
      <c r="Q312" t="s">
        <v>164</v>
      </c>
      <c r="R312" s="21" t="s">
        <v>108</v>
      </c>
      <c r="S312" s="32">
        <v>41144</v>
      </c>
      <c r="T312" t="s">
        <v>235</v>
      </c>
      <c r="U312" t="s">
        <v>235</v>
      </c>
      <c r="V312" t="s">
        <v>361</v>
      </c>
      <c r="W312" t="s">
        <v>257</v>
      </c>
      <c r="X312" t="s">
        <v>380</v>
      </c>
      <c r="Y312">
        <v>109942</v>
      </c>
      <c r="Z312" t="s">
        <v>235</v>
      </c>
      <c r="AA312" t="s">
        <v>381</v>
      </c>
      <c r="AB312" s="43">
        <v>0.68958333333333333</v>
      </c>
      <c r="AC312" s="45">
        <v>41144.689583333333</v>
      </c>
      <c r="AD312" t="s">
        <v>235</v>
      </c>
      <c r="AE312" t="s">
        <v>235</v>
      </c>
      <c r="AF312" t="s">
        <v>235</v>
      </c>
      <c r="AG312" t="s">
        <v>235</v>
      </c>
      <c r="AH312" t="s">
        <v>235</v>
      </c>
      <c r="AI312" t="s">
        <v>235</v>
      </c>
      <c r="AJ312" t="s">
        <v>235</v>
      </c>
      <c r="AK312" t="s">
        <v>235</v>
      </c>
    </row>
    <row r="313" spans="1:38" x14ac:dyDescent="0.25">
      <c r="A313" t="s">
        <v>158</v>
      </c>
      <c r="C313" t="s">
        <v>183</v>
      </c>
      <c r="D313">
        <v>4</v>
      </c>
      <c r="I313">
        <v>109505</v>
      </c>
      <c r="K313" s="18">
        <v>41430.610636574071</v>
      </c>
      <c r="L313" s="19">
        <v>41430.443969907406</v>
      </c>
      <c r="M313" t="s">
        <v>161</v>
      </c>
      <c r="P313" t="s">
        <v>108</v>
      </c>
      <c r="Q313" t="s">
        <v>179</v>
      </c>
    </row>
    <row r="314" spans="1:38" x14ac:dyDescent="0.25">
      <c r="A314" t="s">
        <v>134</v>
      </c>
      <c r="C314" t="s">
        <v>183</v>
      </c>
      <c r="D314">
        <v>4</v>
      </c>
      <c r="I314">
        <v>109993</v>
      </c>
      <c r="K314" s="18">
        <v>41430.612118055556</v>
      </c>
      <c r="L314" s="19">
        <v>41430.445451388892</v>
      </c>
      <c r="M314" t="s">
        <v>161</v>
      </c>
      <c r="P314" t="s">
        <v>108</v>
      </c>
      <c r="Q314" t="s">
        <v>179</v>
      </c>
    </row>
    <row r="315" spans="1:38" x14ac:dyDescent="0.25">
      <c r="A315" s="39" t="s">
        <v>120</v>
      </c>
      <c r="C315" s="39" t="s">
        <v>178</v>
      </c>
      <c r="D315">
        <v>4</v>
      </c>
      <c r="I315" s="39">
        <v>109431</v>
      </c>
      <c r="K315" s="18">
        <v>41430.721134259256</v>
      </c>
      <c r="L315" s="19">
        <v>41430.554467592592</v>
      </c>
      <c r="M315" s="39" t="s">
        <v>161</v>
      </c>
      <c r="P315" s="39" t="s">
        <v>108</v>
      </c>
      <c r="Q315" s="39" t="s">
        <v>179</v>
      </c>
      <c r="T315" s="39"/>
      <c r="U315" s="39"/>
      <c r="V315" s="39"/>
      <c r="W315" s="39"/>
      <c r="X315" s="39"/>
      <c r="Y315" s="39"/>
      <c r="Z315" s="39"/>
      <c r="AA315" s="39"/>
      <c r="AD315" s="39"/>
      <c r="AE315" s="39"/>
      <c r="AF315" s="39"/>
      <c r="AG315" s="39"/>
      <c r="AH315" s="39"/>
      <c r="AI315" s="39"/>
      <c r="AJ315" s="39"/>
      <c r="AK315" s="39"/>
      <c r="AL315" s="39"/>
    </row>
    <row r="316" spans="1:38" x14ac:dyDescent="0.25">
      <c r="A316" s="39" t="s">
        <v>120</v>
      </c>
      <c r="C316" s="39" t="s">
        <v>176</v>
      </c>
      <c r="D316">
        <v>2</v>
      </c>
      <c r="I316" s="39">
        <v>109877</v>
      </c>
      <c r="K316" s="18">
        <v>41430.722430555557</v>
      </c>
      <c r="L316" s="19">
        <v>41430.555763888886</v>
      </c>
      <c r="M316" s="39" t="s">
        <v>161</v>
      </c>
      <c r="P316" s="39" t="s">
        <v>108</v>
      </c>
      <c r="Q316" s="39" t="s">
        <v>179</v>
      </c>
      <c r="T316" s="39"/>
      <c r="U316" s="39"/>
      <c r="V316" s="39"/>
      <c r="W316" s="39"/>
      <c r="X316" s="39"/>
      <c r="Y316" s="39"/>
      <c r="Z316" s="39"/>
      <c r="AA316" s="39"/>
      <c r="AD316" s="39"/>
      <c r="AE316" s="39"/>
      <c r="AF316" s="39"/>
      <c r="AG316" s="39"/>
      <c r="AH316" s="39"/>
      <c r="AI316" s="39"/>
      <c r="AJ316" s="39"/>
      <c r="AK316" s="39"/>
      <c r="AL316" s="39"/>
    </row>
    <row r="317" spans="1:38" x14ac:dyDescent="0.25">
      <c r="A317" s="39" t="str">
        <f>LEFT(W317,3)</f>
        <v>LRC</v>
      </c>
      <c r="B317" s="39"/>
      <c r="C317" s="39" t="str">
        <f>RIGHT(W317,3)</f>
        <v>004</v>
      </c>
      <c r="D317" s="39">
        <v>5</v>
      </c>
      <c r="E317" s="39"/>
      <c r="F317" s="39"/>
      <c r="G317" s="39"/>
      <c r="H317" s="39"/>
      <c r="I317" s="39">
        <f>Y317</f>
        <v>109947</v>
      </c>
      <c r="J317" s="39"/>
      <c r="K317" s="18">
        <v>41824.683333333334</v>
      </c>
      <c r="L317" s="19">
        <f>AC317</f>
        <v>41824.51666666667</v>
      </c>
      <c r="M317" s="39" t="s">
        <v>161</v>
      </c>
      <c r="N317" s="39"/>
      <c r="O317" s="39"/>
      <c r="P317" s="39" t="s">
        <v>108</v>
      </c>
      <c r="Q317" s="39" t="s">
        <v>179</v>
      </c>
      <c r="R317" s="21" t="s">
        <v>108</v>
      </c>
      <c r="S317" s="32">
        <v>41824</v>
      </c>
      <c r="T317" t="s">
        <v>379</v>
      </c>
      <c r="U317" t="s">
        <v>445</v>
      </c>
      <c r="V317" t="s">
        <v>361</v>
      </c>
      <c r="W317" t="s">
        <v>288</v>
      </c>
      <c r="X317" t="s">
        <v>380</v>
      </c>
      <c r="Y317">
        <v>109947</v>
      </c>
      <c r="Z317" t="s">
        <v>235</v>
      </c>
      <c r="AA317" t="s">
        <v>381</v>
      </c>
      <c r="AB317" s="43">
        <v>0.51666666666666672</v>
      </c>
      <c r="AC317" s="45">
        <f>S317+AB317</f>
        <v>41824.51666666667</v>
      </c>
      <c r="AD317" s="39" t="s">
        <v>235</v>
      </c>
      <c r="AE317" s="39" t="s">
        <v>235</v>
      </c>
      <c r="AF317" s="39" t="s">
        <v>235</v>
      </c>
      <c r="AG317" s="39" t="s">
        <v>235</v>
      </c>
      <c r="AH317" s="39" t="s">
        <v>235</v>
      </c>
      <c r="AI317" s="39" t="s">
        <v>235</v>
      </c>
      <c r="AJ317" s="39" t="s">
        <v>235</v>
      </c>
      <c r="AK317" s="39" t="s">
        <v>235</v>
      </c>
      <c r="AL317" t="s">
        <v>235</v>
      </c>
    </row>
    <row r="318" spans="1:38" x14ac:dyDescent="0.25">
      <c r="A318" s="39" t="str">
        <f>LEFT(W318,3)</f>
        <v>DCK</v>
      </c>
      <c r="B318" s="39"/>
      <c r="C318" s="39" t="str">
        <f>RIGHT(W318,3)</f>
        <v>003</v>
      </c>
      <c r="D318" s="39">
        <v>3</v>
      </c>
      <c r="E318" s="39"/>
      <c r="F318" s="39"/>
      <c r="G318" s="39"/>
      <c r="H318" s="39"/>
      <c r="I318" s="39">
        <f>Y318</f>
        <v>119322</v>
      </c>
      <c r="J318" s="39"/>
      <c r="K318" s="18">
        <v>41824.715277777781</v>
      </c>
      <c r="L318" s="19">
        <f>AC318</f>
        <v>41824.548611111109</v>
      </c>
      <c r="M318" s="39" t="s">
        <v>161</v>
      </c>
      <c r="N318" s="39"/>
      <c r="O318" s="39"/>
      <c r="P318" s="39" t="s">
        <v>108</v>
      </c>
      <c r="Q318" s="39" t="s">
        <v>179</v>
      </c>
      <c r="R318" s="21" t="s">
        <v>108</v>
      </c>
      <c r="S318" s="32">
        <v>41824</v>
      </c>
      <c r="T318" s="39" t="s">
        <v>379</v>
      </c>
      <c r="U318" s="39" t="s">
        <v>445</v>
      </c>
      <c r="V318" s="1" t="s">
        <v>361</v>
      </c>
      <c r="W318" s="1" t="s">
        <v>224</v>
      </c>
      <c r="X318" s="1" t="s">
        <v>380</v>
      </c>
      <c r="Y318">
        <v>119322</v>
      </c>
      <c r="Z318" t="s">
        <v>235</v>
      </c>
      <c r="AA318" t="s">
        <v>381</v>
      </c>
      <c r="AB318" s="43">
        <v>0.54861111111111105</v>
      </c>
      <c r="AC318" s="45">
        <f>S318+AB318</f>
        <v>41824.548611111109</v>
      </c>
      <c r="AD318" s="39" t="s">
        <v>235</v>
      </c>
      <c r="AE318" s="39" t="s">
        <v>235</v>
      </c>
      <c r="AF318" s="39" t="s">
        <v>235</v>
      </c>
      <c r="AG318" s="39" t="s">
        <v>235</v>
      </c>
      <c r="AH318" s="39" t="s">
        <v>235</v>
      </c>
      <c r="AI318" s="39" t="s">
        <v>235</v>
      </c>
      <c r="AJ318" s="39" t="s">
        <v>235</v>
      </c>
      <c r="AK318" s="39" t="s">
        <v>235</v>
      </c>
      <c r="AL318" t="s">
        <v>235</v>
      </c>
    </row>
    <row r="319" spans="1:38" x14ac:dyDescent="0.25">
      <c r="A319" s="39" t="str">
        <f>LEFT(W319,3)</f>
        <v>DCK</v>
      </c>
      <c r="B319" s="39"/>
      <c r="C319" s="39" t="str">
        <f>RIGHT(W319,3)</f>
        <v>001</v>
      </c>
      <c r="D319" s="39">
        <v>5</v>
      </c>
      <c r="E319" s="39"/>
      <c r="F319" s="39"/>
      <c r="G319" s="39"/>
      <c r="H319" s="39"/>
      <c r="I319" s="39">
        <f>Y319</f>
        <v>109498</v>
      </c>
      <c r="J319" s="39"/>
      <c r="K319" s="18">
        <v>41824.72152777778</v>
      </c>
      <c r="L319" s="19">
        <f>AC319</f>
        <v>41824.554861111108</v>
      </c>
      <c r="M319" s="39" t="s">
        <v>161</v>
      </c>
      <c r="N319" s="39"/>
      <c r="O319" s="39"/>
      <c r="P319" s="39" t="s">
        <v>108</v>
      </c>
      <c r="Q319" s="39" t="s">
        <v>179</v>
      </c>
      <c r="R319" s="21" t="s">
        <v>108</v>
      </c>
      <c r="S319" s="32">
        <v>41824</v>
      </c>
      <c r="T319" s="39" t="s">
        <v>379</v>
      </c>
      <c r="U319" s="39" t="s">
        <v>445</v>
      </c>
      <c r="V319" s="1" t="s">
        <v>361</v>
      </c>
      <c r="W319" s="1" t="s">
        <v>221</v>
      </c>
      <c r="X319" s="1" t="s">
        <v>380</v>
      </c>
      <c r="Y319">
        <v>109498</v>
      </c>
      <c r="Z319" t="s">
        <v>235</v>
      </c>
      <c r="AA319" t="s">
        <v>381</v>
      </c>
      <c r="AB319" s="43">
        <v>0.55486111111111114</v>
      </c>
      <c r="AC319" s="45">
        <f>S319+AB319</f>
        <v>41824.554861111108</v>
      </c>
      <c r="AD319" s="39" t="s">
        <v>235</v>
      </c>
      <c r="AE319" s="39" t="s">
        <v>235</v>
      </c>
      <c r="AF319" s="39" t="s">
        <v>235</v>
      </c>
      <c r="AG319" s="39" t="s">
        <v>235</v>
      </c>
      <c r="AH319" s="39" t="s">
        <v>235</v>
      </c>
      <c r="AI319" s="39" t="s">
        <v>235</v>
      </c>
      <c r="AJ319" s="39" t="s">
        <v>235</v>
      </c>
      <c r="AK319" s="39" t="s">
        <v>235</v>
      </c>
      <c r="AL319" t="s">
        <v>235</v>
      </c>
    </row>
    <row r="320" spans="1:38" x14ac:dyDescent="0.25">
      <c r="A320" s="39" t="str">
        <f>LEFT(W320,3)</f>
        <v>MNB</v>
      </c>
      <c r="B320" s="39"/>
      <c r="C320" s="39" t="str">
        <f>RIGHT(W320,3)</f>
        <v>010</v>
      </c>
      <c r="D320" s="39">
        <v>1</v>
      </c>
      <c r="E320" s="39"/>
      <c r="F320" s="39"/>
      <c r="G320" s="39"/>
      <c r="H320" s="39"/>
      <c r="I320" s="39">
        <f>Y320</f>
        <v>109495</v>
      </c>
      <c r="J320" s="39"/>
      <c r="K320" s="18">
        <v>41824.73333333333</v>
      </c>
      <c r="L320" s="19">
        <f>AC320</f>
        <v>41824.566666666666</v>
      </c>
      <c r="M320" s="39" t="s">
        <v>161</v>
      </c>
      <c r="N320" s="39"/>
      <c r="O320" s="39"/>
      <c r="P320" s="39" t="s">
        <v>108</v>
      </c>
      <c r="Q320" s="39" t="s">
        <v>179</v>
      </c>
      <c r="R320" s="21" t="s">
        <v>108</v>
      </c>
      <c r="S320" s="32">
        <v>41824</v>
      </c>
      <c r="T320" s="39" t="s">
        <v>379</v>
      </c>
      <c r="U320" s="39" t="s">
        <v>445</v>
      </c>
      <c r="V320" s="1" t="s">
        <v>361</v>
      </c>
      <c r="W320" s="1" t="s">
        <v>438</v>
      </c>
      <c r="X320" s="1" t="s">
        <v>380</v>
      </c>
      <c r="Y320">
        <v>109495</v>
      </c>
      <c r="Z320" t="s">
        <v>235</v>
      </c>
      <c r="AA320" t="s">
        <v>381</v>
      </c>
      <c r="AB320" s="43">
        <v>0.56666666666666665</v>
      </c>
      <c r="AC320" s="45">
        <f>S320+AB320</f>
        <v>41824.566666666666</v>
      </c>
      <c r="AD320" s="39" t="s">
        <v>235</v>
      </c>
      <c r="AE320" s="39" t="s">
        <v>235</v>
      </c>
      <c r="AF320" s="39" t="s">
        <v>235</v>
      </c>
      <c r="AG320" s="39" t="s">
        <v>235</v>
      </c>
      <c r="AH320" s="39" t="s">
        <v>235</v>
      </c>
      <c r="AI320" s="39" t="s">
        <v>235</v>
      </c>
      <c r="AJ320" s="39" t="s">
        <v>235</v>
      </c>
      <c r="AK320" s="39" t="s">
        <v>235</v>
      </c>
      <c r="AL320" t="s">
        <v>235</v>
      </c>
    </row>
    <row r="321" spans="1:38" x14ac:dyDescent="0.25">
      <c r="A321" t="str">
        <f>LEFT(W321,3)</f>
        <v>MNB</v>
      </c>
      <c r="C321" s="39" t="str">
        <f>RIGHT(W321,3)</f>
        <v>011</v>
      </c>
      <c r="D321">
        <v>1</v>
      </c>
      <c r="I321">
        <f>Y321</f>
        <v>113213</v>
      </c>
      <c r="K321" s="18">
        <v>41877.609027777777</v>
      </c>
      <c r="L321" s="19">
        <f>AC321</f>
        <v>41877.442361111112</v>
      </c>
      <c r="M321" s="39" t="s">
        <v>161</v>
      </c>
      <c r="P321" s="39" t="s">
        <v>108</v>
      </c>
      <c r="Q321" s="39" t="s">
        <v>179</v>
      </c>
      <c r="R321" s="21" t="s">
        <v>108</v>
      </c>
      <c r="S321" s="32">
        <v>41877</v>
      </c>
      <c r="T321" t="s">
        <v>235</v>
      </c>
      <c r="U321" t="s">
        <v>235</v>
      </c>
      <c r="V321" s="1" t="s">
        <v>361</v>
      </c>
      <c r="W321" s="1" t="s">
        <v>437</v>
      </c>
      <c r="X321" s="1" t="s">
        <v>380</v>
      </c>
      <c r="Y321">
        <v>113213</v>
      </c>
      <c r="Z321" t="s">
        <v>235</v>
      </c>
      <c r="AA321" t="s">
        <v>381</v>
      </c>
      <c r="AB321" s="43">
        <v>0.44236111111111115</v>
      </c>
      <c r="AC321" s="45">
        <f>S321+AB321</f>
        <v>41877.442361111112</v>
      </c>
      <c r="AD321" t="s">
        <v>235</v>
      </c>
      <c r="AE321" t="s">
        <v>235</v>
      </c>
      <c r="AF321" t="s">
        <v>235</v>
      </c>
      <c r="AG321" t="s">
        <v>235</v>
      </c>
      <c r="AH321" t="s">
        <v>235</v>
      </c>
      <c r="AI321" t="s">
        <v>235</v>
      </c>
      <c r="AJ321" t="s">
        <v>235</v>
      </c>
      <c r="AK321" t="s">
        <v>235</v>
      </c>
      <c r="AL321" t="s">
        <v>235</v>
      </c>
    </row>
  </sheetData>
  <sortState ref="A3:AM320">
    <sortCondition ref="L2:L320"/>
  </sortState>
  <customSheetViews>
    <customSheetView guid="{E035D73C-6DE8-4728-BCA6-2ACE00DC88C2}">
      <selection activeCell="F12" sqref="F12"/>
      <pageMargins left="0.7" right="0.7" top="0.75" bottom="0.75" header="0.3" footer="0.3"/>
    </customSheetView>
    <customSheetView guid="{0B94B745-F070-4122-A4FD-5713832B364A}">
      <selection activeCell="F12" sqref="F12"/>
      <pageMargins left="0.7" right="0.7" top="0.75" bottom="0.75" header="0.3" footer="0.3"/>
    </customSheetView>
    <customSheetView guid="{EFF2F100-1E68-4EDA-87D3-99AEFF2EEB3E}">
      <pageMargins left="0.7" right="0.7" top="0.75" bottom="0.75" header="0.3" footer="0.3"/>
    </customSheetView>
    <customSheetView guid="{775315B8-81A0-46D0-A21B-5042A6D17E8A}" hiddenColumns="1">
      <pageMargins left="0.7" right="0.7" top="0.75" bottom="0.75" header="0.3" footer="0.3"/>
    </customSheetView>
    <customSheetView guid="{30D09489-9F7F-4F99-80CC-972D52CE044F}">
      <selection activeCell="A2" sqref="A2:R2"/>
      <pageMargins left="0.7" right="0.7" top="0.75" bottom="0.75" header="0.3" footer="0.3"/>
    </customSheetView>
    <customSheetView guid="{732025B7-2BD2-4974-B1FD-67C3CE0944B1}">
      <selection activeCell="M3" sqref="M3:M1048576"/>
      <pageMargins left="0.7" right="0.7" top="0.75" bottom="0.75" header="0.3" footer="0.3"/>
    </customSheetView>
    <customSheetView guid="{4A0EEECC-BF7F-4C3E-AC2A-DEB5263DBBAE}" hiddenColumns="1">
      <selection activeCell="N33" sqref="N33"/>
      <pageMargins left="0.7" right="0.7" top="0.75" bottom="0.75" header="0.3" footer="0.3"/>
    </customSheetView>
    <customSheetView guid="{BECCC96E-1854-41BE-8C23-F96A36206D6D}">
      <pane ySplit="2" topLeftCell="A3" activePane="bottomLeft" state="frozenSplit"/>
      <selection pane="bottomLeft" activeCell="R15" sqref="R15"/>
      <pageMargins left="0.7" right="0.7" top="0.75" bottom="0.75" header="0.3" footer="0.3"/>
    </customSheetView>
    <customSheetView guid="{BFE66E2E-FE12-4330-B1B7-C7EB0B371589}" hiddenColumns="1">
      <pane ySplit="2" topLeftCell="A3" activePane="bottomLeft" state="frozenSplit"/>
      <selection pane="bottomLeft" activeCell="R15" sqref="R15"/>
      <pageMargins left="0.7" right="0.7" top="0.75" bottom="0.75" header="0.3" footer="0.3"/>
    </customSheetView>
  </customSheetViews>
  <mergeCells count="1">
    <mergeCell ref="A1:Q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heckBox1">
          <controlPr autoLine="0" r:id="rId4">
            <anchor moveWithCells="1">
              <from>
                <xdr:col>0</xdr:col>
                <xdr:colOff>28575</xdr:colOff>
                <xdr:row>0</xdr:row>
                <xdr:rowOff>304800</xdr:rowOff>
              </from>
              <to>
                <xdr:col>2</xdr:col>
                <xdr:colOff>152400</xdr:colOff>
                <xdr:row>0</xdr:row>
                <xdr:rowOff>571500</xdr:rowOff>
              </to>
            </anchor>
          </controlPr>
        </control>
      </mc:Choice>
      <mc:Fallback>
        <control shapeId="4098" r:id="rId3" name="CheckBox1"/>
      </mc:Fallback>
    </mc:AlternateContent>
    <mc:AlternateContent xmlns:mc="http://schemas.openxmlformats.org/markup-compatibility/2006">
      <mc:Choice Requires="x14">
        <control shapeId="4099" r:id="rId5" name="Label1">
          <controlPr autoLine="0" r:id="rId6">
            <anchor moveWithCells="1">
              <from>
                <xdr:col>0</xdr:col>
                <xdr:colOff>28575</xdr:colOff>
                <xdr:row>0</xdr:row>
                <xdr:rowOff>76200</xdr:rowOff>
              </from>
              <to>
                <xdr:col>2</xdr:col>
                <xdr:colOff>266700</xdr:colOff>
                <xdr:row>0</xdr:row>
                <xdr:rowOff>247650</xdr:rowOff>
              </to>
            </anchor>
          </controlPr>
        </control>
      </mc:Choice>
      <mc:Fallback>
        <control shapeId="4099" r:id="rId5" name="Label1"/>
      </mc:Fallback>
    </mc:AlternateContent>
    <mc:AlternateContent xmlns:mc="http://schemas.openxmlformats.org/markup-compatibility/2006">
      <mc:Choice Requires="x14">
        <control shapeId="4101" r:id="rId7" name="Label2">
          <controlPr autoLine="0" r:id="rId8">
            <anchor moveWithCells="1">
              <from>
                <xdr:col>17</xdr:col>
                <xdr:colOff>57150</xdr:colOff>
                <xdr:row>0</xdr:row>
                <xdr:rowOff>85725</xdr:rowOff>
              </from>
              <to>
                <xdr:col>22</xdr:col>
                <xdr:colOff>28575</xdr:colOff>
                <xdr:row>0</xdr:row>
                <xdr:rowOff>295275</xdr:rowOff>
              </to>
            </anchor>
          </controlPr>
        </control>
      </mc:Choice>
      <mc:Fallback>
        <control shapeId="4101" r:id="rId7" name="Label2"/>
      </mc:Fallback>
    </mc:AlternateContent>
    <mc:AlternateContent xmlns:mc="http://schemas.openxmlformats.org/markup-compatibility/2006">
      <mc:Choice Requires="x14">
        <control shapeId="4119" r:id="rId9" name="Button 23">
          <controlPr defaultSize="0" print="0" autoFill="0" autoPict="0" macro="[0]!Sheet4.fill_RECOVER_DATE_TIME">
            <anchor moveWithCells="1" sizeWithCells="1">
              <from>
                <xdr:col>9</xdr:col>
                <xdr:colOff>0</xdr:colOff>
                <xdr:row>0</xdr:row>
                <xdr:rowOff>219075</xdr:rowOff>
              </from>
              <to>
                <xdr:col>9</xdr:col>
                <xdr:colOff>0</xdr:colOff>
                <xdr:row>0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0" r:id="rId10" name="Button 24">
          <controlPr defaultSize="0" print="0" autoFill="0" autoPict="0" macro="[0]!update_CONSECUTIVE_DEPLOY_NO">
            <anchor moveWithCells="1" sizeWithCells="1">
              <from>
                <xdr:col>3</xdr:col>
                <xdr:colOff>47625</xdr:colOff>
                <xdr:row>0</xdr:row>
                <xdr:rowOff>219075</xdr:rowOff>
              </from>
              <to>
                <xdr:col>3</xdr:col>
                <xdr:colOff>1590675</xdr:colOff>
                <xdr:row>0</xdr:row>
                <xdr:rowOff>638175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U1094"/>
  <sheetViews>
    <sheetView topLeftCell="BC36" zoomScaleNormal="100" workbookViewId="0">
      <selection activeCell="BD42" sqref="BD42"/>
    </sheetView>
  </sheetViews>
  <sheetFormatPr defaultRowHeight="15" x14ac:dyDescent="0.25"/>
  <cols>
    <col min="1" max="1" width="13.85546875" customWidth="1"/>
    <col min="2" max="2" width="9.7109375" customWidth="1"/>
    <col min="3" max="3" width="20.5703125" customWidth="1"/>
    <col min="4" max="4" width="11.85546875" customWidth="1"/>
    <col min="5" max="5" width="20.42578125" customWidth="1"/>
    <col min="6" max="6" width="13.42578125" bestFit="1" customWidth="1"/>
    <col min="7" max="7" width="17.28515625" bestFit="1" customWidth="1"/>
    <col min="8" max="8" width="19" customWidth="1"/>
    <col min="9" max="9" width="22.5703125" style="20" customWidth="1"/>
    <col min="10" max="10" width="13.140625" customWidth="1"/>
    <col min="11" max="11" width="8" customWidth="1"/>
    <col min="12" max="12" width="15.28515625" customWidth="1"/>
    <col min="13" max="13" width="27.85546875" customWidth="1"/>
    <col min="14" max="14" width="18.5703125" bestFit="1" customWidth="1"/>
    <col min="15" max="15" width="17" bestFit="1" customWidth="1"/>
    <col min="16" max="16" width="19.42578125" customWidth="1"/>
    <col min="17" max="17" width="18.5703125" customWidth="1"/>
    <col min="18" max="18" width="20.42578125" customWidth="1"/>
    <col min="19" max="19" width="19.5703125" customWidth="1"/>
    <col min="20" max="20" width="6.7109375" customWidth="1"/>
    <col min="21" max="21" width="7.85546875" customWidth="1"/>
    <col min="22" max="22" width="8" customWidth="1"/>
    <col min="23" max="23" width="13.140625" customWidth="1"/>
    <col min="24" max="24" width="4.5703125" customWidth="1"/>
    <col min="25" max="25" width="4.140625" customWidth="1"/>
    <col min="26" max="26" width="20.140625" customWidth="1"/>
    <col min="27" max="27" width="16.85546875" customWidth="1"/>
    <col min="28" max="28" width="15.7109375" customWidth="1"/>
    <col min="29" max="29" width="18.7109375" bestFit="1" customWidth="1"/>
    <col min="30" max="30" width="17.85546875" customWidth="1"/>
    <col min="31" max="31" width="19.7109375" customWidth="1"/>
    <col min="32" max="32" width="24" style="18" customWidth="1"/>
    <col min="33" max="33" width="27.5703125" style="19" bestFit="1" customWidth="1"/>
    <col min="34" max="34" width="18.28515625" bestFit="1" customWidth="1"/>
    <col min="35" max="35" width="15.85546875" customWidth="1"/>
    <col min="36" max="36" width="22.5703125" customWidth="1"/>
    <col min="37" max="37" width="23.28515625" customWidth="1"/>
    <col min="38" max="38" width="19.28515625" customWidth="1"/>
    <col min="39" max="39" width="18.140625" customWidth="1"/>
    <col min="40" max="40" width="18.42578125" customWidth="1"/>
    <col min="41" max="41" width="20.28515625" customWidth="1"/>
    <col min="42" max="42" width="9.42578125" customWidth="1"/>
    <col min="43" max="43" width="26.42578125" customWidth="1"/>
    <col min="44" max="44" width="13.140625" customWidth="1"/>
    <col min="45" max="45" width="7.5703125" customWidth="1"/>
    <col min="46" max="46" width="30.140625" customWidth="1"/>
    <col min="47" max="47" width="41" customWidth="1"/>
    <col min="48" max="48" width="47.42578125" customWidth="1"/>
    <col min="49" max="49" width="43.140625" customWidth="1"/>
    <col min="50" max="50" width="19.28515625" customWidth="1"/>
    <col min="51" max="51" width="11.42578125" customWidth="1"/>
    <col min="52" max="52" width="16.5703125" bestFit="1" customWidth="1"/>
    <col min="53" max="55" width="26.7109375" customWidth="1"/>
    <col min="56" max="56" width="26.7109375" style="20" customWidth="1"/>
    <col min="57" max="57" width="16.7109375" customWidth="1"/>
    <col min="58" max="58" width="22" style="21" bestFit="1" customWidth="1"/>
    <col min="59" max="59" width="26" style="38" bestFit="1" customWidth="1"/>
    <col min="60" max="60" width="34.28515625" bestFit="1" customWidth="1"/>
    <col min="61" max="62" width="34.28515625" style="39" customWidth="1"/>
    <col min="63" max="63" width="13.7109375" bestFit="1" customWidth="1"/>
    <col min="64" max="64" width="16.42578125" style="39" bestFit="1" customWidth="1"/>
    <col min="65" max="65" width="16.42578125" style="39" customWidth="1"/>
    <col min="66" max="66" width="13.7109375" style="39" customWidth="1"/>
    <col min="67" max="67" width="20.28515625" style="39" bestFit="1" customWidth="1"/>
    <col min="68" max="71" width="20.28515625" style="39" customWidth="1"/>
    <col min="72" max="72" width="20.28515625" style="36" customWidth="1"/>
  </cols>
  <sheetData>
    <row r="1" spans="1:73" ht="54.9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22"/>
      <c r="BG1" s="37"/>
    </row>
    <row r="2" spans="1:73" s="15" customFormat="1" ht="25.5" customHeight="1" x14ac:dyDescent="0.25">
      <c r="A2" s="15" t="s">
        <v>1</v>
      </c>
      <c r="B2" s="15" t="s">
        <v>3</v>
      </c>
      <c r="C2" s="15" t="s">
        <v>5</v>
      </c>
      <c r="D2" s="15" t="s">
        <v>7</v>
      </c>
      <c r="E2" s="15" t="s">
        <v>10</v>
      </c>
      <c r="F2" s="16" t="s">
        <v>14</v>
      </c>
      <c r="G2" s="16" t="s">
        <v>18</v>
      </c>
      <c r="H2" s="15" t="s">
        <v>22</v>
      </c>
      <c r="I2" s="15" t="s">
        <v>25</v>
      </c>
      <c r="J2" s="15" t="s">
        <v>29</v>
      </c>
      <c r="K2" s="15" t="s">
        <v>33</v>
      </c>
      <c r="L2" s="15" t="s">
        <v>37</v>
      </c>
      <c r="M2" s="15" t="s">
        <v>41</v>
      </c>
      <c r="N2" s="16" t="s">
        <v>43</v>
      </c>
      <c r="O2" s="16" t="s">
        <v>45</v>
      </c>
      <c r="P2" s="15" t="s">
        <v>48</v>
      </c>
      <c r="Q2" s="15" t="s">
        <v>50</v>
      </c>
      <c r="R2" s="15" t="s">
        <v>51</v>
      </c>
      <c r="S2" s="15" t="s">
        <v>53</v>
      </c>
      <c r="T2" s="15" t="s">
        <v>55</v>
      </c>
      <c r="U2" s="15" t="s">
        <v>57</v>
      </c>
      <c r="V2" s="15" t="s">
        <v>59</v>
      </c>
      <c r="W2" s="15" t="s">
        <v>61</v>
      </c>
      <c r="X2" s="15" t="s">
        <v>63</v>
      </c>
      <c r="Y2" s="15" t="s">
        <v>65</v>
      </c>
      <c r="Z2" s="15" t="s">
        <v>67</v>
      </c>
      <c r="AA2" s="15" t="s">
        <v>69</v>
      </c>
      <c r="AB2" s="15" t="s">
        <v>71</v>
      </c>
      <c r="AC2" s="16" t="s">
        <v>73</v>
      </c>
      <c r="AD2" s="15" t="s">
        <v>75</v>
      </c>
      <c r="AE2" s="15" t="s">
        <v>76</v>
      </c>
      <c r="AF2" s="15" t="s">
        <v>77</v>
      </c>
      <c r="AG2" s="16" t="s">
        <v>78</v>
      </c>
      <c r="AH2" s="16" t="s">
        <v>35</v>
      </c>
      <c r="AI2" s="15" t="s">
        <v>79</v>
      </c>
      <c r="AJ2" s="15" t="s">
        <v>80</v>
      </c>
      <c r="AK2" s="15" t="s">
        <v>81</v>
      </c>
      <c r="AL2" s="15" t="s">
        <v>82</v>
      </c>
      <c r="AM2" s="15" t="s">
        <v>83</v>
      </c>
      <c r="AN2" s="15" t="s">
        <v>84</v>
      </c>
      <c r="AO2" s="15" t="s">
        <v>85</v>
      </c>
      <c r="AP2" s="15" t="s">
        <v>86</v>
      </c>
      <c r="AQ2" s="15" t="s">
        <v>87</v>
      </c>
      <c r="AR2" s="15" t="s">
        <v>88</v>
      </c>
      <c r="AS2" s="15" t="s">
        <v>89</v>
      </c>
      <c r="AT2" s="15" t="s">
        <v>90</v>
      </c>
      <c r="AU2" s="15" t="s">
        <v>91</v>
      </c>
      <c r="AV2" s="15" t="s">
        <v>92</v>
      </c>
      <c r="AW2" s="15" t="s">
        <v>93</v>
      </c>
      <c r="AX2" s="15" t="s">
        <v>94</v>
      </c>
      <c r="AY2" s="15" t="s">
        <v>74</v>
      </c>
      <c r="AZ2" s="16" t="s">
        <v>34</v>
      </c>
      <c r="BA2" s="15" t="s">
        <v>95</v>
      </c>
      <c r="BB2" s="15" t="s">
        <v>96</v>
      </c>
      <c r="BC2" s="24" t="s">
        <v>103</v>
      </c>
      <c r="BD2" s="31" t="s">
        <v>104</v>
      </c>
      <c r="BE2" s="15" t="s">
        <v>97</v>
      </c>
      <c r="BF2" s="23" t="s">
        <v>401</v>
      </c>
      <c r="BG2" s="15" t="s">
        <v>407</v>
      </c>
      <c r="BH2" s="15" t="s">
        <v>402</v>
      </c>
      <c r="BI2" s="15" t="s">
        <v>430</v>
      </c>
      <c r="BJ2" s="15" t="s">
        <v>431</v>
      </c>
      <c r="BK2" s="15" t="s">
        <v>403</v>
      </c>
      <c r="BL2" s="15" t="s">
        <v>416</v>
      </c>
      <c r="BM2" s="15" t="s">
        <v>417</v>
      </c>
      <c r="BN2" s="15" t="s">
        <v>409</v>
      </c>
      <c r="BO2" s="15" t="s">
        <v>411</v>
      </c>
      <c r="BP2" s="15" t="s">
        <v>412</v>
      </c>
      <c r="BQ2" s="15" t="s">
        <v>413</v>
      </c>
      <c r="BR2" s="15" t="s">
        <v>414</v>
      </c>
      <c r="BS2" s="15" t="s">
        <v>415</v>
      </c>
      <c r="BT2" s="15" t="s">
        <v>426</v>
      </c>
      <c r="BU2" s="15" t="s">
        <v>74</v>
      </c>
    </row>
    <row r="3" spans="1:73" x14ac:dyDescent="0.25">
      <c r="A3" t="str">
        <f>CONCATENATE(G3,"-",F3)</f>
        <v>A69-9002-2321</v>
      </c>
      <c r="B3" t="s">
        <v>398</v>
      </c>
      <c r="C3" t="s">
        <v>324</v>
      </c>
      <c r="D3" t="s">
        <v>325</v>
      </c>
      <c r="F3">
        <v>2321</v>
      </c>
      <c r="G3" t="s">
        <v>326</v>
      </c>
      <c r="H3" t="s">
        <v>327</v>
      </c>
      <c r="I3" s="20">
        <v>40290</v>
      </c>
      <c r="J3">
        <v>80</v>
      </c>
      <c r="L3" t="s">
        <v>109</v>
      </c>
      <c r="M3" t="s">
        <v>328</v>
      </c>
      <c r="N3" t="s">
        <v>329</v>
      </c>
      <c r="O3" t="s">
        <v>330</v>
      </c>
      <c r="P3" t="s">
        <v>331</v>
      </c>
      <c r="U3">
        <v>0.54</v>
      </c>
      <c r="V3">
        <v>0.31560000000000005</v>
      </c>
      <c r="W3" t="s">
        <v>399</v>
      </c>
      <c r="Y3" t="s">
        <v>332</v>
      </c>
      <c r="AB3" t="s">
        <v>333</v>
      </c>
      <c r="AC3" t="s">
        <v>334</v>
      </c>
      <c r="AD3">
        <v>46.171570000000003</v>
      </c>
      <c r="AE3">
        <v>-84.078410000000005</v>
      </c>
      <c r="AF3" s="18">
        <v>40294.125</v>
      </c>
      <c r="AG3" s="19">
        <v>40293.958333333336</v>
      </c>
      <c r="AH3" t="s">
        <v>161</v>
      </c>
      <c r="AL3" t="s">
        <v>335</v>
      </c>
      <c r="AM3" s="20">
        <v>40290</v>
      </c>
      <c r="AR3" t="s">
        <v>400</v>
      </c>
      <c r="AT3">
        <v>200</v>
      </c>
      <c r="AZ3" t="s">
        <v>108</v>
      </c>
      <c r="BC3" t="s">
        <v>336</v>
      </c>
    </row>
    <row r="4" spans="1:73" x14ac:dyDescent="0.25">
      <c r="A4" t="str">
        <f t="shared" ref="A4:A67" si="0">CONCATENATE(G4,"-",F4)</f>
        <v>A69-9002-2325</v>
      </c>
      <c r="B4" t="s">
        <v>398</v>
      </c>
      <c r="C4" t="s">
        <v>324</v>
      </c>
      <c r="D4" t="s">
        <v>325</v>
      </c>
      <c r="F4">
        <v>2325</v>
      </c>
      <c r="G4" t="s">
        <v>326</v>
      </c>
      <c r="H4" t="s">
        <v>327</v>
      </c>
      <c r="I4" s="20">
        <v>40290</v>
      </c>
      <c r="J4">
        <v>80</v>
      </c>
      <c r="L4" t="s">
        <v>109</v>
      </c>
      <c r="M4" t="s">
        <v>328</v>
      </c>
      <c r="N4" t="s">
        <v>329</v>
      </c>
      <c r="O4" t="s">
        <v>330</v>
      </c>
      <c r="P4" t="s">
        <v>331</v>
      </c>
      <c r="U4">
        <v>0.50800000000000001</v>
      </c>
      <c r="V4">
        <v>0.28399999999999997</v>
      </c>
      <c r="W4" t="s">
        <v>399</v>
      </c>
      <c r="Y4" t="s">
        <v>332</v>
      </c>
      <c r="AB4" t="s">
        <v>333</v>
      </c>
      <c r="AC4" t="s">
        <v>334</v>
      </c>
      <c r="AD4">
        <v>46.171570000000003</v>
      </c>
      <c r="AE4">
        <v>-84.078410000000005</v>
      </c>
      <c r="AF4" s="18">
        <v>40294.125</v>
      </c>
      <c r="AG4" s="19">
        <v>40293.958333333336</v>
      </c>
      <c r="AH4" t="s">
        <v>161</v>
      </c>
      <c r="AL4" t="s">
        <v>335</v>
      </c>
      <c r="AM4" s="20">
        <v>40290</v>
      </c>
      <c r="AR4" s="39" t="s">
        <v>400</v>
      </c>
      <c r="AS4" s="39"/>
      <c r="AT4" s="39">
        <v>200</v>
      </c>
      <c r="AZ4" t="s">
        <v>108</v>
      </c>
      <c r="BC4" t="s">
        <v>336</v>
      </c>
    </row>
    <row r="5" spans="1:73" x14ac:dyDescent="0.25">
      <c r="A5" t="str">
        <f t="shared" si="0"/>
        <v>A69-9002-2329</v>
      </c>
      <c r="B5" t="s">
        <v>398</v>
      </c>
      <c r="C5" t="s">
        <v>324</v>
      </c>
      <c r="D5" t="s">
        <v>325</v>
      </c>
      <c r="F5">
        <v>2329</v>
      </c>
      <c r="G5" t="s">
        <v>326</v>
      </c>
      <c r="H5" t="s">
        <v>327</v>
      </c>
      <c r="I5" s="20">
        <v>40290</v>
      </c>
      <c r="J5">
        <v>80</v>
      </c>
      <c r="L5" t="s">
        <v>109</v>
      </c>
      <c r="M5" t="s">
        <v>328</v>
      </c>
      <c r="N5" t="s">
        <v>329</v>
      </c>
      <c r="O5" t="s">
        <v>330</v>
      </c>
      <c r="P5" t="s">
        <v>331</v>
      </c>
      <c r="U5">
        <v>0.58499999999999996</v>
      </c>
      <c r="V5">
        <v>0.309</v>
      </c>
      <c r="W5" t="s">
        <v>399</v>
      </c>
      <c r="Y5" t="s">
        <v>332</v>
      </c>
      <c r="AB5" t="s">
        <v>333</v>
      </c>
      <c r="AC5" t="s">
        <v>334</v>
      </c>
      <c r="AD5">
        <v>46.171570000000003</v>
      </c>
      <c r="AE5">
        <v>-84.078410000000005</v>
      </c>
      <c r="AF5" s="18">
        <v>40294.125</v>
      </c>
      <c r="AG5" s="19">
        <v>40293.958333333336</v>
      </c>
      <c r="AH5" t="s">
        <v>161</v>
      </c>
      <c r="AL5" t="s">
        <v>335</v>
      </c>
      <c r="AM5" s="20">
        <v>40290</v>
      </c>
      <c r="AR5" s="39" t="s">
        <v>400</v>
      </c>
      <c r="AS5" s="39"/>
      <c r="AT5" s="39">
        <v>200</v>
      </c>
      <c r="AZ5" t="s">
        <v>108</v>
      </c>
      <c r="BC5" t="s">
        <v>336</v>
      </c>
    </row>
    <row r="6" spans="1:73" x14ac:dyDescent="0.25">
      <c r="A6" t="str">
        <f t="shared" si="0"/>
        <v>A69-9002-2333</v>
      </c>
      <c r="B6" t="s">
        <v>398</v>
      </c>
      <c r="C6" t="s">
        <v>324</v>
      </c>
      <c r="D6" t="s">
        <v>325</v>
      </c>
      <c r="F6">
        <v>2333</v>
      </c>
      <c r="G6" t="s">
        <v>326</v>
      </c>
      <c r="H6" t="s">
        <v>327</v>
      </c>
      <c r="I6" s="20">
        <v>40290</v>
      </c>
      <c r="J6">
        <v>80</v>
      </c>
      <c r="L6" t="s">
        <v>109</v>
      </c>
      <c r="M6" t="s">
        <v>328</v>
      </c>
      <c r="N6" t="s">
        <v>329</v>
      </c>
      <c r="O6" t="s">
        <v>330</v>
      </c>
      <c r="P6" t="s">
        <v>331</v>
      </c>
      <c r="U6">
        <v>0.56999999999999995</v>
      </c>
      <c r="V6">
        <v>0.34699999999999998</v>
      </c>
      <c r="W6" t="s">
        <v>399</v>
      </c>
      <c r="Y6" t="s">
        <v>332</v>
      </c>
      <c r="AB6" t="s">
        <v>333</v>
      </c>
      <c r="AC6" t="s">
        <v>334</v>
      </c>
      <c r="AD6">
        <v>46.171570000000003</v>
      </c>
      <c r="AE6">
        <v>-84.078410000000005</v>
      </c>
      <c r="AF6" s="18">
        <v>40294.125</v>
      </c>
      <c r="AG6" s="19">
        <v>40293.958333333336</v>
      </c>
      <c r="AH6" t="s">
        <v>161</v>
      </c>
      <c r="AL6" t="s">
        <v>335</v>
      </c>
      <c r="AM6" s="20">
        <v>40290</v>
      </c>
      <c r="AR6" s="39" t="s">
        <v>400</v>
      </c>
      <c r="AS6" s="39"/>
      <c r="AT6" s="39">
        <v>200</v>
      </c>
      <c r="AZ6" t="s">
        <v>108</v>
      </c>
      <c r="BC6" t="s">
        <v>163</v>
      </c>
      <c r="BD6" s="20">
        <v>40330</v>
      </c>
      <c r="BF6" s="21" t="s">
        <v>406</v>
      </c>
      <c r="BG6" s="38" t="s">
        <v>113</v>
      </c>
      <c r="BH6" s="1" t="s">
        <v>408</v>
      </c>
      <c r="BI6" s="1">
        <v>46.514783999999999</v>
      </c>
      <c r="BJ6" s="1">
        <v>-84.346945000000005</v>
      </c>
      <c r="BK6" t="s">
        <v>404</v>
      </c>
      <c r="BL6" s="39" t="s">
        <v>336</v>
      </c>
    </row>
    <row r="7" spans="1:73" x14ac:dyDescent="0.25">
      <c r="A7" t="str">
        <f t="shared" si="0"/>
        <v>A69-9002-2337</v>
      </c>
      <c r="B7" t="s">
        <v>398</v>
      </c>
      <c r="C7" t="s">
        <v>324</v>
      </c>
      <c r="D7" t="s">
        <v>325</v>
      </c>
      <c r="F7">
        <v>2337</v>
      </c>
      <c r="G7" t="s">
        <v>326</v>
      </c>
      <c r="H7" t="s">
        <v>327</v>
      </c>
      <c r="I7" s="20">
        <v>40290</v>
      </c>
      <c r="J7">
        <v>80</v>
      </c>
      <c r="L7" t="s">
        <v>109</v>
      </c>
      <c r="M7" t="s">
        <v>328</v>
      </c>
      <c r="N7" t="s">
        <v>329</v>
      </c>
      <c r="O7" t="s">
        <v>330</v>
      </c>
      <c r="P7" t="s">
        <v>331</v>
      </c>
      <c r="U7">
        <v>0.51</v>
      </c>
      <c r="V7">
        <v>0.30599999999999999</v>
      </c>
      <c r="W7" t="s">
        <v>399</v>
      </c>
      <c r="Y7" t="s">
        <v>337</v>
      </c>
      <c r="AB7" t="s">
        <v>333</v>
      </c>
      <c r="AC7" t="s">
        <v>334</v>
      </c>
      <c r="AD7">
        <v>46.171570000000003</v>
      </c>
      <c r="AE7">
        <v>-84.078410000000005</v>
      </c>
      <c r="AF7" s="18">
        <v>40294.125</v>
      </c>
      <c r="AG7" s="19">
        <v>40293.958333333336</v>
      </c>
      <c r="AH7" t="s">
        <v>161</v>
      </c>
      <c r="AL7" t="s">
        <v>335</v>
      </c>
      <c r="AM7" s="20">
        <v>40290</v>
      </c>
      <c r="AR7" s="39" t="s">
        <v>400</v>
      </c>
      <c r="AS7" s="39"/>
      <c r="AT7" s="39">
        <v>200</v>
      </c>
      <c r="AZ7" t="s">
        <v>108</v>
      </c>
      <c r="BC7" t="s">
        <v>336</v>
      </c>
    </row>
    <row r="8" spans="1:73" x14ac:dyDescent="0.25">
      <c r="A8" t="str">
        <f t="shared" si="0"/>
        <v>A69-9002-2341</v>
      </c>
      <c r="B8" t="s">
        <v>398</v>
      </c>
      <c r="C8" t="s">
        <v>324</v>
      </c>
      <c r="D8" t="s">
        <v>325</v>
      </c>
      <c r="F8">
        <v>2341</v>
      </c>
      <c r="G8" t="s">
        <v>326</v>
      </c>
      <c r="H8" t="s">
        <v>327</v>
      </c>
      <c r="I8" s="20">
        <v>40290</v>
      </c>
      <c r="J8">
        <v>80</v>
      </c>
      <c r="L8" t="s">
        <v>109</v>
      </c>
      <c r="M8" t="s">
        <v>328</v>
      </c>
      <c r="N8" t="s">
        <v>329</v>
      </c>
      <c r="O8" t="s">
        <v>330</v>
      </c>
      <c r="P8" t="s">
        <v>331</v>
      </c>
      <c r="U8">
        <v>0.48</v>
      </c>
      <c r="V8">
        <v>0.249</v>
      </c>
      <c r="W8" t="s">
        <v>399</v>
      </c>
      <c r="Y8" t="s">
        <v>332</v>
      </c>
      <c r="AB8" t="s">
        <v>333</v>
      </c>
      <c r="AC8" t="s">
        <v>334</v>
      </c>
      <c r="AD8">
        <v>46.171570000000003</v>
      </c>
      <c r="AE8">
        <v>-84.078410000000005</v>
      </c>
      <c r="AF8" s="18">
        <v>40294.125</v>
      </c>
      <c r="AG8" s="19">
        <v>40293.958333333336</v>
      </c>
      <c r="AH8" t="s">
        <v>161</v>
      </c>
      <c r="AL8" t="s">
        <v>335</v>
      </c>
      <c r="AM8" s="20">
        <v>40290</v>
      </c>
      <c r="AR8" s="39" t="s">
        <v>400</v>
      </c>
      <c r="AS8" s="39"/>
      <c r="AT8" s="39">
        <v>200</v>
      </c>
      <c r="AZ8" t="s">
        <v>108</v>
      </c>
      <c r="BC8" t="s">
        <v>336</v>
      </c>
    </row>
    <row r="9" spans="1:73" x14ac:dyDescent="0.25">
      <c r="A9" t="str">
        <f t="shared" si="0"/>
        <v>A69-9002-2345</v>
      </c>
      <c r="B9" t="s">
        <v>398</v>
      </c>
      <c r="C9" t="s">
        <v>324</v>
      </c>
      <c r="D9" t="s">
        <v>325</v>
      </c>
      <c r="F9">
        <v>2345</v>
      </c>
      <c r="G9" t="s">
        <v>326</v>
      </c>
      <c r="H9" t="s">
        <v>327</v>
      </c>
      <c r="I9" s="20">
        <v>40290</v>
      </c>
      <c r="J9">
        <v>80</v>
      </c>
      <c r="L9" t="s">
        <v>109</v>
      </c>
      <c r="M9" t="s">
        <v>328</v>
      </c>
      <c r="N9" t="s">
        <v>329</v>
      </c>
      <c r="O9" t="s">
        <v>330</v>
      </c>
      <c r="P9" t="s">
        <v>331</v>
      </c>
      <c r="U9">
        <v>0.51</v>
      </c>
      <c r="V9">
        <v>0.25600000000000001</v>
      </c>
      <c r="W9" t="s">
        <v>399</v>
      </c>
      <c r="Y9" t="s">
        <v>332</v>
      </c>
      <c r="AB9" t="s">
        <v>333</v>
      </c>
      <c r="AC9" t="s">
        <v>334</v>
      </c>
      <c r="AD9">
        <v>46.171570000000003</v>
      </c>
      <c r="AE9">
        <v>-84.078410000000005</v>
      </c>
      <c r="AF9" s="18">
        <v>40294.125</v>
      </c>
      <c r="AG9" s="19">
        <v>40293.958333333336</v>
      </c>
      <c r="AH9" t="s">
        <v>161</v>
      </c>
      <c r="AL9" t="s">
        <v>335</v>
      </c>
      <c r="AM9" s="20">
        <v>40290</v>
      </c>
      <c r="AR9" s="39" t="s">
        <v>400</v>
      </c>
      <c r="AS9" s="39"/>
      <c r="AT9" s="39">
        <v>200</v>
      </c>
      <c r="AZ9" t="s">
        <v>108</v>
      </c>
      <c r="BC9" t="s">
        <v>336</v>
      </c>
    </row>
    <row r="10" spans="1:73" x14ac:dyDescent="0.25">
      <c r="A10" t="str">
        <f t="shared" si="0"/>
        <v>A69-9002-2349</v>
      </c>
      <c r="B10" t="s">
        <v>398</v>
      </c>
      <c r="C10" t="s">
        <v>324</v>
      </c>
      <c r="D10" t="s">
        <v>325</v>
      </c>
      <c r="F10">
        <v>2349</v>
      </c>
      <c r="G10" t="s">
        <v>326</v>
      </c>
      <c r="H10" t="s">
        <v>327</v>
      </c>
      <c r="I10" s="20">
        <v>40290</v>
      </c>
      <c r="J10">
        <v>80</v>
      </c>
      <c r="L10" t="s">
        <v>109</v>
      </c>
      <c r="M10" t="s">
        <v>328</v>
      </c>
      <c r="N10" t="s">
        <v>329</v>
      </c>
      <c r="O10" t="s">
        <v>330</v>
      </c>
      <c r="P10" t="s">
        <v>331</v>
      </c>
      <c r="U10">
        <v>0.48</v>
      </c>
      <c r="V10">
        <v>0.251</v>
      </c>
      <c r="W10" t="s">
        <v>399</v>
      </c>
      <c r="Y10" t="s">
        <v>332</v>
      </c>
      <c r="AB10" t="s">
        <v>333</v>
      </c>
      <c r="AC10" t="s">
        <v>334</v>
      </c>
      <c r="AD10">
        <v>46.171570000000003</v>
      </c>
      <c r="AE10">
        <v>-84.078410000000005</v>
      </c>
      <c r="AF10" s="18">
        <v>40294.125</v>
      </c>
      <c r="AG10" s="19">
        <v>40293.958333333336</v>
      </c>
      <c r="AH10" t="s">
        <v>161</v>
      </c>
      <c r="AL10" t="s">
        <v>335</v>
      </c>
      <c r="AM10" s="20">
        <v>40290</v>
      </c>
      <c r="AR10" s="39" t="s">
        <v>400</v>
      </c>
      <c r="AS10" s="39"/>
      <c r="AT10" s="39">
        <v>200</v>
      </c>
      <c r="AZ10" t="s">
        <v>108</v>
      </c>
      <c r="BC10" t="s">
        <v>336</v>
      </c>
    </row>
    <row r="11" spans="1:73" x14ac:dyDescent="0.25">
      <c r="A11" t="str">
        <f t="shared" si="0"/>
        <v>A69-9002-2322</v>
      </c>
      <c r="B11" t="s">
        <v>398</v>
      </c>
      <c r="C11" t="s">
        <v>324</v>
      </c>
      <c r="D11" t="s">
        <v>325</v>
      </c>
      <c r="F11">
        <v>2322</v>
      </c>
      <c r="G11" t="s">
        <v>326</v>
      </c>
      <c r="H11" t="s">
        <v>327</v>
      </c>
      <c r="I11" s="20">
        <v>40290</v>
      </c>
      <c r="J11">
        <v>80</v>
      </c>
      <c r="L11" t="s">
        <v>109</v>
      </c>
      <c r="M11" t="s">
        <v>328</v>
      </c>
      <c r="N11" t="s">
        <v>329</v>
      </c>
      <c r="O11" t="s">
        <v>330</v>
      </c>
      <c r="P11" t="s">
        <v>331</v>
      </c>
      <c r="U11">
        <v>0.5</v>
      </c>
      <c r="V11">
        <v>0.28499999999999998</v>
      </c>
      <c r="W11" t="s">
        <v>399</v>
      </c>
      <c r="Y11" t="s">
        <v>332</v>
      </c>
      <c r="AB11" t="s">
        <v>333</v>
      </c>
      <c r="AC11" t="s">
        <v>334</v>
      </c>
      <c r="AD11">
        <v>46.171570000000003</v>
      </c>
      <c r="AE11">
        <v>-84.078410000000005</v>
      </c>
      <c r="AF11" s="18">
        <v>40294.125</v>
      </c>
      <c r="AG11" s="19">
        <v>40293.958333333336</v>
      </c>
      <c r="AH11" t="s">
        <v>161</v>
      </c>
      <c r="AL11" t="s">
        <v>335</v>
      </c>
      <c r="AM11" s="20">
        <v>40290</v>
      </c>
      <c r="AR11" s="39" t="s">
        <v>400</v>
      </c>
      <c r="AS11" s="39"/>
      <c r="AT11" s="39">
        <v>200</v>
      </c>
      <c r="AZ11" t="s">
        <v>108</v>
      </c>
      <c r="BC11" t="s">
        <v>336</v>
      </c>
    </row>
    <row r="12" spans="1:73" x14ac:dyDescent="0.25">
      <c r="A12" t="str">
        <f t="shared" si="0"/>
        <v>A69-9002-2326</v>
      </c>
      <c r="B12" t="s">
        <v>398</v>
      </c>
      <c r="C12" t="s">
        <v>324</v>
      </c>
      <c r="D12" t="s">
        <v>325</v>
      </c>
      <c r="F12">
        <v>2326</v>
      </c>
      <c r="G12" t="s">
        <v>326</v>
      </c>
      <c r="H12" t="s">
        <v>327</v>
      </c>
      <c r="I12" s="20">
        <v>40290</v>
      </c>
      <c r="J12">
        <v>80</v>
      </c>
      <c r="L12" t="s">
        <v>109</v>
      </c>
      <c r="M12" t="s">
        <v>328</v>
      </c>
      <c r="N12" t="s">
        <v>329</v>
      </c>
      <c r="O12" t="s">
        <v>330</v>
      </c>
      <c r="P12" t="s">
        <v>331</v>
      </c>
      <c r="U12">
        <v>0.55000000000000004</v>
      </c>
      <c r="V12">
        <v>0.35399999999999998</v>
      </c>
      <c r="W12" t="s">
        <v>399</v>
      </c>
      <c r="Y12" t="s">
        <v>332</v>
      </c>
      <c r="AB12" t="s">
        <v>333</v>
      </c>
      <c r="AC12" t="s">
        <v>334</v>
      </c>
      <c r="AD12">
        <v>46.171570000000003</v>
      </c>
      <c r="AE12">
        <v>-84.078410000000005</v>
      </c>
      <c r="AF12" s="18">
        <v>40294.125</v>
      </c>
      <c r="AG12" s="19">
        <v>40293.958333333336</v>
      </c>
      <c r="AH12" t="s">
        <v>161</v>
      </c>
      <c r="AL12" t="s">
        <v>335</v>
      </c>
      <c r="AM12" s="20">
        <v>40290</v>
      </c>
      <c r="AR12" s="39" t="s">
        <v>400</v>
      </c>
      <c r="AS12" s="39"/>
      <c r="AT12" s="39">
        <v>200</v>
      </c>
      <c r="AZ12" t="s">
        <v>108</v>
      </c>
      <c r="BC12" t="s">
        <v>336</v>
      </c>
    </row>
    <row r="13" spans="1:73" x14ac:dyDescent="0.25">
      <c r="A13" t="str">
        <f t="shared" si="0"/>
        <v>A69-9002-2330</v>
      </c>
      <c r="B13" t="s">
        <v>398</v>
      </c>
      <c r="C13" t="s">
        <v>324</v>
      </c>
      <c r="D13" t="s">
        <v>325</v>
      </c>
      <c r="F13">
        <v>2330</v>
      </c>
      <c r="G13" t="s">
        <v>326</v>
      </c>
      <c r="H13" t="s">
        <v>327</v>
      </c>
      <c r="I13" s="20">
        <v>40290</v>
      </c>
      <c r="J13">
        <v>80</v>
      </c>
      <c r="L13" t="s">
        <v>109</v>
      </c>
      <c r="M13" t="s">
        <v>328</v>
      </c>
      <c r="N13" t="s">
        <v>329</v>
      </c>
      <c r="O13" t="s">
        <v>330</v>
      </c>
      <c r="P13" t="s">
        <v>331</v>
      </c>
      <c r="U13">
        <v>0.46</v>
      </c>
      <c r="V13">
        <v>0.217</v>
      </c>
      <c r="W13" t="s">
        <v>399</v>
      </c>
      <c r="Y13" t="s">
        <v>332</v>
      </c>
      <c r="AB13" t="s">
        <v>333</v>
      </c>
      <c r="AC13" t="s">
        <v>334</v>
      </c>
      <c r="AD13">
        <v>46.171570000000003</v>
      </c>
      <c r="AE13">
        <v>-84.078410000000005</v>
      </c>
      <c r="AF13" s="18">
        <v>40294.125</v>
      </c>
      <c r="AG13" s="19">
        <v>40293.958333333336</v>
      </c>
      <c r="AH13" t="s">
        <v>161</v>
      </c>
      <c r="AL13" t="s">
        <v>335</v>
      </c>
      <c r="AM13" s="20">
        <v>40290</v>
      </c>
      <c r="AR13" s="39" t="s">
        <v>400</v>
      </c>
      <c r="AS13" s="39"/>
      <c r="AT13" s="39">
        <v>200</v>
      </c>
      <c r="AZ13" t="s">
        <v>108</v>
      </c>
      <c r="BC13" t="s">
        <v>336</v>
      </c>
    </row>
    <row r="14" spans="1:73" x14ac:dyDescent="0.25">
      <c r="A14" t="str">
        <f t="shared" si="0"/>
        <v>A69-9002-2373</v>
      </c>
      <c r="B14" t="s">
        <v>398</v>
      </c>
      <c r="C14" t="s">
        <v>324</v>
      </c>
      <c r="D14" t="s">
        <v>325</v>
      </c>
      <c r="F14">
        <v>2373</v>
      </c>
      <c r="G14" t="s">
        <v>326</v>
      </c>
      <c r="H14" t="s">
        <v>327</v>
      </c>
      <c r="I14" s="20">
        <v>40291</v>
      </c>
      <c r="J14">
        <v>80</v>
      </c>
      <c r="L14" t="s">
        <v>109</v>
      </c>
      <c r="M14" t="s">
        <v>328</v>
      </c>
      <c r="N14" t="s">
        <v>329</v>
      </c>
      <c r="O14" t="s">
        <v>330</v>
      </c>
      <c r="P14" t="s">
        <v>331</v>
      </c>
      <c r="U14">
        <v>0.56999999999999995</v>
      </c>
      <c r="V14">
        <v>0.374</v>
      </c>
      <c r="W14" t="s">
        <v>399</v>
      </c>
      <c r="Y14" t="s">
        <v>337</v>
      </c>
      <c r="AB14" t="s">
        <v>333</v>
      </c>
      <c r="AC14" t="s">
        <v>334</v>
      </c>
      <c r="AD14">
        <v>46.171570000000003</v>
      </c>
      <c r="AE14">
        <v>-84.078410000000005</v>
      </c>
      <c r="AF14" s="18">
        <v>40294.125</v>
      </c>
      <c r="AG14" s="19">
        <v>40293.958333333336</v>
      </c>
      <c r="AH14" t="s">
        <v>161</v>
      </c>
      <c r="AL14" t="s">
        <v>335</v>
      </c>
      <c r="AM14" s="20">
        <v>40291</v>
      </c>
      <c r="AR14" s="39" t="s">
        <v>400</v>
      </c>
      <c r="AS14" s="39"/>
      <c r="AT14" s="39">
        <v>200</v>
      </c>
      <c r="AZ14" t="s">
        <v>108</v>
      </c>
      <c r="BC14" t="s">
        <v>336</v>
      </c>
    </row>
    <row r="15" spans="1:73" x14ac:dyDescent="0.25">
      <c r="A15" t="str">
        <f t="shared" si="0"/>
        <v>A69-9002-2374</v>
      </c>
      <c r="B15" t="s">
        <v>398</v>
      </c>
      <c r="C15" t="s">
        <v>324</v>
      </c>
      <c r="D15" t="s">
        <v>325</v>
      </c>
      <c r="F15">
        <v>2374</v>
      </c>
      <c r="G15" t="s">
        <v>326</v>
      </c>
      <c r="H15" t="s">
        <v>327</v>
      </c>
      <c r="I15" s="20">
        <v>40291</v>
      </c>
      <c r="J15">
        <v>80</v>
      </c>
      <c r="L15" t="s">
        <v>109</v>
      </c>
      <c r="M15" t="s">
        <v>328</v>
      </c>
      <c r="N15" t="s">
        <v>329</v>
      </c>
      <c r="O15" t="s">
        <v>330</v>
      </c>
      <c r="P15" t="s">
        <v>331</v>
      </c>
      <c r="U15">
        <v>0.51</v>
      </c>
      <c r="V15">
        <v>0.26400000000000001</v>
      </c>
      <c r="W15" t="s">
        <v>399</v>
      </c>
      <c r="Y15" t="s">
        <v>337</v>
      </c>
      <c r="AB15" t="s">
        <v>333</v>
      </c>
      <c r="AC15" t="s">
        <v>334</v>
      </c>
      <c r="AD15">
        <v>46.171570000000003</v>
      </c>
      <c r="AE15">
        <v>-84.078410000000005</v>
      </c>
      <c r="AF15" s="18">
        <v>40294.125</v>
      </c>
      <c r="AG15" s="19">
        <v>40293.958333333336</v>
      </c>
      <c r="AH15" t="s">
        <v>161</v>
      </c>
      <c r="AL15" t="s">
        <v>335</v>
      </c>
      <c r="AM15" s="20">
        <v>40291</v>
      </c>
      <c r="AR15" s="39" t="s">
        <v>400</v>
      </c>
      <c r="AS15" s="39"/>
      <c r="AT15" s="39">
        <v>200</v>
      </c>
      <c r="AZ15" t="s">
        <v>108</v>
      </c>
      <c r="BC15" t="s">
        <v>336</v>
      </c>
    </row>
    <row r="16" spans="1:73" x14ac:dyDescent="0.25">
      <c r="A16" t="str">
        <f t="shared" si="0"/>
        <v>A69-9002-2375</v>
      </c>
      <c r="B16" t="s">
        <v>398</v>
      </c>
      <c r="C16" t="s">
        <v>324</v>
      </c>
      <c r="D16" t="s">
        <v>325</v>
      </c>
      <c r="F16">
        <v>2375</v>
      </c>
      <c r="G16" t="s">
        <v>326</v>
      </c>
      <c r="H16" t="s">
        <v>327</v>
      </c>
      <c r="I16" s="20">
        <v>40291</v>
      </c>
      <c r="J16">
        <v>80</v>
      </c>
      <c r="L16" t="s">
        <v>109</v>
      </c>
      <c r="M16" t="s">
        <v>328</v>
      </c>
      <c r="N16" t="s">
        <v>329</v>
      </c>
      <c r="O16" t="s">
        <v>330</v>
      </c>
      <c r="P16" t="s">
        <v>331</v>
      </c>
      <c r="U16">
        <v>0.49</v>
      </c>
      <c r="V16">
        <v>0.25900000000000001</v>
      </c>
      <c r="W16" t="s">
        <v>399</v>
      </c>
      <c r="Y16" t="s">
        <v>337</v>
      </c>
      <c r="AB16" t="s">
        <v>333</v>
      </c>
      <c r="AC16" t="s">
        <v>334</v>
      </c>
      <c r="AD16">
        <v>46.171570000000003</v>
      </c>
      <c r="AE16">
        <v>-84.078410000000005</v>
      </c>
      <c r="AF16" s="18">
        <v>40294.125</v>
      </c>
      <c r="AG16" s="19">
        <v>40293.958333333336</v>
      </c>
      <c r="AH16" t="s">
        <v>161</v>
      </c>
      <c r="AL16" t="s">
        <v>335</v>
      </c>
      <c r="AM16" s="20">
        <v>40291</v>
      </c>
      <c r="AR16" s="39" t="s">
        <v>400</v>
      </c>
      <c r="AS16" s="39"/>
      <c r="AT16" s="39">
        <v>200</v>
      </c>
      <c r="AZ16" t="s">
        <v>108</v>
      </c>
      <c r="BC16" t="s">
        <v>336</v>
      </c>
    </row>
    <row r="17" spans="1:64" x14ac:dyDescent="0.25">
      <c r="A17" t="str">
        <f t="shared" si="0"/>
        <v>A69-9002-2376</v>
      </c>
      <c r="B17" t="s">
        <v>398</v>
      </c>
      <c r="C17" t="s">
        <v>324</v>
      </c>
      <c r="D17" t="s">
        <v>325</v>
      </c>
      <c r="F17">
        <v>2376</v>
      </c>
      <c r="G17" t="s">
        <v>326</v>
      </c>
      <c r="H17" t="s">
        <v>327</v>
      </c>
      <c r="I17" s="20">
        <v>40291</v>
      </c>
      <c r="J17">
        <v>80</v>
      </c>
      <c r="L17" t="s">
        <v>109</v>
      </c>
      <c r="M17" t="s">
        <v>328</v>
      </c>
      <c r="N17" t="s">
        <v>329</v>
      </c>
      <c r="O17" t="s">
        <v>330</v>
      </c>
      <c r="P17" t="s">
        <v>331</v>
      </c>
      <c r="U17">
        <v>0.55000000000000004</v>
      </c>
      <c r="V17">
        <v>0.30599999999999999</v>
      </c>
      <c r="W17" t="s">
        <v>399</v>
      </c>
      <c r="Y17" t="s">
        <v>337</v>
      </c>
      <c r="AB17" t="s">
        <v>333</v>
      </c>
      <c r="AC17" t="s">
        <v>334</v>
      </c>
      <c r="AD17">
        <v>46.171570000000003</v>
      </c>
      <c r="AE17">
        <v>-84.078410000000005</v>
      </c>
      <c r="AF17" s="18">
        <v>40294.125</v>
      </c>
      <c r="AG17" s="19">
        <v>40293.958333333336</v>
      </c>
      <c r="AH17" t="s">
        <v>161</v>
      </c>
      <c r="AL17" t="s">
        <v>335</v>
      </c>
      <c r="AM17" s="20">
        <v>40291</v>
      </c>
      <c r="AR17" s="39" t="s">
        <v>400</v>
      </c>
      <c r="AS17" s="39"/>
      <c r="AT17" s="39">
        <v>200</v>
      </c>
      <c r="AZ17" t="s">
        <v>108</v>
      </c>
      <c r="BC17" t="s">
        <v>336</v>
      </c>
    </row>
    <row r="18" spans="1:64" x14ac:dyDescent="0.25">
      <c r="A18" t="str">
        <f t="shared" si="0"/>
        <v>A69-9002-2323</v>
      </c>
      <c r="B18" t="s">
        <v>398</v>
      </c>
      <c r="C18" t="s">
        <v>324</v>
      </c>
      <c r="D18" t="s">
        <v>325</v>
      </c>
      <c r="F18">
        <v>2323</v>
      </c>
      <c r="G18" t="s">
        <v>326</v>
      </c>
      <c r="H18" t="s">
        <v>327</v>
      </c>
      <c r="I18" s="20">
        <v>40290</v>
      </c>
      <c r="J18">
        <v>80</v>
      </c>
      <c r="L18" t="s">
        <v>109</v>
      </c>
      <c r="M18" t="s">
        <v>328</v>
      </c>
      <c r="N18" t="s">
        <v>329</v>
      </c>
      <c r="O18" t="s">
        <v>330</v>
      </c>
      <c r="P18" t="s">
        <v>331</v>
      </c>
      <c r="U18">
        <v>0.53</v>
      </c>
      <c r="V18">
        <v>0.35499999999999998</v>
      </c>
      <c r="W18" t="s">
        <v>399</v>
      </c>
      <c r="Y18" t="s">
        <v>337</v>
      </c>
      <c r="AB18" t="s">
        <v>333</v>
      </c>
      <c r="AC18" t="s">
        <v>334</v>
      </c>
      <c r="AD18">
        <v>46.171570000000003</v>
      </c>
      <c r="AE18">
        <v>-84.078410000000005</v>
      </c>
      <c r="AF18" s="18">
        <v>40294.125</v>
      </c>
      <c r="AG18" s="19">
        <v>40293.958333333336</v>
      </c>
      <c r="AH18" t="s">
        <v>161</v>
      </c>
      <c r="AL18" t="s">
        <v>335</v>
      </c>
      <c r="AM18" s="20">
        <v>40290</v>
      </c>
      <c r="AR18" s="39" t="s">
        <v>400</v>
      </c>
      <c r="AS18" s="39"/>
      <c r="AT18" s="39">
        <v>200</v>
      </c>
      <c r="AZ18" t="s">
        <v>108</v>
      </c>
      <c r="BC18" t="s">
        <v>336</v>
      </c>
    </row>
    <row r="19" spans="1:64" x14ac:dyDescent="0.25">
      <c r="A19" t="str">
        <f t="shared" si="0"/>
        <v>A69-9002-2378</v>
      </c>
      <c r="B19" t="s">
        <v>398</v>
      </c>
      <c r="C19" t="s">
        <v>324</v>
      </c>
      <c r="D19" t="s">
        <v>325</v>
      </c>
      <c r="F19">
        <v>2378</v>
      </c>
      <c r="G19" t="s">
        <v>326</v>
      </c>
      <c r="H19" t="s">
        <v>327</v>
      </c>
      <c r="I19" s="20">
        <v>40291</v>
      </c>
      <c r="J19">
        <v>80</v>
      </c>
      <c r="L19" t="s">
        <v>109</v>
      </c>
      <c r="M19" t="s">
        <v>328</v>
      </c>
      <c r="N19" t="s">
        <v>329</v>
      </c>
      <c r="O19" t="s">
        <v>330</v>
      </c>
      <c r="P19" t="s">
        <v>331</v>
      </c>
      <c r="U19">
        <v>0.53</v>
      </c>
      <c r="V19">
        <v>0.34499999999999997</v>
      </c>
      <c r="W19" t="s">
        <v>399</v>
      </c>
      <c r="Y19" t="s">
        <v>337</v>
      </c>
      <c r="AB19" t="s">
        <v>333</v>
      </c>
      <c r="AC19" t="s">
        <v>334</v>
      </c>
      <c r="AD19">
        <v>46.171570000000003</v>
      </c>
      <c r="AE19">
        <v>-84.078410000000005</v>
      </c>
      <c r="AF19" s="18">
        <v>40294.125</v>
      </c>
      <c r="AG19" s="19">
        <v>40293.958333333336</v>
      </c>
      <c r="AH19" t="s">
        <v>161</v>
      </c>
      <c r="AL19" t="s">
        <v>335</v>
      </c>
      <c r="AM19" s="20">
        <v>40291</v>
      </c>
      <c r="AR19" s="39" t="s">
        <v>400</v>
      </c>
      <c r="AS19" s="39"/>
      <c r="AT19" s="39">
        <v>200</v>
      </c>
      <c r="AZ19" t="s">
        <v>108</v>
      </c>
      <c r="BC19" t="s">
        <v>336</v>
      </c>
    </row>
    <row r="20" spans="1:64" x14ac:dyDescent="0.25">
      <c r="A20" t="str">
        <f t="shared" si="0"/>
        <v>A69-9002-2352</v>
      </c>
      <c r="B20" t="s">
        <v>398</v>
      </c>
      <c r="C20" t="s">
        <v>324</v>
      </c>
      <c r="D20" t="s">
        <v>325</v>
      </c>
      <c r="F20">
        <v>2352</v>
      </c>
      <c r="G20" t="s">
        <v>326</v>
      </c>
      <c r="H20" t="s">
        <v>327</v>
      </c>
      <c r="I20" s="20">
        <v>40291</v>
      </c>
      <c r="J20">
        <v>80</v>
      </c>
      <c r="L20" t="s">
        <v>109</v>
      </c>
      <c r="M20" t="s">
        <v>328</v>
      </c>
      <c r="N20" t="s">
        <v>329</v>
      </c>
      <c r="O20" t="s">
        <v>330</v>
      </c>
      <c r="P20" t="s">
        <v>331</v>
      </c>
      <c r="U20">
        <v>0.52</v>
      </c>
      <c r="V20">
        <v>0.35699999999999998</v>
      </c>
      <c r="W20" t="s">
        <v>399</v>
      </c>
      <c r="Y20" t="s">
        <v>332</v>
      </c>
      <c r="AB20" t="s">
        <v>333</v>
      </c>
      <c r="AC20" t="s">
        <v>334</v>
      </c>
      <c r="AD20">
        <v>46.171570000000003</v>
      </c>
      <c r="AE20">
        <v>-84.078410000000005</v>
      </c>
      <c r="AF20" s="18">
        <v>40294.125</v>
      </c>
      <c r="AG20" s="19">
        <v>40293.958333333336</v>
      </c>
      <c r="AH20" t="s">
        <v>161</v>
      </c>
      <c r="AL20" t="s">
        <v>335</v>
      </c>
      <c r="AM20" s="20">
        <v>40291</v>
      </c>
      <c r="AR20" s="39" t="s">
        <v>400</v>
      </c>
      <c r="AS20" s="39"/>
      <c r="AT20" s="39">
        <v>200</v>
      </c>
      <c r="AZ20" t="s">
        <v>108</v>
      </c>
      <c r="BC20" t="s">
        <v>336</v>
      </c>
    </row>
    <row r="21" spans="1:64" x14ac:dyDescent="0.25">
      <c r="A21" t="str">
        <f t="shared" si="0"/>
        <v>A69-9002-2380</v>
      </c>
      <c r="B21" t="s">
        <v>398</v>
      </c>
      <c r="C21" t="s">
        <v>324</v>
      </c>
      <c r="D21" t="s">
        <v>325</v>
      </c>
      <c r="F21">
        <v>2380</v>
      </c>
      <c r="G21" t="s">
        <v>326</v>
      </c>
      <c r="H21" t="s">
        <v>327</v>
      </c>
      <c r="I21" s="20">
        <v>40291</v>
      </c>
      <c r="J21">
        <v>80</v>
      </c>
      <c r="L21" t="s">
        <v>109</v>
      </c>
      <c r="M21" t="s">
        <v>328</v>
      </c>
      <c r="N21" t="s">
        <v>329</v>
      </c>
      <c r="O21" t="s">
        <v>330</v>
      </c>
      <c r="P21" t="s">
        <v>331</v>
      </c>
      <c r="U21">
        <v>0.51</v>
      </c>
      <c r="V21">
        <v>0.28399999999999997</v>
      </c>
      <c r="W21" t="s">
        <v>399</v>
      </c>
      <c r="Y21" t="s">
        <v>337</v>
      </c>
      <c r="AB21" t="s">
        <v>333</v>
      </c>
      <c r="AC21" t="s">
        <v>334</v>
      </c>
      <c r="AD21">
        <v>46.171570000000003</v>
      </c>
      <c r="AE21">
        <v>-84.078410000000005</v>
      </c>
      <c r="AF21" s="18">
        <v>40294.125</v>
      </c>
      <c r="AG21" s="19">
        <v>40293.958333333336</v>
      </c>
      <c r="AH21" t="s">
        <v>161</v>
      </c>
      <c r="AL21" t="s">
        <v>335</v>
      </c>
      <c r="AM21" s="20">
        <v>40291</v>
      </c>
      <c r="AR21" s="39" t="s">
        <v>400</v>
      </c>
      <c r="AS21" s="39"/>
      <c r="AT21" s="39">
        <v>200</v>
      </c>
      <c r="AZ21" t="s">
        <v>108</v>
      </c>
      <c r="BC21" t="s">
        <v>336</v>
      </c>
    </row>
    <row r="22" spans="1:64" x14ac:dyDescent="0.25">
      <c r="A22" t="str">
        <f t="shared" si="0"/>
        <v>A69-9002-2381</v>
      </c>
      <c r="B22" t="s">
        <v>398</v>
      </c>
      <c r="C22" t="s">
        <v>324</v>
      </c>
      <c r="D22" t="s">
        <v>325</v>
      </c>
      <c r="F22">
        <v>2381</v>
      </c>
      <c r="G22" t="s">
        <v>326</v>
      </c>
      <c r="H22" t="s">
        <v>327</v>
      </c>
      <c r="I22" s="20">
        <v>40291</v>
      </c>
      <c r="J22">
        <v>80</v>
      </c>
      <c r="L22" t="s">
        <v>109</v>
      </c>
      <c r="M22" t="s">
        <v>328</v>
      </c>
      <c r="N22" t="s">
        <v>329</v>
      </c>
      <c r="O22" t="s">
        <v>330</v>
      </c>
      <c r="P22" t="s">
        <v>331</v>
      </c>
      <c r="U22">
        <v>0.56000000000000005</v>
      </c>
      <c r="V22">
        <v>0.34300000000000003</v>
      </c>
      <c r="W22" t="s">
        <v>399</v>
      </c>
      <c r="Y22" t="s">
        <v>337</v>
      </c>
      <c r="AB22" t="s">
        <v>333</v>
      </c>
      <c r="AC22" t="s">
        <v>334</v>
      </c>
      <c r="AD22">
        <v>46.171570000000003</v>
      </c>
      <c r="AE22">
        <v>-84.078410000000005</v>
      </c>
      <c r="AF22" s="18">
        <v>40294.125</v>
      </c>
      <c r="AG22" s="19">
        <v>40293.958333333336</v>
      </c>
      <c r="AH22" t="s">
        <v>161</v>
      </c>
      <c r="AL22" t="s">
        <v>335</v>
      </c>
      <c r="AM22" s="20">
        <v>40291</v>
      </c>
      <c r="AR22" s="39" t="s">
        <v>400</v>
      </c>
      <c r="AS22" s="39"/>
      <c r="AT22" s="39">
        <v>200</v>
      </c>
      <c r="AZ22" t="s">
        <v>108</v>
      </c>
      <c r="BC22" t="s">
        <v>336</v>
      </c>
    </row>
    <row r="23" spans="1:64" x14ac:dyDescent="0.25">
      <c r="A23" t="str">
        <f t="shared" si="0"/>
        <v>A69-9002-2382</v>
      </c>
      <c r="B23" t="s">
        <v>398</v>
      </c>
      <c r="C23" t="s">
        <v>324</v>
      </c>
      <c r="D23" t="s">
        <v>325</v>
      </c>
      <c r="F23">
        <v>2382</v>
      </c>
      <c r="G23" t="s">
        <v>326</v>
      </c>
      <c r="H23" t="s">
        <v>327</v>
      </c>
      <c r="I23" s="20">
        <v>40291</v>
      </c>
      <c r="J23">
        <v>80</v>
      </c>
      <c r="L23" t="s">
        <v>109</v>
      </c>
      <c r="M23" t="s">
        <v>328</v>
      </c>
      <c r="N23" t="s">
        <v>329</v>
      </c>
      <c r="O23" t="s">
        <v>330</v>
      </c>
      <c r="P23" t="s">
        <v>331</v>
      </c>
      <c r="U23">
        <v>0.5</v>
      </c>
      <c r="V23">
        <v>0.26800000000000002</v>
      </c>
      <c r="W23" t="s">
        <v>399</v>
      </c>
      <c r="Y23" t="s">
        <v>337</v>
      </c>
      <c r="AB23" t="s">
        <v>333</v>
      </c>
      <c r="AC23" t="s">
        <v>334</v>
      </c>
      <c r="AD23">
        <v>46.171570000000003</v>
      </c>
      <c r="AE23">
        <v>-84.078410000000005</v>
      </c>
      <c r="AF23" s="18">
        <v>40294.125</v>
      </c>
      <c r="AG23" s="19">
        <v>40293.958333333336</v>
      </c>
      <c r="AH23" t="s">
        <v>161</v>
      </c>
      <c r="AL23" t="s">
        <v>335</v>
      </c>
      <c r="AM23" s="20">
        <v>40291</v>
      </c>
      <c r="AR23" s="39" t="s">
        <v>400</v>
      </c>
      <c r="AS23" s="39"/>
      <c r="AT23" s="39">
        <v>200</v>
      </c>
      <c r="AZ23" t="s">
        <v>108</v>
      </c>
      <c r="BC23" t="s">
        <v>336</v>
      </c>
    </row>
    <row r="24" spans="1:64" x14ac:dyDescent="0.25">
      <c r="A24" t="str">
        <f t="shared" si="0"/>
        <v>A69-9002-2383</v>
      </c>
      <c r="B24" t="s">
        <v>398</v>
      </c>
      <c r="C24" t="s">
        <v>324</v>
      </c>
      <c r="D24" t="s">
        <v>325</v>
      </c>
      <c r="F24">
        <v>2383</v>
      </c>
      <c r="G24" t="s">
        <v>326</v>
      </c>
      <c r="H24" t="s">
        <v>327</v>
      </c>
      <c r="I24" s="20">
        <v>40291</v>
      </c>
      <c r="J24">
        <v>80</v>
      </c>
      <c r="L24" t="s">
        <v>109</v>
      </c>
      <c r="M24" t="s">
        <v>328</v>
      </c>
      <c r="N24" t="s">
        <v>329</v>
      </c>
      <c r="O24" t="s">
        <v>330</v>
      </c>
      <c r="P24" t="s">
        <v>331</v>
      </c>
      <c r="U24">
        <v>0.51</v>
      </c>
      <c r="V24">
        <v>0.30099999999999999</v>
      </c>
      <c r="W24" t="s">
        <v>399</v>
      </c>
      <c r="Y24" t="s">
        <v>337</v>
      </c>
      <c r="AB24" t="s">
        <v>333</v>
      </c>
      <c r="AC24" t="s">
        <v>334</v>
      </c>
      <c r="AD24">
        <v>46.171570000000003</v>
      </c>
      <c r="AE24">
        <v>-84.078410000000005</v>
      </c>
      <c r="AF24" s="18">
        <v>40294.125</v>
      </c>
      <c r="AG24" s="19">
        <v>40293.958333333336</v>
      </c>
      <c r="AH24" t="s">
        <v>161</v>
      </c>
      <c r="AL24" t="s">
        <v>335</v>
      </c>
      <c r="AM24" s="20">
        <v>40291</v>
      </c>
      <c r="AR24" s="39" t="s">
        <v>400</v>
      </c>
      <c r="AS24" s="39"/>
      <c r="AT24" s="39">
        <v>200</v>
      </c>
      <c r="AZ24" t="s">
        <v>108</v>
      </c>
      <c r="BC24" t="s">
        <v>336</v>
      </c>
    </row>
    <row r="25" spans="1:64" x14ac:dyDescent="0.25">
      <c r="A25" t="str">
        <f t="shared" si="0"/>
        <v>A69-9002-2384</v>
      </c>
      <c r="B25" t="s">
        <v>398</v>
      </c>
      <c r="C25" t="s">
        <v>324</v>
      </c>
      <c r="D25" t="s">
        <v>325</v>
      </c>
      <c r="F25">
        <v>2384</v>
      </c>
      <c r="G25" t="s">
        <v>326</v>
      </c>
      <c r="H25" t="s">
        <v>327</v>
      </c>
      <c r="I25" s="20">
        <v>40291</v>
      </c>
      <c r="J25">
        <v>80</v>
      </c>
      <c r="L25" t="s">
        <v>109</v>
      </c>
      <c r="M25" t="s">
        <v>328</v>
      </c>
      <c r="N25" t="s">
        <v>329</v>
      </c>
      <c r="O25" t="s">
        <v>330</v>
      </c>
      <c r="P25" t="s">
        <v>331</v>
      </c>
      <c r="U25">
        <v>0.53</v>
      </c>
      <c r="V25">
        <v>0.35299999999999998</v>
      </c>
      <c r="W25" t="s">
        <v>399</v>
      </c>
      <c r="Y25" t="s">
        <v>337</v>
      </c>
      <c r="AB25" t="s">
        <v>333</v>
      </c>
      <c r="AC25" t="s">
        <v>334</v>
      </c>
      <c r="AD25">
        <v>46.171570000000003</v>
      </c>
      <c r="AE25">
        <v>-84.078410000000005</v>
      </c>
      <c r="AF25" s="18">
        <v>40294.125</v>
      </c>
      <c r="AG25" s="19">
        <v>40293.958333333336</v>
      </c>
      <c r="AH25" t="s">
        <v>161</v>
      </c>
      <c r="AL25" t="s">
        <v>335</v>
      </c>
      <c r="AM25" s="20">
        <v>40291</v>
      </c>
      <c r="AR25" s="39" t="s">
        <v>400</v>
      </c>
      <c r="AS25" s="39"/>
      <c r="AT25" s="39">
        <v>200</v>
      </c>
      <c r="AZ25" t="s">
        <v>108</v>
      </c>
      <c r="BC25" t="s">
        <v>336</v>
      </c>
    </row>
    <row r="26" spans="1:64" x14ac:dyDescent="0.25">
      <c r="A26" t="str">
        <f t="shared" si="0"/>
        <v>A69-9002-2385</v>
      </c>
      <c r="B26" t="s">
        <v>398</v>
      </c>
      <c r="C26" t="s">
        <v>324</v>
      </c>
      <c r="D26" t="s">
        <v>325</v>
      </c>
      <c r="F26">
        <v>2385</v>
      </c>
      <c r="G26" t="s">
        <v>326</v>
      </c>
      <c r="H26" t="s">
        <v>327</v>
      </c>
      <c r="I26" s="20">
        <v>40291</v>
      </c>
      <c r="J26">
        <v>80</v>
      </c>
      <c r="L26" t="s">
        <v>109</v>
      </c>
      <c r="M26" t="s">
        <v>328</v>
      </c>
      <c r="N26" t="s">
        <v>329</v>
      </c>
      <c r="O26" t="s">
        <v>330</v>
      </c>
      <c r="P26" t="s">
        <v>331</v>
      </c>
      <c r="U26">
        <v>0.49</v>
      </c>
      <c r="V26">
        <v>0.27800000000000002</v>
      </c>
      <c r="W26" t="s">
        <v>399</v>
      </c>
      <c r="Y26" t="s">
        <v>337</v>
      </c>
      <c r="AB26" t="s">
        <v>333</v>
      </c>
      <c r="AC26" t="s">
        <v>334</v>
      </c>
      <c r="AD26">
        <v>46.171570000000003</v>
      </c>
      <c r="AE26">
        <v>-84.078410000000005</v>
      </c>
      <c r="AF26" s="18">
        <v>40294.125</v>
      </c>
      <c r="AG26" s="19">
        <v>40293.958333333336</v>
      </c>
      <c r="AH26" t="s">
        <v>161</v>
      </c>
      <c r="AL26" t="s">
        <v>335</v>
      </c>
      <c r="AM26" s="20">
        <v>40291</v>
      </c>
      <c r="AR26" s="39" t="s">
        <v>400</v>
      </c>
      <c r="AS26" s="39"/>
      <c r="AT26" s="39">
        <v>200</v>
      </c>
      <c r="AZ26" t="s">
        <v>108</v>
      </c>
      <c r="BC26" t="s">
        <v>163</v>
      </c>
      <c r="BD26" s="20">
        <v>40334</v>
      </c>
      <c r="BF26" s="21" t="s">
        <v>406</v>
      </c>
      <c r="BG26" s="38" t="s">
        <v>113</v>
      </c>
      <c r="BH26" t="s">
        <v>425</v>
      </c>
      <c r="BI26" s="39">
        <v>46.504829000000001</v>
      </c>
      <c r="BJ26" s="39">
        <v>-84.354651000000004</v>
      </c>
      <c r="BK26" t="s">
        <v>405</v>
      </c>
      <c r="BL26" s="39" t="s">
        <v>336</v>
      </c>
    </row>
    <row r="27" spans="1:64" x14ac:dyDescent="0.25">
      <c r="A27" t="str">
        <f t="shared" si="0"/>
        <v>A69-9002-2387</v>
      </c>
      <c r="B27" t="s">
        <v>398</v>
      </c>
      <c r="C27" t="s">
        <v>324</v>
      </c>
      <c r="D27" t="s">
        <v>325</v>
      </c>
      <c r="F27">
        <v>2387</v>
      </c>
      <c r="G27" t="s">
        <v>326</v>
      </c>
      <c r="H27" t="s">
        <v>327</v>
      </c>
      <c r="I27" s="20">
        <v>40291</v>
      </c>
      <c r="J27">
        <v>80</v>
      </c>
      <c r="L27" t="s">
        <v>109</v>
      </c>
      <c r="M27" t="s">
        <v>328</v>
      </c>
      <c r="N27" t="s">
        <v>329</v>
      </c>
      <c r="O27" t="s">
        <v>330</v>
      </c>
      <c r="P27" t="s">
        <v>331</v>
      </c>
      <c r="U27">
        <v>0.56000000000000005</v>
      </c>
      <c r="V27">
        <v>0.377</v>
      </c>
      <c r="W27" t="s">
        <v>399</v>
      </c>
      <c r="Y27" t="s">
        <v>337</v>
      </c>
      <c r="AB27" t="s">
        <v>333</v>
      </c>
      <c r="AC27" t="s">
        <v>334</v>
      </c>
      <c r="AD27">
        <v>46.171570000000003</v>
      </c>
      <c r="AE27">
        <v>-84.078410000000005</v>
      </c>
      <c r="AF27" s="18">
        <v>40294.125</v>
      </c>
      <c r="AG27" s="19">
        <v>40293.958333333336</v>
      </c>
      <c r="AH27" t="s">
        <v>161</v>
      </c>
      <c r="AL27" t="s">
        <v>335</v>
      </c>
      <c r="AM27" s="20">
        <v>40291</v>
      </c>
      <c r="AR27" s="39" t="s">
        <v>400</v>
      </c>
      <c r="AS27" s="39"/>
      <c r="AT27" s="39">
        <v>200</v>
      </c>
      <c r="AZ27" t="s">
        <v>108</v>
      </c>
      <c r="BC27" t="s">
        <v>336</v>
      </c>
    </row>
    <row r="28" spans="1:64" x14ac:dyDescent="0.25">
      <c r="A28" t="str">
        <f t="shared" si="0"/>
        <v>A69-9002-2332</v>
      </c>
      <c r="B28" t="s">
        <v>398</v>
      </c>
      <c r="C28" t="s">
        <v>324</v>
      </c>
      <c r="D28" t="s">
        <v>325</v>
      </c>
      <c r="F28">
        <v>2332</v>
      </c>
      <c r="G28" t="s">
        <v>326</v>
      </c>
      <c r="H28" t="s">
        <v>327</v>
      </c>
      <c r="I28" s="20">
        <v>40291</v>
      </c>
      <c r="J28">
        <v>80</v>
      </c>
      <c r="L28" t="s">
        <v>109</v>
      </c>
      <c r="M28" t="s">
        <v>328</v>
      </c>
      <c r="N28" t="s">
        <v>329</v>
      </c>
      <c r="O28" t="s">
        <v>330</v>
      </c>
      <c r="P28" t="s">
        <v>331</v>
      </c>
      <c r="U28">
        <v>0.53</v>
      </c>
      <c r="V28">
        <v>0.312</v>
      </c>
      <c r="W28" t="s">
        <v>399</v>
      </c>
      <c r="Y28" t="s">
        <v>332</v>
      </c>
      <c r="AB28" t="s">
        <v>333</v>
      </c>
      <c r="AC28" t="s">
        <v>334</v>
      </c>
      <c r="AD28">
        <v>46.171570000000003</v>
      </c>
      <c r="AE28">
        <v>-84.078410000000005</v>
      </c>
      <c r="AF28" s="18">
        <v>40294.125</v>
      </c>
      <c r="AG28" s="19">
        <v>40293.958333333336</v>
      </c>
      <c r="AH28" t="s">
        <v>161</v>
      </c>
      <c r="AL28" t="s">
        <v>335</v>
      </c>
      <c r="AM28" s="20">
        <v>40291</v>
      </c>
      <c r="AR28" s="39" t="s">
        <v>400</v>
      </c>
      <c r="AS28" s="39"/>
      <c r="AT28" s="39">
        <v>200</v>
      </c>
      <c r="AZ28" t="s">
        <v>108</v>
      </c>
      <c r="BC28" t="s">
        <v>336</v>
      </c>
    </row>
    <row r="29" spans="1:64" x14ac:dyDescent="0.25">
      <c r="A29" t="str">
        <f t="shared" si="0"/>
        <v>A69-9002-2336</v>
      </c>
      <c r="B29" t="s">
        <v>398</v>
      </c>
      <c r="C29" t="s">
        <v>324</v>
      </c>
      <c r="D29" t="s">
        <v>325</v>
      </c>
      <c r="F29">
        <v>2336</v>
      </c>
      <c r="G29" t="s">
        <v>326</v>
      </c>
      <c r="H29" t="s">
        <v>327</v>
      </c>
      <c r="I29" s="20">
        <v>40291</v>
      </c>
      <c r="J29">
        <v>80</v>
      </c>
      <c r="L29" t="s">
        <v>109</v>
      </c>
      <c r="M29" t="s">
        <v>328</v>
      </c>
      <c r="N29" t="s">
        <v>329</v>
      </c>
      <c r="O29" t="s">
        <v>330</v>
      </c>
      <c r="P29" t="s">
        <v>331</v>
      </c>
      <c r="U29">
        <v>0.56000000000000005</v>
      </c>
      <c r="V29">
        <v>0.35499999999999998</v>
      </c>
      <c r="W29" t="s">
        <v>399</v>
      </c>
      <c r="Y29" t="s">
        <v>332</v>
      </c>
      <c r="AB29" t="s">
        <v>333</v>
      </c>
      <c r="AC29" t="s">
        <v>334</v>
      </c>
      <c r="AD29">
        <v>46.171570000000003</v>
      </c>
      <c r="AE29">
        <v>-84.078410000000005</v>
      </c>
      <c r="AF29" s="18">
        <v>40294.125</v>
      </c>
      <c r="AG29" s="19">
        <v>40293.958333333336</v>
      </c>
      <c r="AH29" t="s">
        <v>161</v>
      </c>
      <c r="AL29" t="s">
        <v>335</v>
      </c>
      <c r="AM29" s="20">
        <v>40291</v>
      </c>
      <c r="AR29" s="39" t="s">
        <v>400</v>
      </c>
      <c r="AS29" s="39"/>
      <c r="AT29" s="39">
        <v>200</v>
      </c>
      <c r="AZ29" t="s">
        <v>108</v>
      </c>
      <c r="BC29" t="s">
        <v>336</v>
      </c>
    </row>
    <row r="30" spans="1:64" x14ac:dyDescent="0.25">
      <c r="A30" t="str">
        <f t="shared" si="0"/>
        <v>A69-9002-2340</v>
      </c>
      <c r="B30" t="s">
        <v>398</v>
      </c>
      <c r="C30" t="s">
        <v>324</v>
      </c>
      <c r="D30" t="s">
        <v>325</v>
      </c>
      <c r="F30">
        <v>2340</v>
      </c>
      <c r="G30" t="s">
        <v>326</v>
      </c>
      <c r="H30" t="s">
        <v>327</v>
      </c>
      <c r="I30" s="20">
        <v>40291</v>
      </c>
      <c r="J30">
        <v>80</v>
      </c>
      <c r="L30" t="s">
        <v>109</v>
      </c>
      <c r="M30" t="s">
        <v>328</v>
      </c>
      <c r="N30" t="s">
        <v>329</v>
      </c>
      <c r="O30" t="s">
        <v>330</v>
      </c>
      <c r="P30" t="s">
        <v>331</v>
      </c>
      <c r="U30">
        <v>0.51</v>
      </c>
      <c r="V30">
        <v>0.27600000000000002</v>
      </c>
      <c r="W30" t="s">
        <v>399</v>
      </c>
      <c r="Y30" t="s">
        <v>337</v>
      </c>
      <c r="AB30" t="s">
        <v>333</v>
      </c>
      <c r="AC30" t="s">
        <v>334</v>
      </c>
      <c r="AD30">
        <v>46.171570000000003</v>
      </c>
      <c r="AE30">
        <v>-84.078410000000005</v>
      </c>
      <c r="AF30" s="18">
        <v>40294.125</v>
      </c>
      <c r="AG30" s="19">
        <v>40293.958333333336</v>
      </c>
      <c r="AH30" t="s">
        <v>161</v>
      </c>
      <c r="AL30" t="s">
        <v>335</v>
      </c>
      <c r="AM30" s="20">
        <v>40291</v>
      </c>
      <c r="AR30" s="39" t="s">
        <v>400</v>
      </c>
      <c r="AS30" s="39"/>
      <c r="AT30" s="39">
        <v>200</v>
      </c>
      <c r="AZ30" t="s">
        <v>108</v>
      </c>
      <c r="BC30" t="s">
        <v>336</v>
      </c>
    </row>
    <row r="31" spans="1:64" x14ac:dyDescent="0.25">
      <c r="A31" t="str">
        <f t="shared" si="0"/>
        <v>A69-9002-2344</v>
      </c>
      <c r="B31" t="s">
        <v>398</v>
      </c>
      <c r="C31" t="s">
        <v>324</v>
      </c>
      <c r="D31" t="s">
        <v>325</v>
      </c>
      <c r="F31">
        <v>2344</v>
      </c>
      <c r="G31" t="s">
        <v>326</v>
      </c>
      <c r="H31" t="s">
        <v>327</v>
      </c>
      <c r="I31" s="20">
        <v>40291</v>
      </c>
      <c r="J31">
        <v>80</v>
      </c>
      <c r="L31" t="s">
        <v>109</v>
      </c>
      <c r="M31" t="s">
        <v>328</v>
      </c>
      <c r="N31" t="s">
        <v>329</v>
      </c>
      <c r="O31" t="s">
        <v>330</v>
      </c>
      <c r="P31" t="s">
        <v>331</v>
      </c>
      <c r="U31">
        <v>0.51</v>
      </c>
      <c r="V31">
        <v>0.26500000000000001</v>
      </c>
      <c r="W31" t="s">
        <v>399</v>
      </c>
      <c r="Y31" t="s">
        <v>332</v>
      </c>
      <c r="AB31" t="s">
        <v>333</v>
      </c>
      <c r="AC31" t="s">
        <v>334</v>
      </c>
      <c r="AD31">
        <v>46.171570000000003</v>
      </c>
      <c r="AE31">
        <v>-84.078410000000005</v>
      </c>
      <c r="AF31" s="18">
        <v>40294.125</v>
      </c>
      <c r="AG31" s="19">
        <v>40293.958333333336</v>
      </c>
      <c r="AH31" t="s">
        <v>161</v>
      </c>
      <c r="AL31" t="s">
        <v>335</v>
      </c>
      <c r="AM31" s="20">
        <v>40291</v>
      </c>
      <c r="AR31" s="39" t="s">
        <v>400</v>
      </c>
      <c r="AS31" s="39"/>
      <c r="AT31" s="39">
        <v>200</v>
      </c>
      <c r="AZ31" t="s">
        <v>108</v>
      </c>
      <c r="BC31" t="s">
        <v>336</v>
      </c>
    </row>
    <row r="32" spans="1:64" x14ac:dyDescent="0.25">
      <c r="A32" t="str">
        <f t="shared" si="0"/>
        <v>A69-9002-2348</v>
      </c>
      <c r="B32" t="s">
        <v>398</v>
      </c>
      <c r="C32" t="s">
        <v>324</v>
      </c>
      <c r="D32" t="s">
        <v>325</v>
      </c>
      <c r="F32">
        <v>2348</v>
      </c>
      <c r="G32" t="s">
        <v>326</v>
      </c>
      <c r="H32" t="s">
        <v>327</v>
      </c>
      <c r="I32" s="20">
        <v>40291</v>
      </c>
      <c r="J32">
        <v>80</v>
      </c>
      <c r="L32" t="s">
        <v>109</v>
      </c>
      <c r="M32" t="s">
        <v>328</v>
      </c>
      <c r="N32" t="s">
        <v>329</v>
      </c>
      <c r="O32" t="s">
        <v>330</v>
      </c>
      <c r="P32" t="s">
        <v>331</v>
      </c>
      <c r="U32">
        <v>0.5</v>
      </c>
      <c r="V32">
        <v>0.221</v>
      </c>
      <c r="W32" t="s">
        <v>399</v>
      </c>
      <c r="Y32" t="s">
        <v>337</v>
      </c>
      <c r="AB32" t="s">
        <v>333</v>
      </c>
      <c r="AC32" t="s">
        <v>334</v>
      </c>
      <c r="AD32">
        <v>46.171570000000003</v>
      </c>
      <c r="AE32">
        <v>-84.078410000000005</v>
      </c>
      <c r="AF32" s="18">
        <v>40294.125</v>
      </c>
      <c r="AG32" s="19">
        <v>40293.958333333336</v>
      </c>
      <c r="AH32" t="s">
        <v>161</v>
      </c>
      <c r="AL32" t="s">
        <v>335</v>
      </c>
      <c r="AM32" s="20">
        <v>40291</v>
      </c>
      <c r="AR32" s="39" t="s">
        <v>400</v>
      </c>
      <c r="AS32" s="39"/>
      <c r="AT32" s="39">
        <v>200</v>
      </c>
      <c r="AZ32" t="s">
        <v>108</v>
      </c>
      <c r="BC32" t="s">
        <v>336</v>
      </c>
    </row>
    <row r="33" spans="1:73" x14ac:dyDescent="0.25">
      <c r="A33" t="str">
        <f t="shared" si="0"/>
        <v>A69-9002-2364</v>
      </c>
      <c r="B33" t="s">
        <v>398</v>
      </c>
      <c r="C33" t="s">
        <v>324</v>
      </c>
      <c r="D33" t="s">
        <v>325</v>
      </c>
      <c r="F33">
        <v>2364</v>
      </c>
      <c r="G33" t="s">
        <v>326</v>
      </c>
      <c r="H33" t="s">
        <v>327</v>
      </c>
      <c r="I33" s="20">
        <v>40291</v>
      </c>
      <c r="J33">
        <v>80</v>
      </c>
      <c r="L33" t="s">
        <v>109</v>
      </c>
      <c r="M33" t="s">
        <v>328</v>
      </c>
      <c r="N33" t="s">
        <v>329</v>
      </c>
      <c r="O33" t="s">
        <v>330</v>
      </c>
      <c r="P33" t="s">
        <v>331</v>
      </c>
      <c r="U33">
        <v>0.57999999999999996</v>
      </c>
      <c r="V33">
        <v>0.40799999999999997</v>
      </c>
      <c r="W33" t="s">
        <v>399</v>
      </c>
      <c r="Y33" t="s">
        <v>337</v>
      </c>
      <c r="AB33" t="s">
        <v>333</v>
      </c>
      <c r="AC33" t="s">
        <v>334</v>
      </c>
      <c r="AD33">
        <v>46.171570000000003</v>
      </c>
      <c r="AE33">
        <v>-84.078410000000005</v>
      </c>
      <c r="AF33" s="18">
        <v>40294.125</v>
      </c>
      <c r="AG33" s="19">
        <v>40293.958333333336</v>
      </c>
      <c r="AH33" t="s">
        <v>161</v>
      </c>
      <c r="AL33" t="s">
        <v>335</v>
      </c>
      <c r="AM33" s="20">
        <v>40291</v>
      </c>
      <c r="AR33" s="39" t="s">
        <v>400</v>
      </c>
      <c r="AS33" s="39"/>
      <c r="AT33" s="39">
        <v>200</v>
      </c>
      <c r="AZ33" t="s">
        <v>108</v>
      </c>
      <c r="BC33" t="s">
        <v>336</v>
      </c>
    </row>
    <row r="34" spans="1:73" x14ac:dyDescent="0.25">
      <c r="A34" t="str">
        <f t="shared" si="0"/>
        <v>A69-9002-2353</v>
      </c>
      <c r="B34" t="s">
        <v>398</v>
      </c>
      <c r="C34" t="s">
        <v>324</v>
      </c>
      <c r="D34" t="s">
        <v>325</v>
      </c>
      <c r="F34">
        <v>2353</v>
      </c>
      <c r="G34" t="s">
        <v>326</v>
      </c>
      <c r="H34" t="s">
        <v>327</v>
      </c>
      <c r="I34" s="20">
        <v>40291</v>
      </c>
      <c r="J34">
        <v>80</v>
      </c>
      <c r="L34" t="s">
        <v>109</v>
      </c>
      <c r="M34" t="s">
        <v>328</v>
      </c>
      <c r="N34" t="s">
        <v>329</v>
      </c>
      <c r="O34" t="s">
        <v>330</v>
      </c>
      <c r="P34" t="s">
        <v>331</v>
      </c>
      <c r="U34">
        <v>0.55000000000000004</v>
      </c>
      <c r="V34">
        <v>0.36499999999999999</v>
      </c>
      <c r="W34" t="s">
        <v>399</v>
      </c>
      <c r="Y34" t="s">
        <v>332</v>
      </c>
      <c r="AB34" t="s">
        <v>333</v>
      </c>
      <c r="AC34" t="s">
        <v>334</v>
      </c>
      <c r="AD34">
        <v>46.171570000000003</v>
      </c>
      <c r="AE34">
        <v>-84.078410000000005</v>
      </c>
      <c r="AF34" s="18">
        <v>40294.125</v>
      </c>
      <c r="AG34" s="19">
        <v>40293.958333333336</v>
      </c>
      <c r="AH34" t="s">
        <v>161</v>
      </c>
      <c r="AL34" t="s">
        <v>335</v>
      </c>
      <c r="AM34" s="20">
        <v>40291</v>
      </c>
      <c r="AR34" s="39" t="s">
        <v>400</v>
      </c>
      <c r="AS34" s="39"/>
      <c r="AT34" s="39">
        <v>200</v>
      </c>
      <c r="AZ34" t="s">
        <v>108</v>
      </c>
      <c r="BC34" t="s">
        <v>336</v>
      </c>
    </row>
    <row r="35" spans="1:73" x14ac:dyDescent="0.25">
      <c r="A35" t="str">
        <f t="shared" si="0"/>
        <v>A69-9002-2354</v>
      </c>
      <c r="B35" t="s">
        <v>398</v>
      </c>
      <c r="C35" t="s">
        <v>324</v>
      </c>
      <c r="D35" t="s">
        <v>325</v>
      </c>
      <c r="F35">
        <v>2354</v>
      </c>
      <c r="G35" t="s">
        <v>326</v>
      </c>
      <c r="H35" t="s">
        <v>327</v>
      </c>
      <c r="I35" s="20">
        <v>40291</v>
      </c>
      <c r="J35">
        <v>80</v>
      </c>
      <c r="L35" t="s">
        <v>109</v>
      </c>
      <c r="M35" t="s">
        <v>328</v>
      </c>
      <c r="N35" t="s">
        <v>329</v>
      </c>
      <c r="O35" t="s">
        <v>330</v>
      </c>
      <c r="P35" t="s">
        <v>331</v>
      </c>
      <c r="U35">
        <v>0.56999999999999995</v>
      </c>
      <c r="V35">
        <v>0.35199999999999998</v>
      </c>
      <c r="W35" t="s">
        <v>399</v>
      </c>
      <c r="Y35" t="s">
        <v>332</v>
      </c>
      <c r="AB35" t="s">
        <v>333</v>
      </c>
      <c r="AC35" t="s">
        <v>334</v>
      </c>
      <c r="AD35">
        <v>46.171570000000003</v>
      </c>
      <c r="AE35">
        <v>-84.078410000000005</v>
      </c>
      <c r="AF35" s="18">
        <v>40294.125</v>
      </c>
      <c r="AG35" s="19">
        <v>40293.958333333336</v>
      </c>
      <c r="AH35" t="s">
        <v>161</v>
      </c>
      <c r="AL35" t="s">
        <v>335</v>
      </c>
      <c r="AM35" s="20">
        <v>40291</v>
      </c>
      <c r="AR35" s="39" t="s">
        <v>400</v>
      </c>
      <c r="AS35" s="39"/>
      <c r="AT35" s="39">
        <v>200</v>
      </c>
      <c r="AZ35" t="s">
        <v>108</v>
      </c>
      <c r="BC35" t="s">
        <v>336</v>
      </c>
    </row>
    <row r="36" spans="1:73" x14ac:dyDescent="0.25">
      <c r="A36" t="str">
        <f t="shared" si="0"/>
        <v>A69-9002-2355</v>
      </c>
      <c r="B36" t="s">
        <v>398</v>
      </c>
      <c r="C36" t="s">
        <v>324</v>
      </c>
      <c r="D36" t="s">
        <v>325</v>
      </c>
      <c r="F36">
        <v>2355</v>
      </c>
      <c r="G36" t="s">
        <v>326</v>
      </c>
      <c r="H36" t="s">
        <v>327</v>
      </c>
      <c r="I36" s="20">
        <v>40291</v>
      </c>
      <c r="J36">
        <v>80</v>
      </c>
      <c r="L36" t="s">
        <v>109</v>
      </c>
      <c r="M36" t="s">
        <v>328</v>
      </c>
      <c r="N36" t="s">
        <v>329</v>
      </c>
      <c r="O36" t="s">
        <v>330</v>
      </c>
      <c r="P36" t="s">
        <v>331</v>
      </c>
      <c r="U36">
        <v>0.51</v>
      </c>
      <c r="V36">
        <v>0.29799999999999999</v>
      </c>
      <c r="W36" t="s">
        <v>399</v>
      </c>
      <c r="Y36" t="s">
        <v>332</v>
      </c>
      <c r="AB36" t="s">
        <v>333</v>
      </c>
      <c r="AC36" t="s">
        <v>334</v>
      </c>
      <c r="AD36">
        <v>46.171570000000003</v>
      </c>
      <c r="AE36">
        <v>-84.078410000000005</v>
      </c>
      <c r="AF36" s="18">
        <v>40294.125</v>
      </c>
      <c r="AG36" s="19">
        <v>40293.958333333336</v>
      </c>
      <c r="AH36" t="s">
        <v>161</v>
      </c>
      <c r="AL36" t="s">
        <v>335</v>
      </c>
      <c r="AM36" s="20">
        <v>40291</v>
      </c>
      <c r="AR36" s="39" t="s">
        <v>400</v>
      </c>
      <c r="AS36" s="39"/>
      <c r="AT36" s="39">
        <v>200</v>
      </c>
      <c r="AZ36" t="s">
        <v>108</v>
      </c>
      <c r="BC36" t="s">
        <v>163</v>
      </c>
      <c r="BD36" s="20">
        <v>40352</v>
      </c>
      <c r="BF36" s="21" t="s">
        <v>406</v>
      </c>
      <c r="BG36" s="1" t="s">
        <v>113</v>
      </c>
      <c r="BH36" s="1" t="s">
        <v>408</v>
      </c>
      <c r="BI36" s="1">
        <v>46.514783999999999</v>
      </c>
      <c r="BJ36" s="1">
        <v>-84.346945000000005</v>
      </c>
      <c r="BK36" s="1" t="s">
        <v>404</v>
      </c>
      <c r="BL36" s="1" t="s">
        <v>336</v>
      </c>
      <c r="BM36" s="1"/>
      <c r="BN36" s="1"/>
      <c r="BO36" s="1"/>
      <c r="BP36" s="1"/>
      <c r="BQ36" s="1"/>
      <c r="BR36" s="1"/>
      <c r="BS36" s="1"/>
      <c r="BT36" s="1"/>
      <c r="BU36" s="1" t="s">
        <v>435</v>
      </c>
    </row>
    <row r="37" spans="1:73" x14ac:dyDescent="0.25">
      <c r="A37" t="str">
        <f t="shared" si="0"/>
        <v>A69-9002-2356</v>
      </c>
      <c r="B37" t="s">
        <v>398</v>
      </c>
      <c r="C37" t="s">
        <v>324</v>
      </c>
      <c r="D37" t="s">
        <v>325</v>
      </c>
      <c r="F37">
        <v>2356</v>
      </c>
      <c r="G37" t="s">
        <v>326</v>
      </c>
      <c r="H37" t="s">
        <v>327</v>
      </c>
      <c r="I37" s="20">
        <v>40291</v>
      </c>
      <c r="J37">
        <v>80</v>
      </c>
      <c r="L37" t="s">
        <v>109</v>
      </c>
      <c r="M37" t="s">
        <v>328</v>
      </c>
      <c r="N37" t="s">
        <v>329</v>
      </c>
      <c r="O37" t="s">
        <v>330</v>
      </c>
      <c r="P37" t="s">
        <v>331</v>
      </c>
      <c r="U37">
        <v>0.53</v>
      </c>
      <c r="V37">
        <v>0.33</v>
      </c>
      <c r="W37" t="s">
        <v>399</v>
      </c>
      <c r="Y37" t="s">
        <v>332</v>
      </c>
      <c r="AB37" t="s">
        <v>333</v>
      </c>
      <c r="AC37" t="s">
        <v>334</v>
      </c>
      <c r="AD37">
        <v>46.171570000000003</v>
      </c>
      <c r="AE37">
        <v>-84.078410000000005</v>
      </c>
      <c r="AF37" s="18">
        <v>40294.125</v>
      </c>
      <c r="AG37" s="19">
        <v>40293.958333333336</v>
      </c>
      <c r="AH37" t="s">
        <v>161</v>
      </c>
      <c r="AL37" t="s">
        <v>335</v>
      </c>
      <c r="AM37" s="20">
        <v>40291</v>
      </c>
      <c r="AR37" s="39" t="s">
        <v>400</v>
      </c>
      <c r="AS37" s="39"/>
      <c r="AT37" s="39">
        <v>200</v>
      </c>
      <c r="AZ37" t="s">
        <v>108</v>
      </c>
      <c r="BC37" t="s">
        <v>336</v>
      </c>
    </row>
    <row r="38" spans="1:73" x14ac:dyDescent="0.25">
      <c r="A38" t="str">
        <f t="shared" si="0"/>
        <v>A69-9002-2357</v>
      </c>
      <c r="B38" t="s">
        <v>398</v>
      </c>
      <c r="C38" t="s">
        <v>324</v>
      </c>
      <c r="D38" t="s">
        <v>325</v>
      </c>
      <c r="F38">
        <v>2357</v>
      </c>
      <c r="G38" t="s">
        <v>326</v>
      </c>
      <c r="H38" t="s">
        <v>327</v>
      </c>
      <c r="I38" s="20">
        <v>40291</v>
      </c>
      <c r="J38">
        <v>80</v>
      </c>
      <c r="L38" t="s">
        <v>109</v>
      </c>
      <c r="M38" t="s">
        <v>328</v>
      </c>
      <c r="N38" t="s">
        <v>329</v>
      </c>
      <c r="O38" t="s">
        <v>330</v>
      </c>
      <c r="P38" t="s">
        <v>331</v>
      </c>
      <c r="U38">
        <v>0.54</v>
      </c>
      <c r="V38">
        <v>0.312</v>
      </c>
      <c r="W38" t="s">
        <v>399</v>
      </c>
      <c r="Y38" t="s">
        <v>332</v>
      </c>
      <c r="AB38" t="s">
        <v>333</v>
      </c>
      <c r="AC38" t="s">
        <v>334</v>
      </c>
      <c r="AD38">
        <v>46.171570000000003</v>
      </c>
      <c r="AE38">
        <v>-84.078410000000005</v>
      </c>
      <c r="AF38" s="18">
        <v>40294.125</v>
      </c>
      <c r="AG38" s="19">
        <v>40293.958333333336</v>
      </c>
      <c r="AH38" t="s">
        <v>161</v>
      </c>
      <c r="AL38" t="s">
        <v>335</v>
      </c>
      <c r="AM38" s="20">
        <v>40291</v>
      </c>
      <c r="AR38" s="39" t="s">
        <v>400</v>
      </c>
      <c r="AS38" s="39"/>
      <c r="AT38" s="39">
        <v>200</v>
      </c>
      <c r="AZ38" t="s">
        <v>108</v>
      </c>
      <c r="BC38" t="s">
        <v>336</v>
      </c>
    </row>
    <row r="39" spans="1:73" x14ac:dyDescent="0.25">
      <c r="A39" t="str">
        <f t="shared" si="0"/>
        <v>A69-9002-2358</v>
      </c>
      <c r="B39" t="s">
        <v>398</v>
      </c>
      <c r="C39" t="s">
        <v>324</v>
      </c>
      <c r="D39" t="s">
        <v>325</v>
      </c>
      <c r="F39">
        <v>2358</v>
      </c>
      <c r="G39" t="s">
        <v>326</v>
      </c>
      <c r="H39" t="s">
        <v>327</v>
      </c>
      <c r="I39" s="20">
        <v>40291</v>
      </c>
      <c r="J39">
        <v>80</v>
      </c>
      <c r="L39" t="s">
        <v>109</v>
      </c>
      <c r="M39" t="s">
        <v>328</v>
      </c>
      <c r="N39" t="s">
        <v>329</v>
      </c>
      <c r="O39" t="s">
        <v>330</v>
      </c>
      <c r="P39" t="s">
        <v>331</v>
      </c>
      <c r="U39">
        <v>0.54</v>
      </c>
      <c r="V39">
        <v>0.34300000000000003</v>
      </c>
      <c r="W39" t="s">
        <v>399</v>
      </c>
      <c r="Y39" t="s">
        <v>332</v>
      </c>
      <c r="AB39" t="s">
        <v>333</v>
      </c>
      <c r="AC39" t="s">
        <v>334</v>
      </c>
      <c r="AD39">
        <v>46.171570000000003</v>
      </c>
      <c r="AE39">
        <v>-84.078410000000005</v>
      </c>
      <c r="AF39" s="18">
        <v>40294.125</v>
      </c>
      <c r="AG39" s="19">
        <v>40293.958333333336</v>
      </c>
      <c r="AH39" t="s">
        <v>161</v>
      </c>
      <c r="AL39" t="s">
        <v>335</v>
      </c>
      <c r="AM39" s="20">
        <v>40291</v>
      </c>
      <c r="AR39" s="39" t="s">
        <v>400</v>
      </c>
      <c r="AS39" s="39"/>
      <c r="AT39" s="39">
        <v>200</v>
      </c>
      <c r="AZ39" t="s">
        <v>108</v>
      </c>
      <c r="BC39" t="s">
        <v>336</v>
      </c>
    </row>
    <row r="40" spans="1:73" x14ac:dyDescent="0.25">
      <c r="A40" t="str">
        <f t="shared" si="0"/>
        <v>A69-9002-2359</v>
      </c>
      <c r="B40" t="s">
        <v>398</v>
      </c>
      <c r="C40" t="s">
        <v>324</v>
      </c>
      <c r="D40" t="s">
        <v>325</v>
      </c>
      <c r="F40">
        <v>2359</v>
      </c>
      <c r="G40" t="s">
        <v>326</v>
      </c>
      <c r="H40" t="s">
        <v>327</v>
      </c>
      <c r="I40" s="20">
        <v>40291</v>
      </c>
      <c r="J40">
        <v>80</v>
      </c>
      <c r="L40" t="s">
        <v>109</v>
      </c>
      <c r="M40" t="s">
        <v>328</v>
      </c>
      <c r="N40" t="s">
        <v>329</v>
      </c>
      <c r="O40" t="s">
        <v>330</v>
      </c>
      <c r="P40" t="s">
        <v>331</v>
      </c>
      <c r="U40">
        <v>0.53</v>
      </c>
      <c r="V40">
        <v>0.28299999999999997</v>
      </c>
      <c r="W40" t="s">
        <v>399</v>
      </c>
      <c r="Y40" t="s">
        <v>332</v>
      </c>
      <c r="AB40" t="s">
        <v>333</v>
      </c>
      <c r="AC40" t="s">
        <v>334</v>
      </c>
      <c r="AD40">
        <v>46.171570000000003</v>
      </c>
      <c r="AE40">
        <v>-84.078410000000005</v>
      </c>
      <c r="AF40" s="18">
        <v>40294.125</v>
      </c>
      <c r="AG40" s="19">
        <v>40293.958333333336</v>
      </c>
      <c r="AH40" t="s">
        <v>161</v>
      </c>
      <c r="AL40" t="s">
        <v>335</v>
      </c>
      <c r="AM40" s="20">
        <v>40291</v>
      </c>
      <c r="AR40" s="39" t="s">
        <v>400</v>
      </c>
      <c r="AS40" s="39"/>
      <c r="AT40" s="39">
        <v>200</v>
      </c>
      <c r="AZ40" t="s">
        <v>108</v>
      </c>
      <c r="BC40" t="s">
        <v>336</v>
      </c>
    </row>
    <row r="41" spans="1:73" x14ac:dyDescent="0.25">
      <c r="A41" t="str">
        <f t="shared" si="0"/>
        <v>A69-9002-2360</v>
      </c>
      <c r="B41" t="s">
        <v>398</v>
      </c>
      <c r="C41" t="s">
        <v>324</v>
      </c>
      <c r="D41" t="s">
        <v>325</v>
      </c>
      <c r="F41">
        <v>2360</v>
      </c>
      <c r="G41" t="s">
        <v>326</v>
      </c>
      <c r="H41" t="s">
        <v>327</v>
      </c>
      <c r="I41" s="20">
        <v>40291</v>
      </c>
      <c r="J41">
        <v>80</v>
      </c>
      <c r="L41" t="s">
        <v>109</v>
      </c>
      <c r="M41" t="s">
        <v>328</v>
      </c>
      <c r="N41" t="s">
        <v>329</v>
      </c>
      <c r="O41" t="s">
        <v>330</v>
      </c>
      <c r="P41" t="s">
        <v>331</v>
      </c>
      <c r="U41">
        <v>0.54</v>
      </c>
      <c r="V41">
        <v>0.32</v>
      </c>
      <c r="W41" t="s">
        <v>399</v>
      </c>
      <c r="Y41" t="s">
        <v>332</v>
      </c>
      <c r="AB41" t="s">
        <v>333</v>
      </c>
      <c r="AC41" t="s">
        <v>334</v>
      </c>
      <c r="AD41">
        <v>46.171570000000003</v>
      </c>
      <c r="AE41">
        <v>-84.078410000000005</v>
      </c>
      <c r="AF41" s="18">
        <v>40294.125</v>
      </c>
      <c r="AG41" s="19">
        <v>40293.958333333336</v>
      </c>
      <c r="AH41" t="s">
        <v>161</v>
      </c>
      <c r="AL41" t="s">
        <v>335</v>
      </c>
      <c r="AM41" s="20">
        <v>40291</v>
      </c>
      <c r="AR41" s="39" t="s">
        <v>400</v>
      </c>
      <c r="AS41" s="39"/>
      <c r="AT41" s="39">
        <v>200</v>
      </c>
      <c r="AZ41" t="s">
        <v>108</v>
      </c>
      <c r="BC41" t="s">
        <v>336</v>
      </c>
    </row>
    <row r="42" spans="1:73" x14ac:dyDescent="0.25">
      <c r="A42" t="str">
        <f t="shared" si="0"/>
        <v>A69-9002-2361</v>
      </c>
      <c r="B42" t="s">
        <v>398</v>
      </c>
      <c r="C42" t="s">
        <v>324</v>
      </c>
      <c r="D42" t="s">
        <v>325</v>
      </c>
      <c r="F42">
        <v>2361</v>
      </c>
      <c r="G42" t="s">
        <v>326</v>
      </c>
      <c r="H42" t="s">
        <v>327</v>
      </c>
      <c r="I42" s="20">
        <v>40291</v>
      </c>
      <c r="J42">
        <v>80</v>
      </c>
      <c r="L42" t="s">
        <v>109</v>
      </c>
      <c r="M42" t="s">
        <v>328</v>
      </c>
      <c r="N42" t="s">
        <v>329</v>
      </c>
      <c r="O42" t="s">
        <v>330</v>
      </c>
      <c r="P42" t="s">
        <v>331</v>
      </c>
      <c r="U42">
        <v>0.51</v>
      </c>
      <c r="V42">
        <v>0.255</v>
      </c>
      <c r="W42" t="s">
        <v>399</v>
      </c>
      <c r="Y42" t="s">
        <v>332</v>
      </c>
      <c r="AB42" t="s">
        <v>333</v>
      </c>
      <c r="AC42" t="s">
        <v>334</v>
      </c>
      <c r="AD42">
        <v>46.171570000000003</v>
      </c>
      <c r="AE42">
        <v>-84.078410000000005</v>
      </c>
      <c r="AF42" s="18">
        <v>40294.125</v>
      </c>
      <c r="AG42" s="19">
        <v>40293.958333333336</v>
      </c>
      <c r="AH42" t="s">
        <v>161</v>
      </c>
      <c r="AL42" t="s">
        <v>335</v>
      </c>
      <c r="AM42" s="20">
        <v>40291</v>
      </c>
      <c r="AR42" s="39" t="s">
        <v>400</v>
      </c>
      <c r="AS42" s="39"/>
      <c r="AT42" s="39">
        <v>200</v>
      </c>
      <c r="AZ42" t="s">
        <v>108</v>
      </c>
      <c r="BC42" t="s">
        <v>336</v>
      </c>
    </row>
    <row r="43" spans="1:73" x14ac:dyDescent="0.25">
      <c r="A43" t="str">
        <f t="shared" si="0"/>
        <v>A69-9002-2362</v>
      </c>
      <c r="B43" t="s">
        <v>398</v>
      </c>
      <c r="C43" t="s">
        <v>324</v>
      </c>
      <c r="D43" t="s">
        <v>325</v>
      </c>
      <c r="F43">
        <v>2362</v>
      </c>
      <c r="G43" t="s">
        <v>326</v>
      </c>
      <c r="H43" t="s">
        <v>327</v>
      </c>
      <c r="I43" s="20">
        <v>40291</v>
      </c>
      <c r="J43">
        <v>80</v>
      </c>
      <c r="L43" t="s">
        <v>109</v>
      </c>
      <c r="M43" t="s">
        <v>328</v>
      </c>
      <c r="N43" t="s">
        <v>329</v>
      </c>
      <c r="O43" t="s">
        <v>330</v>
      </c>
      <c r="P43" t="s">
        <v>331</v>
      </c>
      <c r="U43">
        <v>0.49</v>
      </c>
      <c r="V43">
        <v>0.23200000000000001</v>
      </c>
      <c r="W43" t="s">
        <v>399</v>
      </c>
      <c r="Y43" t="s">
        <v>332</v>
      </c>
      <c r="AB43" t="s">
        <v>333</v>
      </c>
      <c r="AC43" t="s">
        <v>334</v>
      </c>
      <c r="AD43">
        <v>46.171570000000003</v>
      </c>
      <c r="AE43">
        <v>-84.078410000000005</v>
      </c>
      <c r="AF43" s="18">
        <v>40294.125</v>
      </c>
      <c r="AG43" s="19">
        <v>40293.958333333336</v>
      </c>
      <c r="AH43" t="s">
        <v>161</v>
      </c>
      <c r="AL43" t="s">
        <v>335</v>
      </c>
      <c r="AM43" s="20">
        <v>40291</v>
      </c>
      <c r="AR43" s="39" t="s">
        <v>400</v>
      </c>
      <c r="AS43" s="39"/>
      <c r="AT43" s="39">
        <v>200</v>
      </c>
      <c r="AZ43" t="s">
        <v>108</v>
      </c>
      <c r="BC43" t="s">
        <v>336</v>
      </c>
    </row>
    <row r="44" spans="1:73" x14ac:dyDescent="0.25">
      <c r="A44" t="str">
        <f t="shared" si="0"/>
        <v>A69-9002-2367</v>
      </c>
      <c r="B44" t="s">
        <v>398</v>
      </c>
      <c r="C44" t="s">
        <v>324</v>
      </c>
      <c r="D44" t="s">
        <v>325</v>
      </c>
      <c r="F44">
        <v>2367</v>
      </c>
      <c r="G44" t="s">
        <v>326</v>
      </c>
      <c r="H44" t="s">
        <v>327</v>
      </c>
      <c r="I44" s="20">
        <v>40291</v>
      </c>
      <c r="J44">
        <v>80</v>
      </c>
      <c r="L44" t="s">
        <v>109</v>
      </c>
      <c r="M44" t="s">
        <v>328</v>
      </c>
      <c r="N44" t="s">
        <v>329</v>
      </c>
      <c r="O44" t="s">
        <v>330</v>
      </c>
      <c r="P44" t="s">
        <v>331</v>
      </c>
      <c r="U44">
        <v>0.54</v>
      </c>
      <c r="V44">
        <v>0.30099999999999999</v>
      </c>
      <c r="W44" t="s">
        <v>399</v>
      </c>
      <c r="Y44" t="s">
        <v>337</v>
      </c>
      <c r="AB44" t="s">
        <v>333</v>
      </c>
      <c r="AC44" t="s">
        <v>334</v>
      </c>
      <c r="AD44">
        <v>46.171570000000003</v>
      </c>
      <c r="AE44">
        <v>-84.078410000000005</v>
      </c>
      <c r="AF44" s="18">
        <v>40294.125</v>
      </c>
      <c r="AG44" s="19">
        <v>40293.958333333336</v>
      </c>
      <c r="AH44" t="s">
        <v>161</v>
      </c>
      <c r="AL44" t="s">
        <v>335</v>
      </c>
      <c r="AM44" s="20">
        <v>40291</v>
      </c>
      <c r="AR44" s="39" t="s">
        <v>400</v>
      </c>
      <c r="AS44" s="39"/>
      <c r="AT44" s="39">
        <v>200</v>
      </c>
      <c r="AZ44" t="s">
        <v>108</v>
      </c>
      <c r="BC44" t="s">
        <v>336</v>
      </c>
    </row>
    <row r="45" spans="1:73" x14ac:dyDescent="0.25">
      <c r="A45" t="str">
        <f t="shared" si="0"/>
        <v>A69-9002-2377</v>
      </c>
      <c r="B45" t="s">
        <v>398</v>
      </c>
      <c r="C45" t="s">
        <v>324</v>
      </c>
      <c r="D45" t="s">
        <v>325</v>
      </c>
      <c r="F45">
        <v>2377</v>
      </c>
      <c r="G45" t="s">
        <v>326</v>
      </c>
      <c r="H45" t="s">
        <v>327</v>
      </c>
      <c r="I45" s="20">
        <v>40291</v>
      </c>
      <c r="J45">
        <v>80</v>
      </c>
      <c r="L45" t="s">
        <v>109</v>
      </c>
      <c r="M45" t="s">
        <v>328</v>
      </c>
      <c r="N45" t="s">
        <v>329</v>
      </c>
      <c r="O45" t="s">
        <v>330</v>
      </c>
      <c r="P45" t="s">
        <v>331</v>
      </c>
      <c r="U45">
        <v>0.54</v>
      </c>
      <c r="V45">
        <v>0.33200000000000002</v>
      </c>
      <c r="W45" t="s">
        <v>399</v>
      </c>
      <c r="Y45" t="s">
        <v>337</v>
      </c>
      <c r="AB45" t="s">
        <v>333</v>
      </c>
      <c r="AC45" t="s">
        <v>334</v>
      </c>
      <c r="AD45">
        <v>46.171570000000003</v>
      </c>
      <c r="AE45">
        <v>-84.078410000000005</v>
      </c>
      <c r="AF45" s="18">
        <v>40294.125</v>
      </c>
      <c r="AG45" s="19">
        <v>40293.958333333336</v>
      </c>
      <c r="AH45" t="s">
        <v>161</v>
      </c>
      <c r="AL45" t="s">
        <v>335</v>
      </c>
      <c r="AM45" s="20">
        <v>40291</v>
      </c>
      <c r="AR45" s="39" t="s">
        <v>400</v>
      </c>
      <c r="AS45" s="39"/>
      <c r="AT45" s="39">
        <v>200</v>
      </c>
      <c r="AZ45" t="s">
        <v>108</v>
      </c>
      <c r="BC45" t="s">
        <v>336</v>
      </c>
    </row>
    <row r="46" spans="1:73" x14ac:dyDescent="0.25">
      <c r="A46" t="str">
        <f t="shared" si="0"/>
        <v>A69-9002-2369</v>
      </c>
      <c r="B46" t="s">
        <v>398</v>
      </c>
      <c r="C46" t="s">
        <v>324</v>
      </c>
      <c r="D46" t="s">
        <v>325</v>
      </c>
      <c r="F46">
        <v>2369</v>
      </c>
      <c r="G46" t="s">
        <v>326</v>
      </c>
      <c r="H46" t="s">
        <v>327</v>
      </c>
      <c r="I46" s="20">
        <v>40291</v>
      </c>
      <c r="J46">
        <v>80</v>
      </c>
      <c r="L46" t="s">
        <v>109</v>
      </c>
      <c r="M46" t="s">
        <v>328</v>
      </c>
      <c r="N46" t="s">
        <v>329</v>
      </c>
      <c r="O46" t="s">
        <v>330</v>
      </c>
      <c r="P46" t="s">
        <v>331</v>
      </c>
      <c r="U46">
        <v>0.56999999999999995</v>
      </c>
      <c r="V46">
        <v>0.34799999999999998</v>
      </c>
      <c r="W46" t="s">
        <v>399</v>
      </c>
      <c r="Y46" t="s">
        <v>337</v>
      </c>
      <c r="AB46" t="s">
        <v>333</v>
      </c>
      <c r="AC46" t="s">
        <v>334</v>
      </c>
      <c r="AD46">
        <v>46.171570000000003</v>
      </c>
      <c r="AE46">
        <v>-84.078410000000005</v>
      </c>
      <c r="AF46" s="18">
        <v>40294.125</v>
      </c>
      <c r="AG46" s="19">
        <v>40293.958333333336</v>
      </c>
      <c r="AH46" t="s">
        <v>161</v>
      </c>
      <c r="AL46" t="s">
        <v>335</v>
      </c>
      <c r="AM46" s="20">
        <v>40291</v>
      </c>
      <c r="AR46" s="39" t="s">
        <v>400</v>
      </c>
      <c r="AS46" s="39"/>
      <c r="AT46" s="39">
        <v>200</v>
      </c>
      <c r="AZ46" t="s">
        <v>108</v>
      </c>
      <c r="BC46" t="s">
        <v>336</v>
      </c>
    </row>
    <row r="47" spans="1:73" x14ac:dyDescent="0.25">
      <c r="A47" t="str">
        <f t="shared" si="0"/>
        <v>A69-9002-2366</v>
      </c>
      <c r="B47" t="s">
        <v>398</v>
      </c>
      <c r="C47" t="s">
        <v>324</v>
      </c>
      <c r="D47" t="s">
        <v>325</v>
      </c>
      <c r="F47">
        <v>2366</v>
      </c>
      <c r="G47" t="s">
        <v>326</v>
      </c>
      <c r="H47" t="s">
        <v>327</v>
      </c>
      <c r="I47" s="20">
        <v>40291</v>
      </c>
      <c r="J47">
        <v>80</v>
      </c>
      <c r="L47" t="s">
        <v>109</v>
      </c>
      <c r="M47" t="s">
        <v>328</v>
      </c>
      <c r="N47" t="s">
        <v>329</v>
      </c>
      <c r="O47" t="s">
        <v>330</v>
      </c>
      <c r="P47" t="s">
        <v>331</v>
      </c>
      <c r="U47">
        <v>0.55000000000000004</v>
      </c>
      <c r="V47">
        <v>0.34499999999999997</v>
      </c>
      <c r="W47" t="s">
        <v>399</v>
      </c>
      <c r="Y47" t="s">
        <v>337</v>
      </c>
      <c r="AB47" t="s">
        <v>333</v>
      </c>
      <c r="AC47" t="s">
        <v>334</v>
      </c>
      <c r="AD47">
        <v>46.171570000000003</v>
      </c>
      <c r="AE47">
        <v>-84.078410000000005</v>
      </c>
      <c r="AF47" s="18">
        <v>40294.125</v>
      </c>
      <c r="AG47" s="19">
        <v>40293.958333333336</v>
      </c>
      <c r="AH47" t="s">
        <v>161</v>
      </c>
      <c r="AL47" t="s">
        <v>335</v>
      </c>
      <c r="AM47" s="20">
        <v>40291</v>
      </c>
      <c r="AR47" s="39" t="s">
        <v>400</v>
      </c>
      <c r="AS47" s="39"/>
      <c r="AT47" s="39">
        <v>200</v>
      </c>
      <c r="AZ47" t="s">
        <v>108</v>
      </c>
      <c r="BC47" t="s">
        <v>336</v>
      </c>
    </row>
    <row r="48" spans="1:73" x14ac:dyDescent="0.25">
      <c r="A48" t="str">
        <f t="shared" si="0"/>
        <v>A69-9002-2371</v>
      </c>
      <c r="B48" t="s">
        <v>398</v>
      </c>
      <c r="C48" t="s">
        <v>324</v>
      </c>
      <c r="D48" t="s">
        <v>325</v>
      </c>
      <c r="F48">
        <v>2371</v>
      </c>
      <c r="G48" t="s">
        <v>326</v>
      </c>
      <c r="H48" t="s">
        <v>327</v>
      </c>
      <c r="I48" s="20">
        <v>40291</v>
      </c>
      <c r="J48">
        <v>80</v>
      </c>
      <c r="L48" t="s">
        <v>109</v>
      </c>
      <c r="M48" t="s">
        <v>328</v>
      </c>
      <c r="N48" t="s">
        <v>329</v>
      </c>
      <c r="O48" t="s">
        <v>330</v>
      </c>
      <c r="P48" t="s">
        <v>331</v>
      </c>
      <c r="U48">
        <v>0.51</v>
      </c>
      <c r="V48">
        <v>0.314</v>
      </c>
      <c r="W48" t="s">
        <v>399</v>
      </c>
      <c r="Y48" t="s">
        <v>337</v>
      </c>
      <c r="AB48" t="s">
        <v>333</v>
      </c>
      <c r="AC48" t="s">
        <v>334</v>
      </c>
      <c r="AD48">
        <v>46.171570000000003</v>
      </c>
      <c r="AE48">
        <v>-84.078410000000005</v>
      </c>
      <c r="AF48" s="18">
        <v>40294.125</v>
      </c>
      <c r="AG48" s="19">
        <v>40293.958333333336</v>
      </c>
      <c r="AH48" t="s">
        <v>161</v>
      </c>
      <c r="AL48" t="s">
        <v>335</v>
      </c>
      <c r="AM48" s="20">
        <v>40291</v>
      </c>
      <c r="AR48" s="39" t="s">
        <v>400</v>
      </c>
      <c r="AS48" s="39"/>
      <c r="AT48" s="39">
        <v>200</v>
      </c>
      <c r="AZ48" t="s">
        <v>108</v>
      </c>
      <c r="BC48" t="s">
        <v>163</v>
      </c>
      <c r="BD48" s="20">
        <v>40337</v>
      </c>
      <c r="BF48" s="21" t="s">
        <v>406</v>
      </c>
      <c r="BG48" s="1" t="s">
        <v>113</v>
      </c>
      <c r="BH48" t="s">
        <v>425</v>
      </c>
      <c r="BI48" s="39">
        <v>46.504829000000001</v>
      </c>
      <c r="BJ48" s="39">
        <v>-84.354651000000004</v>
      </c>
      <c r="BK48" t="s">
        <v>405</v>
      </c>
      <c r="BL48" s="39" t="s">
        <v>336</v>
      </c>
    </row>
    <row r="49" spans="1:64" x14ac:dyDescent="0.25">
      <c r="A49" t="str">
        <f t="shared" si="0"/>
        <v>A69-9002-2368</v>
      </c>
      <c r="B49" t="s">
        <v>398</v>
      </c>
      <c r="C49" t="s">
        <v>324</v>
      </c>
      <c r="D49" t="s">
        <v>325</v>
      </c>
      <c r="F49">
        <v>2368</v>
      </c>
      <c r="G49" t="s">
        <v>326</v>
      </c>
      <c r="H49" t="s">
        <v>327</v>
      </c>
      <c r="I49" s="20">
        <v>40291</v>
      </c>
      <c r="J49">
        <v>80</v>
      </c>
      <c r="L49" t="s">
        <v>109</v>
      </c>
      <c r="M49" t="s">
        <v>328</v>
      </c>
      <c r="N49" t="s">
        <v>329</v>
      </c>
      <c r="O49" t="s">
        <v>330</v>
      </c>
      <c r="P49" t="s">
        <v>331</v>
      </c>
      <c r="U49">
        <v>0.47</v>
      </c>
      <c r="V49">
        <v>0.23</v>
      </c>
      <c r="W49" t="s">
        <v>399</v>
      </c>
      <c r="Y49" t="s">
        <v>337</v>
      </c>
      <c r="AB49" t="s">
        <v>333</v>
      </c>
      <c r="AC49" t="s">
        <v>334</v>
      </c>
      <c r="AD49">
        <v>46.171570000000003</v>
      </c>
      <c r="AE49">
        <v>-84.078410000000005</v>
      </c>
      <c r="AF49" s="18">
        <v>40294.125</v>
      </c>
      <c r="AG49" s="19">
        <v>40293.958333333336</v>
      </c>
      <c r="AH49" t="s">
        <v>161</v>
      </c>
      <c r="AL49" t="s">
        <v>335</v>
      </c>
      <c r="AM49" s="20">
        <v>40291</v>
      </c>
      <c r="AR49" s="39" t="s">
        <v>400</v>
      </c>
      <c r="AS49" s="39"/>
      <c r="AT49" s="39">
        <v>200</v>
      </c>
      <c r="AZ49" t="s">
        <v>108</v>
      </c>
      <c r="BC49" t="s">
        <v>336</v>
      </c>
    </row>
    <row r="50" spans="1:64" x14ac:dyDescent="0.25">
      <c r="A50" t="str">
        <f t="shared" si="0"/>
        <v>A69-9002-2370</v>
      </c>
      <c r="B50" t="s">
        <v>398</v>
      </c>
      <c r="C50" t="s">
        <v>324</v>
      </c>
      <c r="D50" t="s">
        <v>325</v>
      </c>
      <c r="F50">
        <v>2370</v>
      </c>
      <c r="G50" t="s">
        <v>326</v>
      </c>
      <c r="H50" t="s">
        <v>327</v>
      </c>
      <c r="I50" s="20">
        <v>40291</v>
      </c>
      <c r="J50">
        <v>80</v>
      </c>
      <c r="L50" t="s">
        <v>109</v>
      </c>
      <c r="M50" t="s">
        <v>328</v>
      </c>
      <c r="N50" t="s">
        <v>329</v>
      </c>
      <c r="O50" t="s">
        <v>330</v>
      </c>
      <c r="P50" t="s">
        <v>331</v>
      </c>
      <c r="U50">
        <v>0.52</v>
      </c>
      <c r="V50">
        <v>0.29599999999999999</v>
      </c>
      <c r="W50" t="s">
        <v>399</v>
      </c>
      <c r="Y50" t="s">
        <v>337</v>
      </c>
      <c r="AB50" t="s">
        <v>333</v>
      </c>
      <c r="AC50" t="s">
        <v>334</v>
      </c>
      <c r="AD50">
        <v>46.171570000000003</v>
      </c>
      <c r="AE50">
        <v>-84.078410000000005</v>
      </c>
      <c r="AF50" s="18">
        <v>40294.125</v>
      </c>
      <c r="AG50" s="19">
        <v>40293.958333333336</v>
      </c>
      <c r="AH50" t="s">
        <v>161</v>
      </c>
      <c r="AL50" t="s">
        <v>335</v>
      </c>
      <c r="AM50" s="20">
        <v>40291</v>
      </c>
      <c r="AR50" s="39" t="s">
        <v>400</v>
      </c>
      <c r="AS50" s="39"/>
      <c r="AT50" s="39">
        <v>200</v>
      </c>
      <c r="AZ50" t="s">
        <v>108</v>
      </c>
      <c r="BC50" t="s">
        <v>336</v>
      </c>
    </row>
    <row r="51" spans="1:64" x14ac:dyDescent="0.25">
      <c r="A51" t="str">
        <f t="shared" si="0"/>
        <v>A69-9002-2372</v>
      </c>
      <c r="B51" t="s">
        <v>398</v>
      </c>
      <c r="C51" t="s">
        <v>324</v>
      </c>
      <c r="D51" t="s">
        <v>325</v>
      </c>
      <c r="F51">
        <v>2372</v>
      </c>
      <c r="G51" t="s">
        <v>326</v>
      </c>
      <c r="H51" t="s">
        <v>327</v>
      </c>
      <c r="I51" s="20">
        <v>40291</v>
      </c>
      <c r="J51">
        <v>80</v>
      </c>
      <c r="L51" t="s">
        <v>109</v>
      </c>
      <c r="M51" t="s">
        <v>328</v>
      </c>
      <c r="N51" t="s">
        <v>329</v>
      </c>
      <c r="O51" t="s">
        <v>330</v>
      </c>
      <c r="P51" t="s">
        <v>331</v>
      </c>
      <c r="U51">
        <v>0.59</v>
      </c>
      <c r="V51">
        <v>0.38300000000000001</v>
      </c>
      <c r="W51" t="s">
        <v>399</v>
      </c>
      <c r="Y51" t="s">
        <v>337</v>
      </c>
      <c r="AB51" t="s">
        <v>333</v>
      </c>
      <c r="AC51" t="s">
        <v>334</v>
      </c>
      <c r="AD51">
        <v>46.171570000000003</v>
      </c>
      <c r="AE51">
        <v>-84.078410000000005</v>
      </c>
      <c r="AF51" s="18">
        <v>40294.125</v>
      </c>
      <c r="AG51" s="19">
        <v>40293.958333333336</v>
      </c>
      <c r="AH51" t="s">
        <v>161</v>
      </c>
      <c r="AL51" t="s">
        <v>335</v>
      </c>
      <c r="AM51" s="20">
        <v>40291</v>
      </c>
      <c r="AR51" s="39" t="s">
        <v>400</v>
      </c>
      <c r="AS51" s="39"/>
      <c r="AT51" s="39">
        <v>200</v>
      </c>
      <c r="AZ51" t="s">
        <v>108</v>
      </c>
      <c r="BC51" t="s">
        <v>336</v>
      </c>
    </row>
    <row r="52" spans="1:64" x14ac:dyDescent="0.25">
      <c r="A52" t="str">
        <f t="shared" si="0"/>
        <v>A69-9002-2386</v>
      </c>
      <c r="B52" t="s">
        <v>398</v>
      </c>
      <c r="C52" t="s">
        <v>324</v>
      </c>
      <c r="D52" t="s">
        <v>325</v>
      </c>
      <c r="F52">
        <v>2386</v>
      </c>
      <c r="G52" t="s">
        <v>326</v>
      </c>
      <c r="H52" t="s">
        <v>327</v>
      </c>
      <c r="I52" s="20">
        <v>40291</v>
      </c>
      <c r="J52">
        <v>80</v>
      </c>
      <c r="L52" t="s">
        <v>109</v>
      </c>
      <c r="M52" t="s">
        <v>328</v>
      </c>
      <c r="N52" t="s">
        <v>329</v>
      </c>
      <c r="O52" t="s">
        <v>330</v>
      </c>
      <c r="P52" t="s">
        <v>331</v>
      </c>
      <c r="U52">
        <v>0.52</v>
      </c>
      <c r="V52">
        <v>0.27700000000000002</v>
      </c>
      <c r="W52" t="s">
        <v>399</v>
      </c>
      <c r="Y52" t="s">
        <v>332</v>
      </c>
      <c r="AB52" t="s">
        <v>333</v>
      </c>
      <c r="AC52" t="s">
        <v>334</v>
      </c>
      <c r="AD52">
        <v>46.171570000000003</v>
      </c>
      <c r="AE52">
        <v>-84.078410000000005</v>
      </c>
      <c r="AF52" s="18">
        <v>40294.125</v>
      </c>
      <c r="AG52" s="19">
        <v>40293.958333333336</v>
      </c>
      <c r="AH52" t="s">
        <v>161</v>
      </c>
      <c r="AL52" t="s">
        <v>335</v>
      </c>
      <c r="AM52" s="20">
        <v>40291</v>
      </c>
      <c r="AR52" s="39" t="s">
        <v>400</v>
      </c>
      <c r="AS52" s="39"/>
      <c r="AT52" s="39">
        <v>200</v>
      </c>
      <c r="AZ52" t="s">
        <v>108</v>
      </c>
      <c r="BC52" t="s">
        <v>336</v>
      </c>
    </row>
    <row r="53" spans="1:64" x14ac:dyDescent="0.25">
      <c r="A53" t="str">
        <f t="shared" si="0"/>
        <v>A69-9002-2615</v>
      </c>
      <c r="B53" t="s">
        <v>398</v>
      </c>
      <c r="C53" t="s">
        <v>324</v>
      </c>
      <c r="D53" t="s">
        <v>325</v>
      </c>
      <c r="F53">
        <v>2615</v>
      </c>
      <c r="G53" t="s">
        <v>326</v>
      </c>
      <c r="H53" t="s">
        <v>327</v>
      </c>
      <c r="I53" s="20">
        <v>40304</v>
      </c>
      <c r="J53">
        <v>80</v>
      </c>
      <c r="L53" t="s">
        <v>109</v>
      </c>
      <c r="M53" t="s">
        <v>328</v>
      </c>
      <c r="N53" t="s">
        <v>329</v>
      </c>
      <c r="O53" t="s">
        <v>330</v>
      </c>
      <c r="P53" t="s">
        <v>338</v>
      </c>
      <c r="U53">
        <v>0.53</v>
      </c>
      <c r="V53">
        <v>0.34200000000000003</v>
      </c>
      <c r="W53" t="s">
        <v>399</v>
      </c>
      <c r="Y53" t="s">
        <v>332</v>
      </c>
      <c r="AB53" t="s">
        <v>339</v>
      </c>
      <c r="AC53" t="s">
        <v>334</v>
      </c>
      <c r="AD53" s="34">
        <v>46.169808529999997</v>
      </c>
      <c r="AE53" s="34">
        <v>-84.076111240000003</v>
      </c>
      <c r="AF53" s="18">
        <v>40308.069444444445</v>
      </c>
      <c r="AG53" s="19">
        <v>40307.902777777781</v>
      </c>
      <c r="AH53" t="s">
        <v>161</v>
      </c>
      <c r="AL53" t="s">
        <v>335</v>
      </c>
      <c r="AM53" s="20">
        <v>40304</v>
      </c>
      <c r="AR53" s="39" t="s">
        <v>400</v>
      </c>
      <c r="AS53" s="39"/>
      <c r="AT53" s="39">
        <v>200</v>
      </c>
      <c r="AZ53" t="s">
        <v>108</v>
      </c>
      <c r="BC53" t="s">
        <v>336</v>
      </c>
    </row>
    <row r="54" spans="1:64" x14ac:dyDescent="0.25">
      <c r="A54" t="str">
        <f t="shared" si="0"/>
        <v>A69-9002-2616</v>
      </c>
      <c r="B54" t="s">
        <v>398</v>
      </c>
      <c r="C54" t="s">
        <v>324</v>
      </c>
      <c r="D54" t="s">
        <v>325</v>
      </c>
      <c r="F54">
        <v>2616</v>
      </c>
      <c r="G54" t="s">
        <v>326</v>
      </c>
      <c r="H54" t="s">
        <v>327</v>
      </c>
      <c r="I54" s="20">
        <v>40304</v>
      </c>
      <c r="J54">
        <v>80</v>
      </c>
      <c r="L54" t="s">
        <v>109</v>
      </c>
      <c r="M54" t="s">
        <v>328</v>
      </c>
      <c r="N54" t="s">
        <v>329</v>
      </c>
      <c r="O54" t="s">
        <v>330</v>
      </c>
      <c r="P54" t="s">
        <v>338</v>
      </c>
      <c r="U54">
        <v>0.53</v>
      </c>
      <c r="V54">
        <v>0.30199999999999999</v>
      </c>
      <c r="W54" t="s">
        <v>399</v>
      </c>
      <c r="Y54" t="s">
        <v>332</v>
      </c>
      <c r="AB54" t="s">
        <v>339</v>
      </c>
      <c r="AC54" t="s">
        <v>334</v>
      </c>
      <c r="AD54" s="34">
        <v>46.169808529999997</v>
      </c>
      <c r="AE54" s="34">
        <v>-84.076111240000003</v>
      </c>
      <c r="AF54" s="18">
        <v>40308.069444444445</v>
      </c>
      <c r="AG54" s="19">
        <v>40307.902777777781</v>
      </c>
      <c r="AH54" t="s">
        <v>161</v>
      </c>
      <c r="AL54" t="s">
        <v>335</v>
      </c>
      <c r="AM54" s="20">
        <v>40304</v>
      </c>
      <c r="AR54" s="39" t="s">
        <v>400</v>
      </c>
      <c r="AS54" s="39"/>
      <c r="AT54" s="39">
        <v>200</v>
      </c>
      <c r="AZ54" t="s">
        <v>108</v>
      </c>
      <c r="BC54" t="s">
        <v>336</v>
      </c>
    </row>
    <row r="55" spans="1:64" x14ac:dyDescent="0.25">
      <c r="A55" t="str">
        <f t="shared" si="0"/>
        <v>A69-9002-2617</v>
      </c>
      <c r="B55" t="s">
        <v>398</v>
      </c>
      <c r="C55" t="s">
        <v>324</v>
      </c>
      <c r="D55" t="s">
        <v>325</v>
      </c>
      <c r="F55">
        <v>2617</v>
      </c>
      <c r="G55" t="s">
        <v>326</v>
      </c>
      <c r="H55" t="s">
        <v>327</v>
      </c>
      <c r="I55" s="20">
        <v>40304</v>
      </c>
      <c r="J55">
        <v>80</v>
      </c>
      <c r="L55" t="s">
        <v>109</v>
      </c>
      <c r="M55" t="s">
        <v>328</v>
      </c>
      <c r="N55" t="s">
        <v>329</v>
      </c>
      <c r="O55" t="s">
        <v>330</v>
      </c>
      <c r="P55" t="s">
        <v>338</v>
      </c>
      <c r="U55">
        <v>0.52</v>
      </c>
      <c r="V55">
        <v>0.23899999999999999</v>
      </c>
      <c r="W55" t="s">
        <v>399</v>
      </c>
      <c r="Y55" t="s">
        <v>332</v>
      </c>
      <c r="AB55" t="s">
        <v>339</v>
      </c>
      <c r="AC55" t="s">
        <v>334</v>
      </c>
      <c r="AD55" s="34">
        <v>46.169808529999997</v>
      </c>
      <c r="AE55" s="34">
        <v>-84.076111240000003</v>
      </c>
      <c r="AF55" s="18">
        <v>40308.069444444445</v>
      </c>
      <c r="AG55" s="19">
        <v>40307.902777777781</v>
      </c>
      <c r="AH55" t="s">
        <v>161</v>
      </c>
      <c r="AL55" t="s">
        <v>335</v>
      </c>
      <c r="AM55" s="20">
        <v>40304</v>
      </c>
      <c r="AR55" s="39" t="s">
        <v>400</v>
      </c>
      <c r="AS55" s="39"/>
      <c r="AT55" s="39">
        <v>200</v>
      </c>
      <c r="AZ55" t="s">
        <v>108</v>
      </c>
      <c r="BC55" t="s">
        <v>163</v>
      </c>
      <c r="BD55" s="20">
        <v>40332</v>
      </c>
      <c r="BF55" s="21" t="s">
        <v>406</v>
      </c>
      <c r="BG55" s="1" t="s">
        <v>113</v>
      </c>
      <c r="BH55" s="39" t="s">
        <v>408</v>
      </c>
      <c r="BI55" s="1">
        <v>46.514783999999999</v>
      </c>
      <c r="BJ55" s="1">
        <v>-84.346945000000005</v>
      </c>
      <c r="BK55" t="s">
        <v>404</v>
      </c>
      <c r="BL55" s="39" t="s">
        <v>336</v>
      </c>
    </row>
    <row r="56" spans="1:64" x14ac:dyDescent="0.25">
      <c r="A56" t="str">
        <f t="shared" si="0"/>
        <v>A69-9002-2618</v>
      </c>
      <c r="B56" t="s">
        <v>398</v>
      </c>
      <c r="C56" t="s">
        <v>324</v>
      </c>
      <c r="D56" t="s">
        <v>325</v>
      </c>
      <c r="F56">
        <v>2618</v>
      </c>
      <c r="G56" t="s">
        <v>326</v>
      </c>
      <c r="H56" t="s">
        <v>327</v>
      </c>
      <c r="I56" s="20">
        <v>40304</v>
      </c>
      <c r="J56">
        <v>80</v>
      </c>
      <c r="L56" t="s">
        <v>109</v>
      </c>
      <c r="M56" t="s">
        <v>328</v>
      </c>
      <c r="N56" t="s">
        <v>329</v>
      </c>
      <c r="O56" t="s">
        <v>330</v>
      </c>
      <c r="P56" t="s">
        <v>338</v>
      </c>
      <c r="U56">
        <v>0.52</v>
      </c>
      <c r="V56">
        <v>0.311</v>
      </c>
      <c r="W56" t="s">
        <v>399</v>
      </c>
      <c r="Y56" t="s">
        <v>332</v>
      </c>
      <c r="AB56" t="s">
        <v>339</v>
      </c>
      <c r="AC56" t="s">
        <v>334</v>
      </c>
      <c r="AD56" s="34">
        <v>46.169808529999997</v>
      </c>
      <c r="AE56" s="34">
        <v>-84.076111240000003</v>
      </c>
      <c r="AF56" s="18">
        <v>40308.069444444445</v>
      </c>
      <c r="AG56" s="19">
        <v>40307.902777777781</v>
      </c>
      <c r="AH56" t="s">
        <v>161</v>
      </c>
      <c r="AL56" t="s">
        <v>335</v>
      </c>
      <c r="AM56" s="20">
        <v>40304</v>
      </c>
      <c r="AR56" s="39" t="s">
        <v>400</v>
      </c>
      <c r="AS56" s="39"/>
      <c r="AT56" s="39">
        <v>200</v>
      </c>
      <c r="AZ56" t="s">
        <v>108</v>
      </c>
      <c r="BC56" t="s">
        <v>336</v>
      </c>
    </row>
    <row r="57" spans="1:64" x14ac:dyDescent="0.25">
      <c r="A57" t="str">
        <f t="shared" si="0"/>
        <v>A69-9002-2471</v>
      </c>
      <c r="B57" t="s">
        <v>398</v>
      </c>
      <c r="C57" t="s">
        <v>324</v>
      </c>
      <c r="D57" t="s">
        <v>325</v>
      </c>
      <c r="F57">
        <v>2471</v>
      </c>
      <c r="G57" t="s">
        <v>326</v>
      </c>
      <c r="H57" t="s">
        <v>327</v>
      </c>
      <c r="I57" s="20">
        <v>40304</v>
      </c>
      <c r="J57">
        <v>80</v>
      </c>
      <c r="L57" t="s">
        <v>109</v>
      </c>
      <c r="M57" t="s">
        <v>328</v>
      </c>
      <c r="N57" t="s">
        <v>329</v>
      </c>
      <c r="O57" t="s">
        <v>330</v>
      </c>
      <c r="P57" t="s">
        <v>338</v>
      </c>
      <c r="U57">
        <v>0.48</v>
      </c>
      <c r="V57">
        <v>0.252</v>
      </c>
      <c r="W57" t="s">
        <v>399</v>
      </c>
      <c r="Y57" t="s">
        <v>337</v>
      </c>
      <c r="AB57" t="s">
        <v>339</v>
      </c>
      <c r="AC57" t="s">
        <v>334</v>
      </c>
      <c r="AD57" s="34">
        <v>46.169808529999997</v>
      </c>
      <c r="AE57" s="34">
        <v>-84.076111240000003</v>
      </c>
      <c r="AF57" s="18">
        <v>40308.069444444445</v>
      </c>
      <c r="AG57" s="19">
        <v>40307.902777777781</v>
      </c>
      <c r="AH57" t="s">
        <v>161</v>
      </c>
      <c r="AL57" t="s">
        <v>335</v>
      </c>
      <c r="AM57" s="20">
        <v>40304</v>
      </c>
      <c r="AR57" s="39" t="s">
        <v>400</v>
      </c>
      <c r="AS57" s="39"/>
      <c r="AT57" s="39">
        <v>200</v>
      </c>
      <c r="AZ57" t="s">
        <v>108</v>
      </c>
      <c r="BC57" t="s">
        <v>336</v>
      </c>
    </row>
    <row r="58" spans="1:64" x14ac:dyDescent="0.25">
      <c r="A58" t="str">
        <f t="shared" si="0"/>
        <v>A69-9002-2472</v>
      </c>
      <c r="B58" t="s">
        <v>398</v>
      </c>
      <c r="C58" t="s">
        <v>324</v>
      </c>
      <c r="D58" t="s">
        <v>325</v>
      </c>
      <c r="F58">
        <v>2472</v>
      </c>
      <c r="G58" t="s">
        <v>326</v>
      </c>
      <c r="H58" t="s">
        <v>327</v>
      </c>
      <c r="I58" s="20">
        <v>40304</v>
      </c>
      <c r="J58">
        <v>80</v>
      </c>
      <c r="L58" t="s">
        <v>109</v>
      </c>
      <c r="M58" t="s">
        <v>328</v>
      </c>
      <c r="N58" t="s">
        <v>329</v>
      </c>
      <c r="O58" t="s">
        <v>330</v>
      </c>
      <c r="P58" t="s">
        <v>338</v>
      </c>
      <c r="U58">
        <v>0.52</v>
      </c>
      <c r="V58">
        <v>0.24199999999999999</v>
      </c>
      <c r="W58" t="s">
        <v>399</v>
      </c>
      <c r="Y58" t="s">
        <v>337</v>
      </c>
      <c r="AB58" t="s">
        <v>339</v>
      </c>
      <c r="AC58" t="s">
        <v>334</v>
      </c>
      <c r="AD58" s="34">
        <v>46.169808529999997</v>
      </c>
      <c r="AE58" s="34">
        <v>-84.076111240000003</v>
      </c>
      <c r="AF58" s="18">
        <v>40308.069444444445</v>
      </c>
      <c r="AG58" s="19">
        <v>40307.902777777781</v>
      </c>
      <c r="AH58" t="s">
        <v>161</v>
      </c>
      <c r="AL58" t="s">
        <v>335</v>
      </c>
      <c r="AM58" s="20">
        <v>40304</v>
      </c>
      <c r="AR58" s="39" t="s">
        <v>400</v>
      </c>
      <c r="AS58" s="39"/>
      <c r="AT58" s="39">
        <v>200</v>
      </c>
      <c r="AZ58" t="s">
        <v>108</v>
      </c>
      <c r="BC58" t="s">
        <v>336</v>
      </c>
    </row>
    <row r="59" spans="1:64" x14ac:dyDescent="0.25">
      <c r="A59" t="str">
        <f t="shared" si="0"/>
        <v>A69-9002-2473</v>
      </c>
      <c r="B59" t="s">
        <v>398</v>
      </c>
      <c r="C59" t="s">
        <v>324</v>
      </c>
      <c r="D59" t="s">
        <v>325</v>
      </c>
      <c r="F59">
        <v>2473</v>
      </c>
      <c r="G59" t="s">
        <v>326</v>
      </c>
      <c r="H59" t="s">
        <v>327</v>
      </c>
      <c r="I59" s="20">
        <v>40304</v>
      </c>
      <c r="J59">
        <v>80</v>
      </c>
      <c r="L59" t="s">
        <v>109</v>
      </c>
      <c r="M59" t="s">
        <v>328</v>
      </c>
      <c r="N59" t="s">
        <v>329</v>
      </c>
      <c r="O59" t="s">
        <v>330</v>
      </c>
      <c r="P59" t="s">
        <v>338</v>
      </c>
      <c r="U59">
        <v>0.47</v>
      </c>
      <c r="V59">
        <v>0.20799999999999999</v>
      </c>
      <c r="W59" t="s">
        <v>399</v>
      </c>
      <c r="Y59" t="s">
        <v>332</v>
      </c>
      <c r="AB59" t="s">
        <v>339</v>
      </c>
      <c r="AC59" t="s">
        <v>334</v>
      </c>
      <c r="AD59" s="34">
        <v>46.169808529999997</v>
      </c>
      <c r="AE59" s="34">
        <v>-84.076111240000003</v>
      </c>
      <c r="AF59" s="18">
        <v>40308.069444444445</v>
      </c>
      <c r="AG59" s="19">
        <v>40307.902777777781</v>
      </c>
      <c r="AH59" t="s">
        <v>161</v>
      </c>
      <c r="AL59" t="s">
        <v>335</v>
      </c>
      <c r="AM59" s="20">
        <v>40304</v>
      </c>
      <c r="AR59" s="39" t="s">
        <v>400</v>
      </c>
      <c r="AS59" s="39"/>
      <c r="AT59" s="39">
        <v>200</v>
      </c>
      <c r="AZ59" t="s">
        <v>108</v>
      </c>
      <c r="BC59" t="s">
        <v>336</v>
      </c>
    </row>
    <row r="60" spans="1:64" x14ac:dyDescent="0.25">
      <c r="A60" t="str">
        <f t="shared" si="0"/>
        <v>A69-9002-2475</v>
      </c>
      <c r="B60" t="s">
        <v>398</v>
      </c>
      <c r="C60" t="s">
        <v>324</v>
      </c>
      <c r="D60" t="s">
        <v>325</v>
      </c>
      <c r="F60">
        <v>2475</v>
      </c>
      <c r="G60" t="s">
        <v>326</v>
      </c>
      <c r="H60" t="s">
        <v>327</v>
      </c>
      <c r="I60" s="20">
        <v>40304</v>
      </c>
      <c r="J60">
        <v>80</v>
      </c>
      <c r="L60" t="s">
        <v>109</v>
      </c>
      <c r="M60" t="s">
        <v>328</v>
      </c>
      <c r="N60" t="s">
        <v>329</v>
      </c>
      <c r="O60" t="s">
        <v>330</v>
      </c>
      <c r="P60" t="s">
        <v>338</v>
      </c>
      <c r="U60">
        <v>0.56000000000000005</v>
      </c>
      <c r="V60">
        <v>0.317</v>
      </c>
      <c r="W60" t="s">
        <v>399</v>
      </c>
      <c r="Y60" t="s">
        <v>332</v>
      </c>
      <c r="AB60" t="s">
        <v>339</v>
      </c>
      <c r="AC60" t="s">
        <v>334</v>
      </c>
      <c r="AD60" s="34">
        <v>46.169808529999997</v>
      </c>
      <c r="AE60" s="34">
        <v>-84.076111240000003</v>
      </c>
      <c r="AF60" s="18">
        <v>40308.069444444445</v>
      </c>
      <c r="AG60" s="19">
        <v>40307.902777777781</v>
      </c>
      <c r="AH60" t="s">
        <v>161</v>
      </c>
      <c r="AL60" t="s">
        <v>335</v>
      </c>
      <c r="AM60" s="20">
        <v>40304</v>
      </c>
      <c r="AR60" s="39" t="s">
        <v>400</v>
      </c>
      <c r="AS60" s="39"/>
      <c r="AT60" s="39">
        <v>200</v>
      </c>
      <c r="AZ60" t="s">
        <v>108</v>
      </c>
      <c r="BC60" t="s">
        <v>336</v>
      </c>
    </row>
    <row r="61" spans="1:64" x14ac:dyDescent="0.25">
      <c r="A61" t="str">
        <f t="shared" si="0"/>
        <v>A69-9002-2544</v>
      </c>
      <c r="B61" t="s">
        <v>398</v>
      </c>
      <c r="C61" t="s">
        <v>324</v>
      </c>
      <c r="D61" t="s">
        <v>325</v>
      </c>
      <c r="F61">
        <v>2544</v>
      </c>
      <c r="G61" t="s">
        <v>326</v>
      </c>
      <c r="H61" t="s">
        <v>327</v>
      </c>
      <c r="I61" s="20">
        <v>40304</v>
      </c>
      <c r="J61">
        <v>80</v>
      </c>
      <c r="L61" t="s">
        <v>109</v>
      </c>
      <c r="M61" t="s">
        <v>328</v>
      </c>
      <c r="N61" t="s">
        <v>329</v>
      </c>
      <c r="O61" t="s">
        <v>330</v>
      </c>
      <c r="P61" t="s">
        <v>338</v>
      </c>
      <c r="U61">
        <v>0.49</v>
      </c>
      <c r="V61">
        <v>0.249</v>
      </c>
      <c r="W61" t="s">
        <v>399</v>
      </c>
      <c r="Y61" t="s">
        <v>332</v>
      </c>
      <c r="AB61" t="s">
        <v>339</v>
      </c>
      <c r="AC61" t="s">
        <v>334</v>
      </c>
      <c r="AD61" s="34">
        <v>46.169808529999997</v>
      </c>
      <c r="AE61" s="34">
        <v>-84.076111240000003</v>
      </c>
      <c r="AF61" s="18">
        <v>40308.069444444445</v>
      </c>
      <c r="AG61" s="19">
        <v>40307.902777777781</v>
      </c>
      <c r="AH61" t="s">
        <v>161</v>
      </c>
      <c r="AL61" t="s">
        <v>335</v>
      </c>
      <c r="AM61" s="20">
        <v>40304</v>
      </c>
      <c r="AR61" s="39" t="s">
        <v>400</v>
      </c>
      <c r="AS61" s="39"/>
      <c r="AT61" s="39">
        <v>200</v>
      </c>
      <c r="AZ61" t="s">
        <v>108</v>
      </c>
      <c r="BC61" t="s">
        <v>336</v>
      </c>
    </row>
    <row r="62" spans="1:64" x14ac:dyDescent="0.25">
      <c r="A62" t="str">
        <f t="shared" si="0"/>
        <v>A69-9002-2545</v>
      </c>
      <c r="B62" t="s">
        <v>398</v>
      </c>
      <c r="C62" t="s">
        <v>324</v>
      </c>
      <c r="D62" t="s">
        <v>325</v>
      </c>
      <c r="F62">
        <v>2545</v>
      </c>
      <c r="G62" t="s">
        <v>326</v>
      </c>
      <c r="H62" t="s">
        <v>327</v>
      </c>
      <c r="I62" s="20">
        <v>40304</v>
      </c>
      <c r="J62">
        <v>80</v>
      </c>
      <c r="L62" t="s">
        <v>109</v>
      </c>
      <c r="M62" t="s">
        <v>328</v>
      </c>
      <c r="N62" t="s">
        <v>329</v>
      </c>
      <c r="O62" t="s">
        <v>330</v>
      </c>
      <c r="P62" t="s">
        <v>338</v>
      </c>
      <c r="U62">
        <v>0.47</v>
      </c>
      <c r="V62">
        <v>0.21</v>
      </c>
      <c r="W62" t="s">
        <v>399</v>
      </c>
      <c r="Y62" t="s">
        <v>332</v>
      </c>
      <c r="AB62" t="s">
        <v>339</v>
      </c>
      <c r="AC62" t="s">
        <v>334</v>
      </c>
      <c r="AD62" s="34">
        <v>46.169808529999997</v>
      </c>
      <c r="AE62" s="34">
        <v>-84.076111240000003</v>
      </c>
      <c r="AF62" s="18">
        <v>40308.069444444445</v>
      </c>
      <c r="AG62" s="19">
        <v>40307.902777777781</v>
      </c>
      <c r="AH62" t="s">
        <v>161</v>
      </c>
      <c r="AL62" t="s">
        <v>335</v>
      </c>
      <c r="AM62" s="20">
        <v>40304</v>
      </c>
      <c r="AR62" s="39" t="s">
        <v>400</v>
      </c>
      <c r="AS62" s="39"/>
      <c r="AT62" s="39">
        <v>200</v>
      </c>
      <c r="AZ62" t="s">
        <v>108</v>
      </c>
      <c r="BC62" t="s">
        <v>336</v>
      </c>
    </row>
    <row r="63" spans="1:64" x14ac:dyDescent="0.25">
      <c r="A63" t="str">
        <f t="shared" si="0"/>
        <v>A69-9002-2546</v>
      </c>
      <c r="B63" t="s">
        <v>398</v>
      </c>
      <c r="C63" t="s">
        <v>324</v>
      </c>
      <c r="D63" t="s">
        <v>325</v>
      </c>
      <c r="F63">
        <v>2546</v>
      </c>
      <c r="G63" t="s">
        <v>326</v>
      </c>
      <c r="H63" t="s">
        <v>327</v>
      </c>
      <c r="I63" s="20">
        <v>40304</v>
      </c>
      <c r="J63">
        <v>80</v>
      </c>
      <c r="L63" t="s">
        <v>109</v>
      </c>
      <c r="M63" t="s">
        <v>328</v>
      </c>
      <c r="N63" t="s">
        <v>329</v>
      </c>
      <c r="O63" t="s">
        <v>330</v>
      </c>
      <c r="P63" t="s">
        <v>338</v>
      </c>
      <c r="U63">
        <v>0.53</v>
      </c>
      <c r="V63">
        <v>0.28899999999999998</v>
      </c>
      <c r="W63" t="s">
        <v>399</v>
      </c>
      <c r="Y63" t="s">
        <v>337</v>
      </c>
      <c r="AB63" t="s">
        <v>339</v>
      </c>
      <c r="AC63" t="s">
        <v>334</v>
      </c>
      <c r="AD63" s="34">
        <v>46.169808529999997</v>
      </c>
      <c r="AE63" s="34">
        <v>-84.076111240000003</v>
      </c>
      <c r="AF63" s="18">
        <v>40308.069444444445</v>
      </c>
      <c r="AG63" s="19">
        <v>40307.902777777781</v>
      </c>
      <c r="AH63" t="s">
        <v>161</v>
      </c>
      <c r="AL63" t="s">
        <v>335</v>
      </c>
      <c r="AM63" s="20">
        <v>40304</v>
      </c>
      <c r="AR63" s="39" t="s">
        <v>400</v>
      </c>
      <c r="AS63" s="39"/>
      <c r="AT63" s="39">
        <v>200</v>
      </c>
      <c r="AZ63" t="s">
        <v>108</v>
      </c>
      <c r="BC63" t="s">
        <v>336</v>
      </c>
    </row>
    <row r="64" spans="1:64" x14ac:dyDescent="0.25">
      <c r="A64" t="str">
        <f t="shared" si="0"/>
        <v>A69-9002-2547</v>
      </c>
      <c r="B64" t="s">
        <v>398</v>
      </c>
      <c r="C64" t="s">
        <v>324</v>
      </c>
      <c r="D64" t="s">
        <v>325</v>
      </c>
      <c r="F64">
        <v>2547</v>
      </c>
      <c r="G64" t="s">
        <v>326</v>
      </c>
      <c r="H64" t="s">
        <v>327</v>
      </c>
      <c r="I64" s="20">
        <v>40304</v>
      </c>
      <c r="J64">
        <v>80</v>
      </c>
      <c r="L64" t="s">
        <v>109</v>
      </c>
      <c r="M64" t="s">
        <v>328</v>
      </c>
      <c r="N64" t="s">
        <v>329</v>
      </c>
      <c r="O64" t="s">
        <v>330</v>
      </c>
      <c r="P64" t="s">
        <v>338</v>
      </c>
      <c r="U64">
        <v>0.46</v>
      </c>
      <c r="V64">
        <v>0.218</v>
      </c>
      <c r="W64" t="s">
        <v>399</v>
      </c>
      <c r="Y64" t="s">
        <v>337</v>
      </c>
      <c r="AB64" t="s">
        <v>339</v>
      </c>
      <c r="AC64" t="s">
        <v>334</v>
      </c>
      <c r="AD64" s="34">
        <v>46.169808529999997</v>
      </c>
      <c r="AE64" s="34">
        <v>-84.076111240000003</v>
      </c>
      <c r="AF64" s="18">
        <v>40308.069444444445</v>
      </c>
      <c r="AG64" s="19">
        <v>40307.902777777781</v>
      </c>
      <c r="AH64" t="s">
        <v>161</v>
      </c>
      <c r="AL64" t="s">
        <v>335</v>
      </c>
      <c r="AM64" s="20">
        <v>40304</v>
      </c>
      <c r="AR64" s="39" t="s">
        <v>400</v>
      </c>
      <c r="AS64" s="39"/>
      <c r="AT64" s="39">
        <v>200</v>
      </c>
      <c r="AZ64" t="s">
        <v>108</v>
      </c>
      <c r="BC64" t="s">
        <v>336</v>
      </c>
    </row>
    <row r="65" spans="1:64" x14ac:dyDescent="0.25">
      <c r="A65" t="str">
        <f t="shared" si="0"/>
        <v>A69-9002-2548</v>
      </c>
      <c r="B65" t="s">
        <v>398</v>
      </c>
      <c r="C65" t="s">
        <v>324</v>
      </c>
      <c r="D65" t="s">
        <v>325</v>
      </c>
      <c r="F65">
        <v>2548</v>
      </c>
      <c r="G65" t="s">
        <v>326</v>
      </c>
      <c r="H65" t="s">
        <v>327</v>
      </c>
      <c r="I65" s="20">
        <v>40304</v>
      </c>
      <c r="J65">
        <v>80</v>
      </c>
      <c r="L65" t="s">
        <v>109</v>
      </c>
      <c r="M65" t="s">
        <v>328</v>
      </c>
      <c r="N65" t="s">
        <v>329</v>
      </c>
      <c r="O65" t="s">
        <v>330</v>
      </c>
      <c r="P65" t="s">
        <v>338</v>
      </c>
      <c r="U65">
        <v>0.43</v>
      </c>
      <c r="V65">
        <v>0.189</v>
      </c>
      <c r="W65" t="s">
        <v>399</v>
      </c>
      <c r="Y65" t="s">
        <v>332</v>
      </c>
      <c r="AB65" t="s">
        <v>339</v>
      </c>
      <c r="AC65" t="s">
        <v>334</v>
      </c>
      <c r="AD65" s="34">
        <v>46.169808529999997</v>
      </c>
      <c r="AE65" s="34">
        <v>-84.076111240000003</v>
      </c>
      <c r="AF65" s="18">
        <v>40308.069444444445</v>
      </c>
      <c r="AG65" s="19">
        <v>40307.902777777781</v>
      </c>
      <c r="AH65" t="s">
        <v>161</v>
      </c>
      <c r="AL65" t="s">
        <v>335</v>
      </c>
      <c r="AM65" s="20">
        <v>40304</v>
      </c>
      <c r="AR65" s="39" t="s">
        <v>400</v>
      </c>
      <c r="AS65" s="39"/>
      <c r="AT65" s="39">
        <v>200</v>
      </c>
      <c r="AZ65" t="s">
        <v>108</v>
      </c>
      <c r="BC65" t="s">
        <v>336</v>
      </c>
    </row>
    <row r="66" spans="1:64" x14ac:dyDescent="0.25">
      <c r="A66" t="str">
        <f t="shared" si="0"/>
        <v>A69-9002-2549</v>
      </c>
      <c r="B66" t="s">
        <v>398</v>
      </c>
      <c r="C66" t="s">
        <v>324</v>
      </c>
      <c r="D66" t="s">
        <v>325</v>
      </c>
      <c r="F66">
        <v>2549</v>
      </c>
      <c r="G66" t="s">
        <v>326</v>
      </c>
      <c r="H66" t="s">
        <v>327</v>
      </c>
      <c r="I66" s="20">
        <v>40304</v>
      </c>
      <c r="J66">
        <v>80</v>
      </c>
      <c r="L66" t="s">
        <v>109</v>
      </c>
      <c r="M66" t="s">
        <v>328</v>
      </c>
      <c r="N66" t="s">
        <v>329</v>
      </c>
      <c r="O66" t="s">
        <v>330</v>
      </c>
      <c r="P66" t="s">
        <v>338</v>
      </c>
      <c r="U66">
        <v>0.48</v>
      </c>
      <c r="V66">
        <v>0.24199999999999999</v>
      </c>
      <c r="W66" t="s">
        <v>399</v>
      </c>
      <c r="Y66" t="s">
        <v>337</v>
      </c>
      <c r="AB66" t="s">
        <v>339</v>
      </c>
      <c r="AC66" t="s">
        <v>334</v>
      </c>
      <c r="AD66" s="34">
        <v>46.169808529999997</v>
      </c>
      <c r="AE66" s="34">
        <v>-84.076111240000003</v>
      </c>
      <c r="AF66" s="18">
        <v>40308.069444444445</v>
      </c>
      <c r="AG66" s="19">
        <v>40307.902777777781</v>
      </c>
      <c r="AH66" t="s">
        <v>161</v>
      </c>
      <c r="AL66" t="s">
        <v>335</v>
      </c>
      <c r="AM66" s="20">
        <v>40304</v>
      </c>
      <c r="AR66" s="39" t="s">
        <v>400</v>
      </c>
      <c r="AS66" s="39"/>
      <c r="AT66" s="39">
        <v>200</v>
      </c>
      <c r="AZ66" t="s">
        <v>108</v>
      </c>
      <c r="BC66" t="s">
        <v>336</v>
      </c>
    </row>
    <row r="67" spans="1:64" x14ac:dyDescent="0.25">
      <c r="A67" t="str">
        <f t="shared" si="0"/>
        <v>A69-9002-2550</v>
      </c>
      <c r="B67" t="s">
        <v>398</v>
      </c>
      <c r="C67" t="s">
        <v>324</v>
      </c>
      <c r="D67" t="s">
        <v>325</v>
      </c>
      <c r="F67">
        <v>2550</v>
      </c>
      <c r="G67" t="s">
        <v>326</v>
      </c>
      <c r="H67" t="s">
        <v>327</v>
      </c>
      <c r="I67" s="20">
        <v>40304</v>
      </c>
      <c r="J67">
        <v>80</v>
      </c>
      <c r="L67" t="s">
        <v>109</v>
      </c>
      <c r="M67" t="s">
        <v>328</v>
      </c>
      <c r="N67" t="s">
        <v>329</v>
      </c>
      <c r="O67" t="s">
        <v>330</v>
      </c>
      <c r="P67" t="s">
        <v>338</v>
      </c>
      <c r="U67">
        <v>0.48</v>
      </c>
      <c r="V67">
        <v>0.20200000000000001</v>
      </c>
      <c r="W67" t="s">
        <v>399</v>
      </c>
      <c r="Y67" t="s">
        <v>332</v>
      </c>
      <c r="AB67" t="s">
        <v>339</v>
      </c>
      <c r="AC67" t="s">
        <v>334</v>
      </c>
      <c r="AD67" s="34">
        <v>46.169808529999997</v>
      </c>
      <c r="AE67" s="34">
        <v>-84.076111240000003</v>
      </c>
      <c r="AF67" s="18">
        <v>40308.069444444445</v>
      </c>
      <c r="AG67" s="19">
        <v>40307.902777777781</v>
      </c>
      <c r="AH67" t="s">
        <v>161</v>
      </c>
      <c r="AL67" t="s">
        <v>335</v>
      </c>
      <c r="AM67" s="20">
        <v>40304</v>
      </c>
      <c r="AR67" s="39" t="s">
        <v>400</v>
      </c>
      <c r="AS67" s="39"/>
      <c r="AT67" s="39">
        <v>200</v>
      </c>
      <c r="AZ67" t="s">
        <v>108</v>
      </c>
      <c r="BC67" t="s">
        <v>336</v>
      </c>
    </row>
    <row r="68" spans="1:64" x14ac:dyDescent="0.25">
      <c r="A68" t="str">
        <f t="shared" ref="A68:A131" si="1">CONCATENATE(G68,"-",F68)</f>
        <v>A69-9002-2551</v>
      </c>
      <c r="B68" t="s">
        <v>398</v>
      </c>
      <c r="C68" t="s">
        <v>324</v>
      </c>
      <c r="D68" t="s">
        <v>325</v>
      </c>
      <c r="F68">
        <v>2551</v>
      </c>
      <c r="G68" t="s">
        <v>326</v>
      </c>
      <c r="H68" t="s">
        <v>327</v>
      </c>
      <c r="I68" s="20">
        <v>40304</v>
      </c>
      <c r="J68">
        <v>80</v>
      </c>
      <c r="L68" t="s">
        <v>109</v>
      </c>
      <c r="M68" t="s">
        <v>328</v>
      </c>
      <c r="N68" t="s">
        <v>329</v>
      </c>
      <c r="O68" t="s">
        <v>330</v>
      </c>
      <c r="P68" t="s">
        <v>338</v>
      </c>
      <c r="U68">
        <v>0.48</v>
      </c>
      <c r="V68">
        <v>0.24</v>
      </c>
      <c r="W68" t="s">
        <v>399</v>
      </c>
      <c r="Y68" t="s">
        <v>332</v>
      </c>
      <c r="AB68" t="s">
        <v>339</v>
      </c>
      <c r="AC68" t="s">
        <v>334</v>
      </c>
      <c r="AD68" s="34">
        <v>46.169808529999997</v>
      </c>
      <c r="AE68" s="34">
        <v>-84.076111240000003</v>
      </c>
      <c r="AF68" s="18">
        <v>40308.069444444445</v>
      </c>
      <c r="AG68" s="19">
        <v>40307.902777777781</v>
      </c>
      <c r="AH68" t="s">
        <v>161</v>
      </c>
      <c r="AL68" t="s">
        <v>335</v>
      </c>
      <c r="AM68" s="20">
        <v>40304</v>
      </c>
      <c r="AR68" s="39" t="s">
        <v>400</v>
      </c>
      <c r="AS68" s="39"/>
      <c r="AT68" s="39">
        <v>200</v>
      </c>
      <c r="AZ68" t="s">
        <v>108</v>
      </c>
      <c r="BC68" t="s">
        <v>336</v>
      </c>
    </row>
    <row r="69" spans="1:64" x14ac:dyDescent="0.25">
      <c r="A69" t="str">
        <f t="shared" si="1"/>
        <v>A69-9002-2552</v>
      </c>
      <c r="B69" t="s">
        <v>398</v>
      </c>
      <c r="C69" t="s">
        <v>324</v>
      </c>
      <c r="D69" t="s">
        <v>325</v>
      </c>
      <c r="F69">
        <v>2552</v>
      </c>
      <c r="G69" t="s">
        <v>326</v>
      </c>
      <c r="H69" t="s">
        <v>327</v>
      </c>
      <c r="I69" s="20">
        <v>40304</v>
      </c>
      <c r="J69">
        <v>80</v>
      </c>
      <c r="L69" t="s">
        <v>109</v>
      </c>
      <c r="M69" t="s">
        <v>328</v>
      </c>
      <c r="N69" t="s">
        <v>329</v>
      </c>
      <c r="O69" t="s">
        <v>330</v>
      </c>
      <c r="P69" t="s">
        <v>338</v>
      </c>
      <c r="U69">
        <v>0.52</v>
      </c>
      <c r="V69">
        <v>0.27800000000000002</v>
      </c>
      <c r="W69" t="s">
        <v>399</v>
      </c>
      <c r="Y69" t="s">
        <v>332</v>
      </c>
      <c r="AB69" t="s">
        <v>339</v>
      </c>
      <c r="AC69" t="s">
        <v>334</v>
      </c>
      <c r="AD69" s="34">
        <v>46.169808529999997</v>
      </c>
      <c r="AE69" s="34">
        <v>-84.076111240000003</v>
      </c>
      <c r="AF69" s="18">
        <v>40308.069444444445</v>
      </c>
      <c r="AG69" s="19">
        <v>40307.902777777781</v>
      </c>
      <c r="AH69" t="s">
        <v>161</v>
      </c>
      <c r="AL69" t="s">
        <v>335</v>
      </c>
      <c r="AM69" s="20">
        <v>40304</v>
      </c>
      <c r="AR69" s="39" t="s">
        <v>400</v>
      </c>
      <c r="AS69" s="39"/>
      <c r="AT69" s="39">
        <v>200</v>
      </c>
      <c r="AZ69" t="s">
        <v>108</v>
      </c>
      <c r="BC69" t="s">
        <v>336</v>
      </c>
    </row>
    <row r="70" spans="1:64" x14ac:dyDescent="0.25">
      <c r="A70" t="str">
        <f t="shared" si="1"/>
        <v>A69-9002-2553</v>
      </c>
      <c r="B70" t="s">
        <v>398</v>
      </c>
      <c r="C70" t="s">
        <v>324</v>
      </c>
      <c r="D70" t="s">
        <v>325</v>
      </c>
      <c r="F70">
        <v>2553</v>
      </c>
      <c r="G70" t="s">
        <v>326</v>
      </c>
      <c r="H70" t="s">
        <v>327</v>
      </c>
      <c r="I70" s="20">
        <v>40304</v>
      </c>
      <c r="J70">
        <v>80</v>
      </c>
      <c r="L70" t="s">
        <v>109</v>
      </c>
      <c r="M70" t="s">
        <v>328</v>
      </c>
      <c r="N70" t="s">
        <v>329</v>
      </c>
      <c r="O70" t="s">
        <v>330</v>
      </c>
      <c r="P70" t="s">
        <v>338</v>
      </c>
      <c r="U70">
        <v>0.52</v>
      </c>
      <c r="V70">
        <v>0.27300000000000002</v>
      </c>
      <c r="W70" t="s">
        <v>399</v>
      </c>
      <c r="Y70" t="s">
        <v>337</v>
      </c>
      <c r="AB70" t="s">
        <v>339</v>
      </c>
      <c r="AC70" t="s">
        <v>334</v>
      </c>
      <c r="AD70" s="34">
        <v>46.169808529999997</v>
      </c>
      <c r="AE70" s="34">
        <v>-84.076111240000003</v>
      </c>
      <c r="AF70" s="18">
        <v>40308.069444444445</v>
      </c>
      <c r="AG70" s="19">
        <v>40307.902777777781</v>
      </c>
      <c r="AH70" t="s">
        <v>161</v>
      </c>
      <c r="AL70" t="s">
        <v>335</v>
      </c>
      <c r="AM70" s="20">
        <v>40304</v>
      </c>
      <c r="AR70" s="39" t="s">
        <v>400</v>
      </c>
      <c r="AS70" s="39"/>
      <c r="AT70" s="39">
        <v>200</v>
      </c>
      <c r="AZ70" t="s">
        <v>108</v>
      </c>
      <c r="BC70" t="s">
        <v>336</v>
      </c>
    </row>
    <row r="71" spans="1:64" x14ac:dyDescent="0.25">
      <c r="A71" t="str">
        <f t="shared" si="1"/>
        <v>A69-9002-2554</v>
      </c>
      <c r="B71" t="s">
        <v>398</v>
      </c>
      <c r="C71" t="s">
        <v>324</v>
      </c>
      <c r="D71" t="s">
        <v>325</v>
      </c>
      <c r="F71">
        <v>2554</v>
      </c>
      <c r="G71" t="s">
        <v>326</v>
      </c>
      <c r="H71" t="s">
        <v>327</v>
      </c>
      <c r="I71" s="20">
        <v>40304</v>
      </c>
      <c r="J71">
        <v>80</v>
      </c>
      <c r="L71" t="s">
        <v>109</v>
      </c>
      <c r="M71" t="s">
        <v>328</v>
      </c>
      <c r="N71" t="s">
        <v>329</v>
      </c>
      <c r="O71" t="s">
        <v>330</v>
      </c>
      <c r="P71" t="s">
        <v>338</v>
      </c>
      <c r="U71">
        <v>0.49</v>
      </c>
      <c r="V71">
        <v>0.22600000000000001</v>
      </c>
      <c r="W71" t="s">
        <v>399</v>
      </c>
      <c r="Y71" t="s">
        <v>332</v>
      </c>
      <c r="AB71" t="s">
        <v>339</v>
      </c>
      <c r="AC71" t="s">
        <v>334</v>
      </c>
      <c r="AD71" s="34">
        <v>46.169808529999997</v>
      </c>
      <c r="AE71" s="34">
        <v>-84.076111240000003</v>
      </c>
      <c r="AF71" s="18">
        <v>40308.069444444445</v>
      </c>
      <c r="AG71" s="19">
        <v>40307.902777777781</v>
      </c>
      <c r="AH71" t="s">
        <v>161</v>
      </c>
      <c r="AL71" t="s">
        <v>335</v>
      </c>
      <c r="AM71" s="20">
        <v>40304</v>
      </c>
      <c r="AR71" s="39" t="s">
        <v>400</v>
      </c>
      <c r="AS71" s="39"/>
      <c r="AT71" s="39">
        <v>200</v>
      </c>
      <c r="AZ71" t="s">
        <v>108</v>
      </c>
      <c r="BC71" t="s">
        <v>336</v>
      </c>
    </row>
    <row r="72" spans="1:64" x14ac:dyDescent="0.25">
      <c r="A72" t="str">
        <f t="shared" si="1"/>
        <v>A69-9002-2555</v>
      </c>
      <c r="B72" t="s">
        <v>398</v>
      </c>
      <c r="C72" t="s">
        <v>324</v>
      </c>
      <c r="D72" t="s">
        <v>325</v>
      </c>
      <c r="F72">
        <v>2555</v>
      </c>
      <c r="G72" t="s">
        <v>326</v>
      </c>
      <c r="H72" t="s">
        <v>327</v>
      </c>
      <c r="I72" s="20">
        <v>40304</v>
      </c>
      <c r="J72">
        <v>80</v>
      </c>
      <c r="L72" t="s">
        <v>109</v>
      </c>
      <c r="M72" t="s">
        <v>328</v>
      </c>
      <c r="N72" t="s">
        <v>329</v>
      </c>
      <c r="O72" t="s">
        <v>330</v>
      </c>
      <c r="P72" t="s">
        <v>338</v>
      </c>
      <c r="U72">
        <v>0.52</v>
      </c>
      <c r="V72">
        <v>0.28599999999999998</v>
      </c>
      <c r="W72" t="s">
        <v>399</v>
      </c>
      <c r="Y72" t="s">
        <v>337</v>
      </c>
      <c r="AB72" t="s">
        <v>339</v>
      </c>
      <c r="AC72" t="s">
        <v>334</v>
      </c>
      <c r="AD72" s="34">
        <v>46.169808529999997</v>
      </c>
      <c r="AE72" s="34">
        <v>-84.076111240000003</v>
      </c>
      <c r="AF72" s="18">
        <v>40308.069444444445</v>
      </c>
      <c r="AG72" s="19">
        <v>40307.902777777781</v>
      </c>
      <c r="AH72" t="s">
        <v>161</v>
      </c>
      <c r="AL72" t="s">
        <v>335</v>
      </c>
      <c r="AM72" s="20">
        <v>40304</v>
      </c>
      <c r="AR72" s="39" t="s">
        <v>400</v>
      </c>
      <c r="AS72" s="39"/>
      <c r="AT72" s="39">
        <v>200</v>
      </c>
      <c r="AZ72" t="s">
        <v>108</v>
      </c>
      <c r="BC72" t="s">
        <v>336</v>
      </c>
    </row>
    <row r="73" spans="1:64" x14ac:dyDescent="0.25">
      <c r="A73" t="str">
        <f t="shared" si="1"/>
        <v>A69-9002-2556</v>
      </c>
      <c r="B73" t="s">
        <v>398</v>
      </c>
      <c r="C73" t="s">
        <v>324</v>
      </c>
      <c r="D73" t="s">
        <v>325</v>
      </c>
      <c r="F73">
        <v>2556</v>
      </c>
      <c r="G73" t="s">
        <v>326</v>
      </c>
      <c r="H73" t="s">
        <v>327</v>
      </c>
      <c r="I73" s="20">
        <v>40304</v>
      </c>
      <c r="J73">
        <v>80</v>
      </c>
      <c r="L73" t="s">
        <v>109</v>
      </c>
      <c r="M73" t="s">
        <v>328</v>
      </c>
      <c r="N73" t="s">
        <v>329</v>
      </c>
      <c r="O73" t="s">
        <v>330</v>
      </c>
      <c r="P73" t="s">
        <v>338</v>
      </c>
      <c r="U73">
        <v>0.5</v>
      </c>
      <c r="V73">
        <v>0.315</v>
      </c>
      <c r="W73" t="s">
        <v>399</v>
      </c>
      <c r="Y73" t="s">
        <v>337</v>
      </c>
      <c r="AB73" t="s">
        <v>339</v>
      </c>
      <c r="AC73" t="s">
        <v>334</v>
      </c>
      <c r="AD73" s="34">
        <v>46.169808529999997</v>
      </c>
      <c r="AE73" s="34">
        <v>-84.076111240000003</v>
      </c>
      <c r="AF73" s="18">
        <v>40308.069444444445</v>
      </c>
      <c r="AG73" s="19">
        <v>40307.902777777781</v>
      </c>
      <c r="AH73" t="s">
        <v>161</v>
      </c>
      <c r="AL73" t="s">
        <v>335</v>
      </c>
      <c r="AM73" s="20">
        <v>40304</v>
      </c>
      <c r="AR73" s="39" t="s">
        <v>400</v>
      </c>
      <c r="AS73" s="39"/>
      <c r="AT73" s="39">
        <v>200</v>
      </c>
      <c r="AZ73" t="s">
        <v>108</v>
      </c>
      <c r="BC73" t="s">
        <v>336</v>
      </c>
    </row>
    <row r="74" spans="1:64" x14ac:dyDescent="0.25">
      <c r="A74" t="str">
        <f t="shared" si="1"/>
        <v>A69-9002-2557</v>
      </c>
      <c r="B74" t="s">
        <v>398</v>
      </c>
      <c r="C74" t="s">
        <v>324</v>
      </c>
      <c r="D74" t="s">
        <v>325</v>
      </c>
      <c r="F74">
        <v>2557</v>
      </c>
      <c r="G74" t="s">
        <v>326</v>
      </c>
      <c r="H74" t="s">
        <v>327</v>
      </c>
      <c r="I74" s="20">
        <v>40304</v>
      </c>
      <c r="J74">
        <v>80</v>
      </c>
      <c r="L74" t="s">
        <v>109</v>
      </c>
      <c r="M74" t="s">
        <v>328</v>
      </c>
      <c r="N74" t="s">
        <v>329</v>
      </c>
      <c r="O74" t="s">
        <v>330</v>
      </c>
      <c r="P74" t="s">
        <v>338</v>
      </c>
      <c r="U74">
        <v>0.49</v>
      </c>
      <c r="V74">
        <v>0.22800000000000001</v>
      </c>
      <c r="W74" t="s">
        <v>399</v>
      </c>
      <c r="Y74" t="s">
        <v>337</v>
      </c>
      <c r="AB74" t="s">
        <v>339</v>
      </c>
      <c r="AC74" t="s">
        <v>334</v>
      </c>
      <c r="AD74" s="34">
        <v>46.169808529999997</v>
      </c>
      <c r="AE74" s="34">
        <v>-84.076111240000003</v>
      </c>
      <c r="AF74" s="18">
        <v>40308.069444444445</v>
      </c>
      <c r="AG74" s="19">
        <v>40307.902777777781</v>
      </c>
      <c r="AH74" t="s">
        <v>161</v>
      </c>
      <c r="AL74" t="s">
        <v>335</v>
      </c>
      <c r="AM74" s="20">
        <v>40304</v>
      </c>
      <c r="AR74" s="39" t="s">
        <v>400</v>
      </c>
      <c r="AS74" s="39"/>
      <c r="AT74" s="39">
        <v>200</v>
      </c>
      <c r="AZ74" t="s">
        <v>108</v>
      </c>
      <c r="BC74" t="s">
        <v>336</v>
      </c>
    </row>
    <row r="75" spans="1:64" x14ac:dyDescent="0.25">
      <c r="A75" t="str">
        <f t="shared" si="1"/>
        <v>A69-9002-2558</v>
      </c>
      <c r="B75" t="s">
        <v>398</v>
      </c>
      <c r="C75" t="s">
        <v>324</v>
      </c>
      <c r="D75" t="s">
        <v>325</v>
      </c>
      <c r="F75">
        <v>2558</v>
      </c>
      <c r="G75" t="s">
        <v>326</v>
      </c>
      <c r="H75" t="s">
        <v>327</v>
      </c>
      <c r="I75" s="20">
        <v>40304</v>
      </c>
      <c r="J75">
        <v>80</v>
      </c>
      <c r="L75" t="s">
        <v>109</v>
      </c>
      <c r="M75" t="s">
        <v>328</v>
      </c>
      <c r="N75" t="s">
        <v>329</v>
      </c>
      <c r="O75" t="s">
        <v>330</v>
      </c>
      <c r="P75" t="s">
        <v>338</v>
      </c>
      <c r="U75">
        <v>0.53</v>
      </c>
      <c r="V75">
        <v>0.26300000000000001</v>
      </c>
      <c r="W75" t="s">
        <v>399</v>
      </c>
      <c r="Y75" t="s">
        <v>332</v>
      </c>
      <c r="AB75" t="s">
        <v>339</v>
      </c>
      <c r="AC75" t="s">
        <v>334</v>
      </c>
      <c r="AD75" s="34">
        <v>46.169808529999997</v>
      </c>
      <c r="AE75" s="34">
        <v>-84.076111240000003</v>
      </c>
      <c r="AF75" s="18">
        <v>40308.069444444445</v>
      </c>
      <c r="AG75" s="19">
        <v>40307.902777777781</v>
      </c>
      <c r="AH75" t="s">
        <v>161</v>
      </c>
      <c r="AL75" t="s">
        <v>335</v>
      </c>
      <c r="AM75" s="20">
        <v>40304</v>
      </c>
      <c r="AR75" s="39" t="s">
        <v>400</v>
      </c>
      <c r="AS75" s="39"/>
      <c r="AT75" s="39">
        <v>200</v>
      </c>
      <c r="AZ75" t="s">
        <v>108</v>
      </c>
      <c r="BC75" t="s">
        <v>163</v>
      </c>
      <c r="BD75" s="20">
        <v>40347</v>
      </c>
      <c r="BF75" s="21" t="s">
        <v>406</v>
      </c>
      <c r="BG75" s="1" t="s">
        <v>113</v>
      </c>
      <c r="BH75" s="39" t="s">
        <v>408</v>
      </c>
      <c r="BI75" s="1">
        <v>46.514783999999999</v>
      </c>
      <c r="BJ75" s="1">
        <v>-84.346945000000005</v>
      </c>
      <c r="BK75" t="s">
        <v>404</v>
      </c>
      <c r="BL75" s="39" t="s">
        <v>336</v>
      </c>
    </row>
    <row r="76" spans="1:64" x14ac:dyDescent="0.25">
      <c r="A76" t="str">
        <f t="shared" si="1"/>
        <v>A69-9002-2559</v>
      </c>
      <c r="B76" t="s">
        <v>398</v>
      </c>
      <c r="C76" t="s">
        <v>324</v>
      </c>
      <c r="D76" t="s">
        <v>325</v>
      </c>
      <c r="F76">
        <v>2559</v>
      </c>
      <c r="G76" t="s">
        <v>326</v>
      </c>
      <c r="H76" t="s">
        <v>327</v>
      </c>
      <c r="I76" s="20">
        <v>40304</v>
      </c>
      <c r="J76">
        <v>80</v>
      </c>
      <c r="L76" t="s">
        <v>109</v>
      </c>
      <c r="M76" t="s">
        <v>328</v>
      </c>
      <c r="N76" t="s">
        <v>329</v>
      </c>
      <c r="O76" t="s">
        <v>330</v>
      </c>
      <c r="P76" t="s">
        <v>338</v>
      </c>
      <c r="U76">
        <v>0.55000000000000004</v>
      </c>
      <c r="V76">
        <v>0.317</v>
      </c>
      <c r="W76" t="s">
        <v>399</v>
      </c>
      <c r="Y76" t="s">
        <v>332</v>
      </c>
      <c r="AB76" t="s">
        <v>339</v>
      </c>
      <c r="AC76" t="s">
        <v>334</v>
      </c>
      <c r="AD76" s="34">
        <v>46.169808529999997</v>
      </c>
      <c r="AE76" s="34">
        <v>-84.076111240000003</v>
      </c>
      <c r="AF76" s="18">
        <v>40308.069444444445</v>
      </c>
      <c r="AG76" s="19">
        <v>40307.902777777781</v>
      </c>
      <c r="AH76" t="s">
        <v>161</v>
      </c>
      <c r="AL76" t="s">
        <v>335</v>
      </c>
      <c r="AM76" s="20">
        <v>40304</v>
      </c>
      <c r="AR76" s="39" t="s">
        <v>400</v>
      </c>
      <c r="AS76" s="39"/>
      <c r="AT76" s="39">
        <v>200</v>
      </c>
      <c r="AZ76" t="s">
        <v>108</v>
      </c>
      <c r="BC76" t="s">
        <v>336</v>
      </c>
    </row>
    <row r="77" spans="1:64" x14ac:dyDescent="0.25">
      <c r="A77" t="str">
        <f t="shared" si="1"/>
        <v>A69-9002-2560</v>
      </c>
      <c r="B77" t="s">
        <v>398</v>
      </c>
      <c r="C77" t="s">
        <v>324</v>
      </c>
      <c r="D77" t="s">
        <v>325</v>
      </c>
      <c r="F77">
        <v>2560</v>
      </c>
      <c r="G77" t="s">
        <v>326</v>
      </c>
      <c r="H77" t="s">
        <v>327</v>
      </c>
      <c r="I77" s="20">
        <v>40304</v>
      </c>
      <c r="J77">
        <v>80</v>
      </c>
      <c r="L77" t="s">
        <v>109</v>
      </c>
      <c r="M77" t="s">
        <v>328</v>
      </c>
      <c r="N77" t="s">
        <v>329</v>
      </c>
      <c r="O77" t="s">
        <v>330</v>
      </c>
      <c r="P77" t="s">
        <v>338</v>
      </c>
      <c r="U77">
        <v>0.55000000000000004</v>
      </c>
      <c r="V77">
        <v>0.26300000000000001</v>
      </c>
      <c r="W77" t="s">
        <v>399</v>
      </c>
      <c r="Y77" t="s">
        <v>337</v>
      </c>
      <c r="AB77" t="s">
        <v>339</v>
      </c>
      <c r="AC77" t="s">
        <v>334</v>
      </c>
      <c r="AD77" s="34">
        <v>46.169808529999997</v>
      </c>
      <c r="AE77" s="34">
        <v>-84.076111240000003</v>
      </c>
      <c r="AF77" s="18">
        <v>40308.069444444445</v>
      </c>
      <c r="AG77" s="19">
        <v>40307.902777777781</v>
      </c>
      <c r="AH77" t="s">
        <v>161</v>
      </c>
      <c r="AL77" t="s">
        <v>335</v>
      </c>
      <c r="AM77" s="20">
        <v>40304</v>
      </c>
      <c r="AR77" s="39" t="s">
        <v>400</v>
      </c>
      <c r="AS77" s="39"/>
      <c r="AT77" s="39">
        <v>200</v>
      </c>
      <c r="AZ77" t="s">
        <v>108</v>
      </c>
      <c r="BC77" t="s">
        <v>163</v>
      </c>
      <c r="BD77" s="20">
        <v>40351</v>
      </c>
      <c r="BF77" s="21" t="s">
        <v>406</v>
      </c>
      <c r="BG77" s="1" t="s">
        <v>113</v>
      </c>
      <c r="BH77" t="s">
        <v>425</v>
      </c>
      <c r="BI77" s="39">
        <v>46.504829000000001</v>
      </c>
      <c r="BJ77" s="39">
        <v>-84.354651000000004</v>
      </c>
      <c r="BK77" t="s">
        <v>405</v>
      </c>
      <c r="BL77" s="39" t="s">
        <v>336</v>
      </c>
    </row>
    <row r="78" spans="1:64" x14ac:dyDescent="0.25">
      <c r="A78" t="str">
        <f t="shared" si="1"/>
        <v>A69-9002-2561</v>
      </c>
      <c r="B78" t="s">
        <v>398</v>
      </c>
      <c r="C78" t="s">
        <v>324</v>
      </c>
      <c r="D78" t="s">
        <v>325</v>
      </c>
      <c r="F78">
        <v>2561</v>
      </c>
      <c r="G78" t="s">
        <v>326</v>
      </c>
      <c r="H78" t="s">
        <v>327</v>
      </c>
      <c r="I78" s="20">
        <v>40304</v>
      </c>
      <c r="J78">
        <v>80</v>
      </c>
      <c r="L78" t="s">
        <v>109</v>
      </c>
      <c r="M78" t="s">
        <v>328</v>
      </c>
      <c r="N78" t="s">
        <v>329</v>
      </c>
      <c r="O78" t="s">
        <v>330</v>
      </c>
      <c r="P78" t="s">
        <v>338</v>
      </c>
      <c r="U78">
        <v>0.48</v>
      </c>
      <c r="V78">
        <v>0.222</v>
      </c>
      <c r="W78" t="s">
        <v>399</v>
      </c>
      <c r="Y78" t="s">
        <v>332</v>
      </c>
      <c r="AB78" t="s">
        <v>339</v>
      </c>
      <c r="AC78" t="s">
        <v>334</v>
      </c>
      <c r="AD78" s="34">
        <v>46.169808529999997</v>
      </c>
      <c r="AE78" s="34">
        <v>-84.076111240000003</v>
      </c>
      <c r="AF78" s="18">
        <v>40308.069444444445</v>
      </c>
      <c r="AG78" s="19">
        <v>40307.902777777781</v>
      </c>
      <c r="AH78" t="s">
        <v>161</v>
      </c>
      <c r="AL78" t="s">
        <v>335</v>
      </c>
      <c r="AM78" s="20">
        <v>40304</v>
      </c>
      <c r="AR78" s="39" t="s">
        <v>400</v>
      </c>
      <c r="AS78" s="39"/>
      <c r="AT78" s="39">
        <v>200</v>
      </c>
      <c r="AZ78" t="s">
        <v>108</v>
      </c>
      <c r="BC78" t="s">
        <v>336</v>
      </c>
    </row>
    <row r="79" spans="1:64" x14ac:dyDescent="0.25">
      <c r="A79" t="str">
        <f t="shared" si="1"/>
        <v>A69-9002-2562</v>
      </c>
      <c r="B79" t="s">
        <v>398</v>
      </c>
      <c r="C79" t="s">
        <v>324</v>
      </c>
      <c r="D79" t="s">
        <v>325</v>
      </c>
      <c r="F79">
        <v>2562</v>
      </c>
      <c r="G79" t="s">
        <v>326</v>
      </c>
      <c r="H79" t="s">
        <v>327</v>
      </c>
      <c r="I79" s="20">
        <v>40304</v>
      </c>
      <c r="J79">
        <v>80</v>
      </c>
      <c r="L79" t="s">
        <v>109</v>
      </c>
      <c r="M79" t="s">
        <v>328</v>
      </c>
      <c r="N79" t="s">
        <v>329</v>
      </c>
      <c r="O79" t="s">
        <v>330</v>
      </c>
      <c r="P79" t="s">
        <v>338</v>
      </c>
      <c r="U79">
        <v>0.5</v>
      </c>
      <c r="V79">
        <v>0.23100000000000001</v>
      </c>
      <c r="W79" t="s">
        <v>399</v>
      </c>
      <c r="Y79" t="s">
        <v>332</v>
      </c>
      <c r="AB79" t="s">
        <v>339</v>
      </c>
      <c r="AC79" t="s">
        <v>334</v>
      </c>
      <c r="AD79" s="34">
        <v>46.169808529999997</v>
      </c>
      <c r="AE79" s="34">
        <v>-84.076111240000003</v>
      </c>
      <c r="AF79" s="18">
        <v>40308.069444444445</v>
      </c>
      <c r="AG79" s="19">
        <v>40307.902777777781</v>
      </c>
      <c r="AH79" t="s">
        <v>161</v>
      </c>
      <c r="AL79" t="s">
        <v>335</v>
      </c>
      <c r="AM79" s="20">
        <v>40304</v>
      </c>
      <c r="AR79" s="39" t="s">
        <v>400</v>
      </c>
      <c r="AS79" s="39"/>
      <c r="AT79" s="39">
        <v>200</v>
      </c>
      <c r="AZ79" t="s">
        <v>108</v>
      </c>
      <c r="BC79" t="s">
        <v>336</v>
      </c>
    </row>
    <row r="80" spans="1:64" x14ac:dyDescent="0.25">
      <c r="A80" t="str">
        <f t="shared" si="1"/>
        <v>A69-9002-2563</v>
      </c>
      <c r="B80" t="s">
        <v>398</v>
      </c>
      <c r="C80" t="s">
        <v>324</v>
      </c>
      <c r="D80" t="s">
        <v>325</v>
      </c>
      <c r="F80">
        <v>2563</v>
      </c>
      <c r="G80" t="s">
        <v>326</v>
      </c>
      <c r="H80" t="s">
        <v>327</v>
      </c>
      <c r="I80" s="20">
        <v>40304</v>
      </c>
      <c r="J80">
        <v>80</v>
      </c>
      <c r="L80" t="s">
        <v>109</v>
      </c>
      <c r="M80" t="s">
        <v>328</v>
      </c>
      <c r="N80" t="s">
        <v>329</v>
      </c>
      <c r="O80" t="s">
        <v>330</v>
      </c>
      <c r="P80" t="s">
        <v>338</v>
      </c>
      <c r="U80">
        <v>0.55000000000000004</v>
      </c>
      <c r="V80">
        <v>0.31900000000000001</v>
      </c>
      <c r="W80" t="s">
        <v>399</v>
      </c>
      <c r="Y80" t="s">
        <v>332</v>
      </c>
      <c r="AB80" t="s">
        <v>339</v>
      </c>
      <c r="AC80" t="s">
        <v>334</v>
      </c>
      <c r="AD80" s="34">
        <v>46.169808529999997</v>
      </c>
      <c r="AE80" s="34">
        <v>-84.076111240000003</v>
      </c>
      <c r="AF80" s="18">
        <v>40308.069444444445</v>
      </c>
      <c r="AG80" s="19">
        <v>40307.902777777781</v>
      </c>
      <c r="AH80" t="s">
        <v>161</v>
      </c>
      <c r="AL80" t="s">
        <v>335</v>
      </c>
      <c r="AM80" s="20">
        <v>40304</v>
      </c>
      <c r="AR80" s="39" t="s">
        <v>400</v>
      </c>
      <c r="AS80" s="39"/>
      <c r="AT80" s="39">
        <v>200</v>
      </c>
      <c r="AZ80" t="s">
        <v>108</v>
      </c>
      <c r="BC80" t="s">
        <v>336</v>
      </c>
    </row>
    <row r="81" spans="1:55" x14ac:dyDescent="0.25">
      <c r="A81" t="str">
        <f t="shared" si="1"/>
        <v>A69-9002-2564</v>
      </c>
      <c r="B81" t="s">
        <v>398</v>
      </c>
      <c r="C81" t="s">
        <v>324</v>
      </c>
      <c r="D81" t="s">
        <v>325</v>
      </c>
      <c r="F81">
        <v>2564</v>
      </c>
      <c r="G81" t="s">
        <v>326</v>
      </c>
      <c r="H81" t="s">
        <v>327</v>
      </c>
      <c r="I81" s="20">
        <v>40304</v>
      </c>
      <c r="J81">
        <v>80</v>
      </c>
      <c r="L81" t="s">
        <v>109</v>
      </c>
      <c r="M81" t="s">
        <v>328</v>
      </c>
      <c r="N81" t="s">
        <v>329</v>
      </c>
      <c r="O81" t="s">
        <v>330</v>
      </c>
      <c r="P81" t="s">
        <v>338</v>
      </c>
      <c r="U81">
        <v>0.47</v>
      </c>
      <c r="V81">
        <v>0.223</v>
      </c>
      <c r="W81" t="s">
        <v>399</v>
      </c>
      <c r="Y81" t="s">
        <v>332</v>
      </c>
      <c r="AB81" t="s">
        <v>339</v>
      </c>
      <c r="AC81" t="s">
        <v>334</v>
      </c>
      <c r="AD81" s="34">
        <v>46.169808529999997</v>
      </c>
      <c r="AE81" s="34">
        <v>-84.076111240000003</v>
      </c>
      <c r="AF81" s="18">
        <v>40308.069444444445</v>
      </c>
      <c r="AG81" s="19">
        <v>40307.902777777781</v>
      </c>
      <c r="AH81" t="s">
        <v>161</v>
      </c>
      <c r="AL81" t="s">
        <v>335</v>
      </c>
      <c r="AM81" s="20">
        <v>40304</v>
      </c>
      <c r="AR81" s="39" t="s">
        <v>400</v>
      </c>
      <c r="AS81" s="39"/>
      <c r="AT81" s="39">
        <v>200</v>
      </c>
      <c r="AZ81" t="s">
        <v>108</v>
      </c>
      <c r="BC81" t="s">
        <v>336</v>
      </c>
    </row>
    <row r="82" spans="1:55" x14ac:dyDescent="0.25">
      <c r="A82" t="str">
        <f t="shared" si="1"/>
        <v>A69-9002-2565</v>
      </c>
      <c r="B82" t="s">
        <v>398</v>
      </c>
      <c r="C82" t="s">
        <v>324</v>
      </c>
      <c r="D82" t="s">
        <v>325</v>
      </c>
      <c r="F82">
        <v>2565</v>
      </c>
      <c r="G82" t="s">
        <v>326</v>
      </c>
      <c r="H82" t="s">
        <v>327</v>
      </c>
      <c r="I82" s="20">
        <v>40304</v>
      </c>
      <c r="J82">
        <v>80</v>
      </c>
      <c r="L82" t="s">
        <v>109</v>
      </c>
      <c r="M82" t="s">
        <v>328</v>
      </c>
      <c r="N82" t="s">
        <v>329</v>
      </c>
      <c r="O82" t="s">
        <v>330</v>
      </c>
      <c r="P82" t="s">
        <v>338</v>
      </c>
      <c r="U82">
        <v>0.49</v>
      </c>
      <c r="V82">
        <v>0.253</v>
      </c>
      <c r="W82" t="s">
        <v>399</v>
      </c>
      <c r="Y82" t="s">
        <v>332</v>
      </c>
      <c r="AB82" t="s">
        <v>339</v>
      </c>
      <c r="AC82" t="s">
        <v>334</v>
      </c>
      <c r="AD82" s="34">
        <v>46.169808529999997</v>
      </c>
      <c r="AE82" s="34">
        <v>-84.076111240000003</v>
      </c>
      <c r="AF82" s="18">
        <v>40308.069444444445</v>
      </c>
      <c r="AG82" s="19">
        <v>40307.902777777781</v>
      </c>
      <c r="AH82" t="s">
        <v>161</v>
      </c>
      <c r="AL82" t="s">
        <v>335</v>
      </c>
      <c r="AM82" s="20">
        <v>40304</v>
      </c>
      <c r="AR82" s="39" t="s">
        <v>400</v>
      </c>
      <c r="AS82" s="39"/>
      <c r="AT82" s="39">
        <v>200</v>
      </c>
      <c r="AZ82" t="s">
        <v>108</v>
      </c>
      <c r="BC82" t="s">
        <v>336</v>
      </c>
    </row>
    <row r="83" spans="1:55" x14ac:dyDescent="0.25">
      <c r="A83" t="str">
        <f t="shared" si="1"/>
        <v>A69-9002-2566</v>
      </c>
      <c r="B83" t="s">
        <v>398</v>
      </c>
      <c r="C83" t="s">
        <v>324</v>
      </c>
      <c r="D83" t="s">
        <v>325</v>
      </c>
      <c r="F83">
        <v>2566</v>
      </c>
      <c r="G83" t="s">
        <v>326</v>
      </c>
      <c r="H83" t="s">
        <v>327</v>
      </c>
      <c r="I83" s="20">
        <v>40304</v>
      </c>
      <c r="J83">
        <v>80</v>
      </c>
      <c r="L83" t="s">
        <v>109</v>
      </c>
      <c r="M83" t="s">
        <v>328</v>
      </c>
      <c r="N83" t="s">
        <v>329</v>
      </c>
      <c r="O83" t="s">
        <v>330</v>
      </c>
      <c r="P83" t="s">
        <v>338</v>
      </c>
      <c r="U83">
        <v>0.46</v>
      </c>
      <c r="V83">
        <v>0.22</v>
      </c>
      <c r="W83" t="s">
        <v>399</v>
      </c>
      <c r="Y83" t="s">
        <v>332</v>
      </c>
      <c r="AB83" t="s">
        <v>339</v>
      </c>
      <c r="AC83" t="s">
        <v>334</v>
      </c>
      <c r="AD83" s="34">
        <v>46.169808529999997</v>
      </c>
      <c r="AE83" s="34">
        <v>-84.076111240000003</v>
      </c>
      <c r="AF83" s="18">
        <v>40308.069444444445</v>
      </c>
      <c r="AG83" s="19">
        <v>40307.902777777781</v>
      </c>
      <c r="AH83" t="s">
        <v>161</v>
      </c>
      <c r="AL83" t="s">
        <v>335</v>
      </c>
      <c r="AM83" s="20">
        <v>40304</v>
      </c>
      <c r="AR83" s="39" t="s">
        <v>400</v>
      </c>
      <c r="AS83" s="39"/>
      <c r="AT83" s="39">
        <v>200</v>
      </c>
      <c r="AZ83" t="s">
        <v>108</v>
      </c>
      <c r="BC83" t="s">
        <v>336</v>
      </c>
    </row>
    <row r="84" spans="1:55" x14ac:dyDescent="0.25">
      <c r="A84" t="str">
        <f t="shared" si="1"/>
        <v>A69-9002-2567</v>
      </c>
      <c r="B84" t="s">
        <v>398</v>
      </c>
      <c r="C84" t="s">
        <v>324</v>
      </c>
      <c r="D84" t="s">
        <v>325</v>
      </c>
      <c r="F84">
        <v>2567</v>
      </c>
      <c r="G84" t="s">
        <v>326</v>
      </c>
      <c r="H84" t="s">
        <v>327</v>
      </c>
      <c r="I84" s="20">
        <v>40304</v>
      </c>
      <c r="J84">
        <v>80</v>
      </c>
      <c r="L84" t="s">
        <v>109</v>
      </c>
      <c r="M84" t="s">
        <v>328</v>
      </c>
      <c r="N84" t="s">
        <v>329</v>
      </c>
      <c r="O84" t="s">
        <v>330</v>
      </c>
      <c r="P84" t="s">
        <v>338</v>
      </c>
      <c r="U84">
        <v>0.52</v>
      </c>
      <c r="V84">
        <v>0.23599999999999999</v>
      </c>
      <c r="W84" t="s">
        <v>399</v>
      </c>
      <c r="Y84" t="s">
        <v>332</v>
      </c>
      <c r="AB84" t="s">
        <v>339</v>
      </c>
      <c r="AC84" t="s">
        <v>334</v>
      </c>
      <c r="AD84" s="34">
        <v>46.169808529999997</v>
      </c>
      <c r="AE84" s="34">
        <v>-84.076111240000003</v>
      </c>
      <c r="AF84" s="18">
        <v>40308.069444444445</v>
      </c>
      <c r="AG84" s="19">
        <v>40307.902777777781</v>
      </c>
      <c r="AH84" t="s">
        <v>161</v>
      </c>
      <c r="AL84" t="s">
        <v>335</v>
      </c>
      <c r="AM84" s="20">
        <v>40304</v>
      </c>
      <c r="AR84" s="39" t="s">
        <v>400</v>
      </c>
      <c r="AS84" s="39"/>
      <c r="AT84" s="39">
        <v>200</v>
      </c>
      <c r="AZ84" t="s">
        <v>108</v>
      </c>
      <c r="BC84" t="s">
        <v>336</v>
      </c>
    </row>
    <row r="85" spans="1:55" x14ac:dyDescent="0.25">
      <c r="A85" t="str">
        <f t="shared" si="1"/>
        <v>A69-9002-2568</v>
      </c>
      <c r="B85" t="s">
        <v>398</v>
      </c>
      <c r="C85" t="s">
        <v>324</v>
      </c>
      <c r="D85" t="s">
        <v>325</v>
      </c>
      <c r="F85">
        <v>2568</v>
      </c>
      <c r="G85" t="s">
        <v>326</v>
      </c>
      <c r="H85" t="s">
        <v>327</v>
      </c>
      <c r="I85" s="20">
        <v>40304</v>
      </c>
      <c r="J85">
        <v>80</v>
      </c>
      <c r="L85" t="s">
        <v>109</v>
      </c>
      <c r="M85" t="s">
        <v>328</v>
      </c>
      <c r="N85" t="s">
        <v>329</v>
      </c>
      <c r="O85" t="s">
        <v>330</v>
      </c>
      <c r="P85" t="s">
        <v>338</v>
      </c>
      <c r="U85">
        <v>0.52</v>
      </c>
      <c r="V85">
        <v>0.24199999999999999</v>
      </c>
      <c r="W85" t="s">
        <v>399</v>
      </c>
      <c r="Y85" t="s">
        <v>332</v>
      </c>
      <c r="AB85" t="s">
        <v>339</v>
      </c>
      <c r="AC85" t="s">
        <v>334</v>
      </c>
      <c r="AD85" s="34">
        <v>46.169808529999997</v>
      </c>
      <c r="AE85" s="34">
        <v>-84.076111240000003</v>
      </c>
      <c r="AF85" s="18">
        <v>40308.069444444445</v>
      </c>
      <c r="AG85" s="19">
        <v>40307.902777777781</v>
      </c>
      <c r="AH85" t="s">
        <v>161</v>
      </c>
      <c r="AL85" t="s">
        <v>335</v>
      </c>
      <c r="AM85" s="20">
        <v>40304</v>
      </c>
      <c r="AR85" s="39" t="s">
        <v>400</v>
      </c>
      <c r="AS85" s="39"/>
      <c r="AT85" s="39">
        <v>200</v>
      </c>
      <c r="AZ85" t="s">
        <v>108</v>
      </c>
      <c r="BC85" t="s">
        <v>336</v>
      </c>
    </row>
    <row r="86" spans="1:55" x14ac:dyDescent="0.25">
      <c r="A86" t="str">
        <f t="shared" si="1"/>
        <v>A69-9002-2569</v>
      </c>
      <c r="B86" t="s">
        <v>398</v>
      </c>
      <c r="C86" t="s">
        <v>324</v>
      </c>
      <c r="D86" t="s">
        <v>325</v>
      </c>
      <c r="F86">
        <v>2569</v>
      </c>
      <c r="G86" t="s">
        <v>326</v>
      </c>
      <c r="H86" t="s">
        <v>327</v>
      </c>
      <c r="I86" s="20">
        <v>40304</v>
      </c>
      <c r="J86">
        <v>80</v>
      </c>
      <c r="L86" t="s">
        <v>109</v>
      </c>
      <c r="M86" t="s">
        <v>328</v>
      </c>
      <c r="N86" t="s">
        <v>329</v>
      </c>
      <c r="O86" t="s">
        <v>330</v>
      </c>
      <c r="P86" t="s">
        <v>338</v>
      </c>
      <c r="U86">
        <v>0.51</v>
      </c>
      <c r="V86">
        <v>0.26200000000000001</v>
      </c>
      <c r="W86" t="s">
        <v>399</v>
      </c>
      <c r="Y86" t="s">
        <v>332</v>
      </c>
      <c r="AB86" t="s">
        <v>339</v>
      </c>
      <c r="AC86" t="s">
        <v>334</v>
      </c>
      <c r="AD86" s="34">
        <v>46.169808529999997</v>
      </c>
      <c r="AE86" s="34">
        <v>-84.076111240000003</v>
      </c>
      <c r="AF86" s="18">
        <v>40308.069444444445</v>
      </c>
      <c r="AG86" s="19">
        <v>40307.902777777781</v>
      </c>
      <c r="AH86" t="s">
        <v>161</v>
      </c>
      <c r="AL86" t="s">
        <v>335</v>
      </c>
      <c r="AM86" s="20">
        <v>40304</v>
      </c>
      <c r="AR86" s="39" t="s">
        <v>400</v>
      </c>
      <c r="AS86" s="39"/>
      <c r="AT86" s="39">
        <v>200</v>
      </c>
      <c r="AZ86" t="s">
        <v>108</v>
      </c>
      <c r="BC86" t="s">
        <v>336</v>
      </c>
    </row>
    <row r="87" spans="1:55" x14ac:dyDescent="0.25">
      <c r="A87" t="str">
        <f t="shared" si="1"/>
        <v>A69-9002-2570</v>
      </c>
      <c r="B87" t="s">
        <v>398</v>
      </c>
      <c r="C87" t="s">
        <v>324</v>
      </c>
      <c r="D87" t="s">
        <v>325</v>
      </c>
      <c r="F87">
        <v>2570</v>
      </c>
      <c r="G87" t="s">
        <v>326</v>
      </c>
      <c r="H87" t="s">
        <v>327</v>
      </c>
      <c r="I87" s="20">
        <v>40304</v>
      </c>
      <c r="J87">
        <v>80</v>
      </c>
      <c r="L87" t="s">
        <v>109</v>
      </c>
      <c r="M87" t="s">
        <v>328</v>
      </c>
      <c r="N87" t="s">
        <v>329</v>
      </c>
      <c r="O87" t="s">
        <v>330</v>
      </c>
      <c r="P87" t="s">
        <v>338</v>
      </c>
      <c r="U87">
        <v>0.52</v>
      </c>
      <c r="V87">
        <v>0.22800000000000001</v>
      </c>
      <c r="W87" t="s">
        <v>399</v>
      </c>
      <c r="Y87" t="s">
        <v>337</v>
      </c>
      <c r="AB87" t="s">
        <v>339</v>
      </c>
      <c r="AC87" t="s">
        <v>334</v>
      </c>
      <c r="AD87" s="34">
        <v>46.169808529999997</v>
      </c>
      <c r="AE87" s="34">
        <v>-84.076111240000003</v>
      </c>
      <c r="AF87" s="18">
        <v>40308.069444444445</v>
      </c>
      <c r="AG87" s="19">
        <v>40307.902777777781</v>
      </c>
      <c r="AH87" t="s">
        <v>161</v>
      </c>
      <c r="AL87" t="s">
        <v>335</v>
      </c>
      <c r="AM87" s="20">
        <v>40304</v>
      </c>
      <c r="AR87" s="39" t="s">
        <v>400</v>
      </c>
      <c r="AS87" s="39"/>
      <c r="AT87" s="39">
        <v>200</v>
      </c>
      <c r="AZ87" t="s">
        <v>108</v>
      </c>
      <c r="BC87" t="s">
        <v>336</v>
      </c>
    </row>
    <row r="88" spans="1:55" x14ac:dyDescent="0.25">
      <c r="A88" t="str">
        <f t="shared" si="1"/>
        <v>A69-9002-2571</v>
      </c>
      <c r="B88" t="s">
        <v>398</v>
      </c>
      <c r="C88" t="s">
        <v>324</v>
      </c>
      <c r="D88" t="s">
        <v>325</v>
      </c>
      <c r="F88">
        <v>2571</v>
      </c>
      <c r="G88" t="s">
        <v>326</v>
      </c>
      <c r="H88" t="s">
        <v>327</v>
      </c>
      <c r="I88" s="20">
        <v>40304</v>
      </c>
      <c r="J88">
        <v>80</v>
      </c>
      <c r="L88" t="s">
        <v>109</v>
      </c>
      <c r="M88" t="s">
        <v>328</v>
      </c>
      <c r="N88" t="s">
        <v>329</v>
      </c>
      <c r="O88" t="s">
        <v>330</v>
      </c>
      <c r="P88" t="s">
        <v>338</v>
      </c>
      <c r="U88">
        <v>0.47</v>
      </c>
      <c r="V88">
        <v>0.17799999999999999</v>
      </c>
      <c r="W88" t="s">
        <v>399</v>
      </c>
      <c r="Y88" t="s">
        <v>337</v>
      </c>
      <c r="AB88" t="s">
        <v>339</v>
      </c>
      <c r="AC88" t="s">
        <v>334</v>
      </c>
      <c r="AD88" s="34">
        <v>46.169808529999997</v>
      </c>
      <c r="AE88" s="34">
        <v>-84.076111240000003</v>
      </c>
      <c r="AF88" s="18">
        <v>40308.069444444445</v>
      </c>
      <c r="AG88" s="19">
        <v>40307.902777777781</v>
      </c>
      <c r="AH88" t="s">
        <v>161</v>
      </c>
      <c r="AL88" t="s">
        <v>335</v>
      </c>
      <c r="AM88" s="20">
        <v>40304</v>
      </c>
      <c r="AR88" s="39" t="s">
        <v>400</v>
      </c>
      <c r="AS88" s="39"/>
      <c r="AT88" s="39">
        <v>200</v>
      </c>
      <c r="AZ88" t="s">
        <v>108</v>
      </c>
      <c r="BC88" t="s">
        <v>336</v>
      </c>
    </row>
    <row r="89" spans="1:55" x14ac:dyDescent="0.25">
      <c r="A89" t="str">
        <f t="shared" si="1"/>
        <v>A69-9002-2572</v>
      </c>
      <c r="B89" t="s">
        <v>398</v>
      </c>
      <c r="C89" t="s">
        <v>324</v>
      </c>
      <c r="D89" t="s">
        <v>325</v>
      </c>
      <c r="F89">
        <v>2572</v>
      </c>
      <c r="G89" t="s">
        <v>326</v>
      </c>
      <c r="H89" t="s">
        <v>327</v>
      </c>
      <c r="I89" s="20">
        <v>40304</v>
      </c>
      <c r="J89">
        <v>80</v>
      </c>
      <c r="L89" t="s">
        <v>109</v>
      </c>
      <c r="M89" t="s">
        <v>328</v>
      </c>
      <c r="N89" t="s">
        <v>329</v>
      </c>
      <c r="O89" t="s">
        <v>330</v>
      </c>
      <c r="P89" t="s">
        <v>338</v>
      </c>
      <c r="U89">
        <v>0.53</v>
      </c>
      <c r="V89">
        <v>0.222</v>
      </c>
      <c r="W89" t="s">
        <v>399</v>
      </c>
      <c r="Y89" t="s">
        <v>337</v>
      </c>
      <c r="AB89" t="s">
        <v>339</v>
      </c>
      <c r="AC89" t="s">
        <v>334</v>
      </c>
      <c r="AD89" s="34">
        <v>46.169808529999997</v>
      </c>
      <c r="AE89" s="34">
        <v>-84.076111240000003</v>
      </c>
      <c r="AF89" s="18">
        <v>40308.069444444445</v>
      </c>
      <c r="AG89" s="19">
        <v>40307.902777777781</v>
      </c>
      <c r="AH89" t="s">
        <v>161</v>
      </c>
      <c r="AL89" t="s">
        <v>335</v>
      </c>
      <c r="AM89" s="20">
        <v>40304</v>
      </c>
      <c r="AR89" s="39" t="s">
        <v>400</v>
      </c>
      <c r="AS89" s="39"/>
      <c r="AT89" s="39">
        <v>200</v>
      </c>
      <c r="AZ89" t="s">
        <v>108</v>
      </c>
      <c r="BC89" t="s">
        <v>336</v>
      </c>
    </row>
    <row r="90" spans="1:55" x14ac:dyDescent="0.25">
      <c r="A90" t="str">
        <f t="shared" si="1"/>
        <v>A69-9002-2573</v>
      </c>
      <c r="B90" t="s">
        <v>398</v>
      </c>
      <c r="C90" t="s">
        <v>324</v>
      </c>
      <c r="D90" t="s">
        <v>325</v>
      </c>
      <c r="F90">
        <v>2573</v>
      </c>
      <c r="G90" t="s">
        <v>326</v>
      </c>
      <c r="H90" t="s">
        <v>327</v>
      </c>
      <c r="I90" s="20">
        <v>40304</v>
      </c>
      <c r="J90">
        <v>80</v>
      </c>
      <c r="L90" t="s">
        <v>109</v>
      </c>
      <c r="M90" t="s">
        <v>328</v>
      </c>
      <c r="N90" t="s">
        <v>329</v>
      </c>
      <c r="O90" t="s">
        <v>330</v>
      </c>
      <c r="P90" t="s">
        <v>338</v>
      </c>
      <c r="U90">
        <v>0.52</v>
      </c>
      <c r="V90">
        <v>0.27800000000000002</v>
      </c>
      <c r="W90" t="s">
        <v>399</v>
      </c>
      <c r="Y90" t="s">
        <v>332</v>
      </c>
      <c r="AB90" t="s">
        <v>339</v>
      </c>
      <c r="AC90" t="s">
        <v>334</v>
      </c>
      <c r="AD90" s="34">
        <v>46.169808529999997</v>
      </c>
      <c r="AE90" s="34">
        <v>-84.076111240000003</v>
      </c>
      <c r="AF90" s="18">
        <v>40308.069444444445</v>
      </c>
      <c r="AG90" s="19">
        <v>40307.902777777781</v>
      </c>
      <c r="AH90" t="s">
        <v>161</v>
      </c>
      <c r="AL90" t="s">
        <v>335</v>
      </c>
      <c r="AM90" s="20">
        <v>40304</v>
      </c>
      <c r="AR90" s="39" t="s">
        <v>400</v>
      </c>
      <c r="AS90" s="39"/>
      <c r="AT90" s="39">
        <v>200</v>
      </c>
      <c r="AZ90" t="s">
        <v>108</v>
      </c>
      <c r="BC90" t="s">
        <v>336</v>
      </c>
    </row>
    <row r="91" spans="1:55" x14ac:dyDescent="0.25">
      <c r="A91" t="str">
        <f t="shared" si="1"/>
        <v>A69-9002-2574</v>
      </c>
      <c r="B91" t="s">
        <v>398</v>
      </c>
      <c r="C91" t="s">
        <v>324</v>
      </c>
      <c r="D91" t="s">
        <v>325</v>
      </c>
      <c r="F91">
        <v>2574</v>
      </c>
      <c r="G91" t="s">
        <v>326</v>
      </c>
      <c r="H91" t="s">
        <v>327</v>
      </c>
      <c r="I91" s="20">
        <v>40304</v>
      </c>
      <c r="J91">
        <v>80</v>
      </c>
      <c r="L91" t="s">
        <v>109</v>
      </c>
      <c r="M91" t="s">
        <v>328</v>
      </c>
      <c r="N91" t="s">
        <v>329</v>
      </c>
      <c r="O91" t="s">
        <v>330</v>
      </c>
      <c r="P91" t="s">
        <v>338</v>
      </c>
      <c r="U91">
        <v>0.52</v>
      </c>
      <c r="V91">
        <v>0.29899999999999999</v>
      </c>
      <c r="W91" t="s">
        <v>399</v>
      </c>
      <c r="Y91" t="s">
        <v>337</v>
      </c>
      <c r="AB91" t="s">
        <v>339</v>
      </c>
      <c r="AC91" t="s">
        <v>334</v>
      </c>
      <c r="AD91" s="34">
        <v>46.169808529999997</v>
      </c>
      <c r="AE91" s="34">
        <v>-84.076111240000003</v>
      </c>
      <c r="AF91" s="18">
        <v>40308.069444444445</v>
      </c>
      <c r="AG91" s="19">
        <v>40307.902777777781</v>
      </c>
      <c r="AH91" t="s">
        <v>161</v>
      </c>
      <c r="AL91" t="s">
        <v>335</v>
      </c>
      <c r="AM91" s="20">
        <v>40304</v>
      </c>
      <c r="AR91" s="39" t="s">
        <v>400</v>
      </c>
      <c r="AS91" s="39"/>
      <c r="AT91" s="39">
        <v>200</v>
      </c>
      <c r="AZ91" t="s">
        <v>108</v>
      </c>
      <c r="BC91" t="s">
        <v>336</v>
      </c>
    </row>
    <row r="92" spans="1:55" x14ac:dyDescent="0.25">
      <c r="A92" t="str">
        <f t="shared" si="1"/>
        <v>A69-9002-2575</v>
      </c>
      <c r="B92" t="s">
        <v>398</v>
      </c>
      <c r="C92" t="s">
        <v>324</v>
      </c>
      <c r="D92" t="s">
        <v>325</v>
      </c>
      <c r="F92">
        <v>2575</v>
      </c>
      <c r="G92" t="s">
        <v>326</v>
      </c>
      <c r="H92" t="s">
        <v>327</v>
      </c>
      <c r="I92" s="20">
        <v>40304</v>
      </c>
      <c r="J92">
        <v>80</v>
      </c>
      <c r="L92" t="s">
        <v>109</v>
      </c>
      <c r="M92" t="s">
        <v>328</v>
      </c>
      <c r="N92" t="s">
        <v>329</v>
      </c>
      <c r="O92" t="s">
        <v>330</v>
      </c>
      <c r="P92" t="s">
        <v>338</v>
      </c>
      <c r="U92">
        <v>0.53</v>
      </c>
      <c r="V92">
        <v>0.28199999999999997</v>
      </c>
      <c r="W92" t="s">
        <v>399</v>
      </c>
      <c r="Y92" t="s">
        <v>337</v>
      </c>
      <c r="AB92" t="s">
        <v>339</v>
      </c>
      <c r="AC92" t="s">
        <v>334</v>
      </c>
      <c r="AD92" s="34">
        <v>46.169808529999997</v>
      </c>
      <c r="AE92" s="34">
        <v>-84.076111240000003</v>
      </c>
      <c r="AF92" s="18">
        <v>40308.069444444445</v>
      </c>
      <c r="AG92" s="19">
        <v>40307.902777777781</v>
      </c>
      <c r="AH92" t="s">
        <v>161</v>
      </c>
      <c r="AL92" t="s">
        <v>335</v>
      </c>
      <c r="AM92" s="20">
        <v>40304</v>
      </c>
      <c r="AR92" s="39" t="s">
        <v>400</v>
      </c>
      <c r="AS92" s="39"/>
      <c r="AT92" s="39">
        <v>200</v>
      </c>
      <c r="AZ92" t="s">
        <v>108</v>
      </c>
      <c r="BC92" t="s">
        <v>336</v>
      </c>
    </row>
    <row r="93" spans="1:55" x14ac:dyDescent="0.25">
      <c r="A93" t="str">
        <f t="shared" si="1"/>
        <v>A69-9002-2576</v>
      </c>
      <c r="B93" t="s">
        <v>398</v>
      </c>
      <c r="C93" t="s">
        <v>324</v>
      </c>
      <c r="D93" t="s">
        <v>325</v>
      </c>
      <c r="F93">
        <v>2576</v>
      </c>
      <c r="G93" t="s">
        <v>326</v>
      </c>
      <c r="H93" t="s">
        <v>327</v>
      </c>
      <c r="I93" s="20">
        <v>40304</v>
      </c>
      <c r="J93">
        <v>80</v>
      </c>
      <c r="L93" t="s">
        <v>109</v>
      </c>
      <c r="M93" t="s">
        <v>328</v>
      </c>
      <c r="N93" t="s">
        <v>329</v>
      </c>
      <c r="O93" t="s">
        <v>330</v>
      </c>
      <c r="P93" t="s">
        <v>338</v>
      </c>
      <c r="U93">
        <v>0.5</v>
      </c>
      <c r="V93">
        <v>0.28199999999999997</v>
      </c>
      <c r="W93" t="s">
        <v>399</v>
      </c>
      <c r="Y93" t="s">
        <v>337</v>
      </c>
      <c r="AB93" t="s">
        <v>339</v>
      </c>
      <c r="AC93" t="s">
        <v>334</v>
      </c>
      <c r="AD93" s="34">
        <v>46.169808529999997</v>
      </c>
      <c r="AE93" s="34">
        <v>-84.076111240000003</v>
      </c>
      <c r="AF93" s="18">
        <v>40308.069444444445</v>
      </c>
      <c r="AG93" s="19">
        <v>40307.902777777781</v>
      </c>
      <c r="AH93" t="s">
        <v>161</v>
      </c>
      <c r="AL93" t="s">
        <v>335</v>
      </c>
      <c r="AM93" s="20">
        <v>40304</v>
      </c>
      <c r="AR93" s="39" t="s">
        <v>400</v>
      </c>
      <c r="AS93" s="39"/>
      <c r="AT93" s="39">
        <v>200</v>
      </c>
      <c r="AZ93" t="s">
        <v>108</v>
      </c>
      <c r="BC93" t="s">
        <v>336</v>
      </c>
    </row>
    <row r="94" spans="1:55" x14ac:dyDescent="0.25">
      <c r="A94" t="str">
        <f t="shared" si="1"/>
        <v>A69-9002-2577</v>
      </c>
      <c r="B94" t="s">
        <v>398</v>
      </c>
      <c r="C94" t="s">
        <v>324</v>
      </c>
      <c r="D94" t="s">
        <v>325</v>
      </c>
      <c r="F94">
        <v>2577</v>
      </c>
      <c r="G94" t="s">
        <v>326</v>
      </c>
      <c r="H94" t="s">
        <v>327</v>
      </c>
      <c r="I94" s="20">
        <v>40304</v>
      </c>
      <c r="J94">
        <v>80</v>
      </c>
      <c r="L94" t="s">
        <v>109</v>
      </c>
      <c r="M94" t="s">
        <v>328</v>
      </c>
      <c r="N94" t="s">
        <v>329</v>
      </c>
      <c r="O94" t="s">
        <v>330</v>
      </c>
      <c r="P94" t="s">
        <v>338</v>
      </c>
      <c r="U94">
        <v>0.49</v>
      </c>
      <c r="V94">
        <v>0.216</v>
      </c>
      <c r="W94" t="s">
        <v>399</v>
      </c>
      <c r="Y94" t="s">
        <v>337</v>
      </c>
      <c r="AB94" t="s">
        <v>339</v>
      </c>
      <c r="AC94" t="s">
        <v>334</v>
      </c>
      <c r="AD94" s="34">
        <v>46.169808529999997</v>
      </c>
      <c r="AE94" s="34">
        <v>-84.076111240000003</v>
      </c>
      <c r="AF94" s="18">
        <v>40308.069444444445</v>
      </c>
      <c r="AG94" s="19">
        <v>40307.902777777781</v>
      </c>
      <c r="AH94" t="s">
        <v>161</v>
      </c>
      <c r="AL94" t="s">
        <v>335</v>
      </c>
      <c r="AM94" s="20">
        <v>40304</v>
      </c>
      <c r="AR94" s="39" t="s">
        <v>400</v>
      </c>
      <c r="AS94" s="39"/>
      <c r="AT94" s="39">
        <v>200</v>
      </c>
      <c r="AZ94" t="s">
        <v>108</v>
      </c>
      <c r="BC94" t="s">
        <v>336</v>
      </c>
    </row>
    <row r="95" spans="1:55" x14ac:dyDescent="0.25">
      <c r="A95" t="str">
        <f t="shared" si="1"/>
        <v>A69-9002-2578</v>
      </c>
      <c r="B95" t="s">
        <v>398</v>
      </c>
      <c r="C95" t="s">
        <v>324</v>
      </c>
      <c r="D95" t="s">
        <v>325</v>
      </c>
      <c r="F95">
        <v>2578</v>
      </c>
      <c r="G95" t="s">
        <v>326</v>
      </c>
      <c r="H95" t="s">
        <v>327</v>
      </c>
      <c r="I95" s="20">
        <v>40304</v>
      </c>
      <c r="J95">
        <v>80</v>
      </c>
      <c r="L95" t="s">
        <v>109</v>
      </c>
      <c r="M95" t="s">
        <v>328</v>
      </c>
      <c r="N95" t="s">
        <v>329</v>
      </c>
      <c r="O95" t="s">
        <v>330</v>
      </c>
      <c r="P95" t="s">
        <v>338</v>
      </c>
      <c r="U95">
        <v>0.45</v>
      </c>
      <c r="V95">
        <v>0.21</v>
      </c>
      <c r="W95" t="s">
        <v>399</v>
      </c>
      <c r="Y95" t="s">
        <v>337</v>
      </c>
      <c r="AB95" t="s">
        <v>339</v>
      </c>
      <c r="AC95" t="s">
        <v>334</v>
      </c>
      <c r="AD95" s="34">
        <v>46.169808529999997</v>
      </c>
      <c r="AE95" s="34">
        <v>-84.076111240000003</v>
      </c>
      <c r="AF95" s="18">
        <v>40308.069444444445</v>
      </c>
      <c r="AG95" s="19">
        <v>40307.902777777781</v>
      </c>
      <c r="AH95" t="s">
        <v>161</v>
      </c>
      <c r="AL95" t="s">
        <v>335</v>
      </c>
      <c r="AM95" s="20">
        <v>40304</v>
      </c>
      <c r="AR95" s="39" t="s">
        <v>400</v>
      </c>
      <c r="AS95" s="39"/>
      <c r="AT95" s="39">
        <v>200</v>
      </c>
      <c r="AZ95" t="s">
        <v>108</v>
      </c>
      <c r="BC95" t="s">
        <v>336</v>
      </c>
    </row>
    <row r="96" spans="1:55" x14ac:dyDescent="0.25">
      <c r="A96" t="str">
        <f t="shared" si="1"/>
        <v>A69-9002-2579</v>
      </c>
      <c r="B96" t="s">
        <v>398</v>
      </c>
      <c r="C96" t="s">
        <v>324</v>
      </c>
      <c r="D96" t="s">
        <v>325</v>
      </c>
      <c r="F96">
        <v>2579</v>
      </c>
      <c r="G96" t="s">
        <v>326</v>
      </c>
      <c r="H96" t="s">
        <v>327</v>
      </c>
      <c r="I96" s="20">
        <v>40304</v>
      </c>
      <c r="J96">
        <v>80</v>
      </c>
      <c r="L96" t="s">
        <v>109</v>
      </c>
      <c r="M96" t="s">
        <v>328</v>
      </c>
      <c r="N96" t="s">
        <v>329</v>
      </c>
      <c r="O96" t="s">
        <v>330</v>
      </c>
      <c r="P96" t="s">
        <v>338</v>
      </c>
      <c r="U96">
        <v>0.5</v>
      </c>
      <c r="V96">
        <v>0.24</v>
      </c>
      <c r="W96" t="s">
        <v>399</v>
      </c>
      <c r="Y96" t="s">
        <v>337</v>
      </c>
      <c r="AB96" t="s">
        <v>339</v>
      </c>
      <c r="AC96" t="s">
        <v>334</v>
      </c>
      <c r="AD96" s="34">
        <v>46.169808529999997</v>
      </c>
      <c r="AE96" s="34">
        <v>-84.076111240000003</v>
      </c>
      <c r="AF96" s="18">
        <v>40308.069444444445</v>
      </c>
      <c r="AG96" s="19">
        <v>40307.902777777781</v>
      </c>
      <c r="AH96" t="s">
        <v>161</v>
      </c>
      <c r="AL96" t="s">
        <v>335</v>
      </c>
      <c r="AM96" s="20">
        <v>40304</v>
      </c>
      <c r="AR96" s="39" t="s">
        <v>400</v>
      </c>
      <c r="AS96" s="39"/>
      <c r="AT96" s="39">
        <v>200</v>
      </c>
      <c r="AZ96" t="s">
        <v>108</v>
      </c>
      <c r="BC96" t="s">
        <v>336</v>
      </c>
    </row>
    <row r="97" spans="1:64" x14ac:dyDescent="0.25">
      <c r="A97" t="str">
        <f t="shared" si="1"/>
        <v>A69-9002-2580</v>
      </c>
      <c r="B97" t="s">
        <v>398</v>
      </c>
      <c r="C97" t="s">
        <v>324</v>
      </c>
      <c r="D97" t="s">
        <v>325</v>
      </c>
      <c r="F97">
        <v>2580</v>
      </c>
      <c r="G97" t="s">
        <v>326</v>
      </c>
      <c r="H97" t="s">
        <v>327</v>
      </c>
      <c r="I97" s="20">
        <v>40304</v>
      </c>
      <c r="J97">
        <v>80</v>
      </c>
      <c r="L97" t="s">
        <v>109</v>
      </c>
      <c r="M97" t="s">
        <v>328</v>
      </c>
      <c r="N97" t="s">
        <v>329</v>
      </c>
      <c r="O97" t="s">
        <v>330</v>
      </c>
      <c r="P97" t="s">
        <v>338</v>
      </c>
      <c r="U97">
        <v>0.48</v>
      </c>
      <c r="V97">
        <v>0.26500000000000001</v>
      </c>
      <c r="W97" t="s">
        <v>399</v>
      </c>
      <c r="Y97" t="s">
        <v>337</v>
      </c>
      <c r="AB97" t="s">
        <v>339</v>
      </c>
      <c r="AC97" t="s">
        <v>334</v>
      </c>
      <c r="AD97" s="34">
        <v>46.169808529999997</v>
      </c>
      <c r="AE97" s="34">
        <v>-84.076111240000003</v>
      </c>
      <c r="AF97" s="18">
        <v>40308.069444444445</v>
      </c>
      <c r="AG97" s="19">
        <v>40307.902777777781</v>
      </c>
      <c r="AH97" t="s">
        <v>161</v>
      </c>
      <c r="AL97" t="s">
        <v>335</v>
      </c>
      <c r="AM97" s="20">
        <v>40304</v>
      </c>
      <c r="AR97" s="39" t="s">
        <v>400</v>
      </c>
      <c r="AS97" s="39"/>
      <c r="AT97" s="39">
        <v>200</v>
      </c>
      <c r="AZ97" t="s">
        <v>108</v>
      </c>
      <c r="BC97" t="s">
        <v>336</v>
      </c>
    </row>
    <row r="98" spans="1:64" x14ac:dyDescent="0.25">
      <c r="A98" t="str">
        <f t="shared" si="1"/>
        <v>A69-9002-2581</v>
      </c>
      <c r="B98" t="s">
        <v>398</v>
      </c>
      <c r="C98" t="s">
        <v>324</v>
      </c>
      <c r="D98" t="s">
        <v>325</v>
      </c>
      <c r="F98">
        <v>2581</v>
      </c>
      <c r="G98" t="s">
        <v>326</v>
      </c>
      <c r="H98" t="s">
        <v>327</v>
      </c>
      <c r="I98" s="20">
        <v>40304</v>
      </c>
      <c r="J98">
        <v>80</v>
      </c>
      <c r="L98" t="s">
        <v>109</v>
      </c>
      <c r="M98" t="s">
        <v>328</v>
      </c>
      <c r="N98" t="s">
        <v>329</v>
      </c>
      <c r="O98" t="s">
        <v>330</v>
      </c>
      <c r="P98" t="s">
        <v>338</v>
      </c>
      <c r="U98">
        <v>0.52</v>
      </c>
      <c r="V98">
        <v>0.26400000000000001</v>
      </c>
      <c r="W98" t="s">
        <v>399</v>
      </c>
      <c r="Y98" t="s">
        <v>337</v>
      </c>
      <c r="AB98" t="s">
        <v>339</v>
      </c>
      <c r="AC98" t="s">
        <v>334</v>
      </c>
      <c r="AD98" s="34">
        <v>46.169808529999997</v>
      </c>
      <c r="AE98" s="34">
        <v>-84.076111240000003</v>
      </c>
      <c r="AF98" s="18">
        <v>40308.069444444445</v>
      </c>
      <c r="AG98" s="19">
        <v>40307.902777777781</v>
      </c>
      <c r="AH98" t="s">
        <v>161</v>
      </c>
      <c r="AL98" t="s">
        <v>335</v>
      </c>
      <c r="AM98" s="20">
        <v>40304</v>
      </c>
      <c r="AR98" s="39" t="s">
        <v>400</v>
      </c>
      <c r="AS98" s="39"/>
      <c r="AT98" s="39">
        <v>200</v>
      </c>
      <c r="AZ98" t="s">
        <v>108</v>
      </c>
      <c r="BC98" t="s">
        <v>336</v>
      </c>
    </row>
    <row r="99" spans="1:64" x14ac:dyDescent="0.25">
      <c r="A99" t="str">
        <f t="shared" si="1"/>
        <v>A69-9002-2582</v>
      </c>
      <c r="B99" t="s">
        <v>398</v>
      </c>
      <c r="C99" t="s">
        <v>324</v>
      </c>
      <c r="D99" t="s">
        <v>325</v>
      </c>
      <c r="F99">
        <v>2582</v>
      </c>
      <c r="G99" t="s">
        <v>326</v>
      </c>
      <c r="H99" t="s">
        <v>327</v>
      </c>
      <c r="I99" s="20">
        <v>40304</v>
      </c>
      <c r="J99">
        <v>80</v>
      </c>
      <c r="L99" t="s">
        <v>109</v>
      </c>
      <c r="M99" t="s">
        <v>328</v>
      </c>
      <c r="N99" t="s">
        <v>329</v>
      </c>
      <c r="O99" t="s">
        <v>330</v>
      </c>
      <c r="P99" t="s">
        <v>338</v>
      </c>
      <c r="U99">
        <v>0.49</v>
      </c>
      <c r="V99">
        <v>0.25700000000000001</v>
      </c>
      <c r="W99" t="s">
        <v>399</v>
      </c>
      <c r="Y99" t="s">
        <v>337</v>
      </c>
      <c r="AB99" t="s">
        <v>339</v>
      </c>
      <c r="AC99" t="s">
        <v>334</v>
      </c>
      <c r="AD99" s="34">
        <v>46.169808529999997</v>
      </c>
      <c r="AE99" s="34">
        <v>-84.076111240000003</v>
      </c>
      <c r="AF99" s="18">
        <v>40308.069444444445</v>
      </c>
      <c r="AG99" s="19">
        <v>40307.902777777781</v>
      </c>
      <c r="AH99" t="s">
        <v>161</v>
      </c>
      <c r="AL99" t="s">
        <v>335</v>
      </c>
      <c r="AM99" s="20">
        <v>40304</v>
      </c>
      <c r="AR99" s="39" t="s">
        <v>400</v>
      </c>
      <c r="AS99" s="39"/>
      <c r="AT99" s="39">
        <v>200</v>
      </c>
      <c r="AZ99" t="s">
        <v>108</v>
      </c>
      <c r="BC99" t="s">
        <v>336</v>
      </c>
    </row>
    <row r="100" spans="1:64" x14ac:dyDescent="0.25">
      <c r="A100" t="str">
        <f t="shared" si="1"/>
        <v>A69-9002-2583</v>
      </c>
      <c r="B100" t="s">
        <v>398</v>
      </c>
      <c r="C100" t="s">
        <v>324</v>
      </c>
      <c r="D100" t="s">
        <v>325</v>
      </c>
      <c r="F100">
        <v>2583</v>
      </c>
      <c r="G100" t="s">
        <v>326</v>
      </c>
      <c r="H100" t="s">
        <v>327</v>
      </c>
      <c r="I100" s="20">
        <v>40304</v>
      </c>
      <c r="J100">
        <v>80</v>
      </c>
      <c r="L100" t="s">
        <v>109</v>
      </c>
      <c r="M100" t="s">
        <v>328</v>
      </c>
      <c r="N100" t="s">
        <v>329</v>
      </c>
      <c r="O100" t="s">
        <v>330</v>
      </c>
      <c r="P100" t="s">
        <v>338</v>
      </c>
      <c r="U100">
        <v>0.48</v>
      </c>
      <c r="V100">
        <v>0.22</v>
      </c>
      <c r="W100" t="s">
        <v>399</v>
      </c>
      <c r="Y100" t="s">
        <v>337</v>
      </c>
      <c r="AB100" t="s">
        <v>339</v>
      </c>
      <c r="AC100" t="s">
        <v>334</v>
      </c>
      <c r="AD100" s="34">
        <v>46.169808529999997</v>
      </c>
      <c r="AE100" s="34">
        <v>-84.076111240000003</v>
      </c>
      <c r="AF100" s="18">
        <v>40308.069444444445</v>
      </c>
      <c r="AG100" s="19">
        <v>40307.902777777781</v>
      </c>
      <c r="AH100" t="s">
        <v>161</v>
      </c>
      <c r="AL100" t="s">
        <v>335</v>
      </c>
      <c r="AM100" s="20">
        <v>40304</v>
      </c>
      <c r="AR100" s="39" t="s">
        <v>400</v>
      </c>
      <c r="AS100" s="39"/>
      <c r="AT100" s="39">
        <v>200</v>
      </c>
      <c r="AZ100" t="s">
        <v>108</v>
      </c>
      <c r="BC100" t="s">
        <v>336</v>
      </c>
    </row>
    <row r="101" spans="1:64" x14ac:dyDescent="0.25">
      <c r="A101" t="str">
        <f t="shared" si="1"/>
        <v>A69-9002-2584</v>
      </c>
      <c r="B101" t="s">
        <v>398</v>
      </c>
      <c r="C101" t="s">
        <v>324</v>
      </c>
      <c r="D101" t="s">
        <v>325</v>
      </c>
      <c r="F101">
        <v>2584</v>
      </c>
      <c r="G101" t="s">
        <v>326</v>
      </c>
      <c r="H101" t="s">
        <v>327</v>
      </c>
      <c r="I101" s="20">
        <v>40304</v>
      </c>
      <c r="J101">
        <v>80</v>
      </c>
      <c r="L101" t="s">
        <v>109</v>
      </c>
      <c r="M101" t="s">
        <v>328</v>
      </c>
      <c r="N101" t="s">
        <v>329</v>
      </c>
      <c r="O101" t="s">
        <v>330</v>
      </c>
      <c r="P101" t="s">
        <v>338</v>
      </c>
      <c r="U101">
        <v>0.48</v>
      </c>
      <c r="V101">
        <v>0.25800000000000001</v>
      </c>
      <c r="W101" t="s">
        <v>399</v>
      </c>
      <c r="Y101" t="s">
        <v>337</v>
      </c>
      <c r="AB101" t="s">
        <v>339</v>
      </c>
      <c r="AC101" t="s">
        <v>334</v>
      </c>
      <c r="AD101" s="34">
        <v>46.169808529999997</v>
      </c>
      <c r="AE101" s="34">
        <v>-84.076111240000003</v>
      </c>
      <c r="AF101" s="18">
        <v>40308.069444444445</v>
      </c>
      <c r="AG101" s="19">
        <v>40307.902777777781</v>
      </c>
      <c r="AH101" t="s">
        <v>161</v>
      </c>
      <c r="AL101" t="s">
        <v>335</v>
      </c>
      <c r="AM101" s="20">
        <v>40304</v>
      </c>
      <c r="AR101" s="39" t="s">
        <v>400</v>
      </c>
      <c r="AS101" s="39"/>
      <c r="AT101" s="39">
        <v>200</v>
      </c>
      <c r="AZ101" t="s">
        <v>108</v>
      </c>
      <c r="BC101" t="s">
        <v>336</v>
      </c>
    </row>
    <row r="102" spans="1:64" x14ac:dyDescent="0.25">
      <c r="A102" t="str">
        <f t="shared" si="1"/>
        <v>A69-9002-2585</v>
      </c>
      <c r="B102" t="s">
        <v>398</v>
      </c>
      <c r="C102" t="s">
        <v>324</v>
      </c>
      <c r="D102" t="s">
        <v>325</v>
      </c>
      <c r="F102">
        <v>2585</v>
      </c>
      <c r="G102" t="s">
        <v>326</v>
      </c>
      <c r="H102" t="s">
        <v>327</v>
      </c>
      <c r="I102" s="20">
        <v>40304</v>
      </c>
      <c r="J102">
        <v>80</v>
      </c>
      <c r="L102" t="s">
        <v>109</v>
      </c>
      <c r="M102" t="s">
        <v>328</v>
      </c>
      <c r="N102" t="s">
        <v>329</v>
      </c>
      <c r="O102" t="s">
        <v>330</v>
      </c>
      <c r="P102" t="s">
        <v>338</v>
      </c>
      <c r="U102">
        <v>0.49</v>
      </c>
      <c r="V102">
        <v>0.22500000000000001</v>
      </c>
      <c r="W102" t="s">
        <v>399</v>
      </c>
      <c r="Y102" t="s">
        <v>337</v>
      </c>
      <c r="AB102" t="s">
        <v>339</v>
      </c>
      <c r="AC102" t="s">
        <v>334</v>
      </c>
      <c r="AD102" s="34">
        <v>46.169808529999997</v>
      </c>
      <c r="AE102" s="34">
        <v>-84.076111240000003</v>
      </c>
      <c r="AF102" s="18">
        <v>40308.069444444445</v>
      </c>
      <c r="AG102" s="19">
        <v>40307.902777777781</v>
      </c>
      <c r="AH102" t="s">
        <v>161</v>
      </c>
      <c r="AL102" t="s">
        <v>335</v>
      </c>
      <c r="AM102" s="20">
        <v>40304</v>
      </c>
      <c r="AR102" s="39" t="s">
        <v>400</v>
      </c>
      <c r="AS102" s="39"/>
      <c r="AT102" s="39">
        <v>200</v>
      </c>
      <c r="AZ102" t="s">
        <v>108</v>
      </c>
      <c r="BC102" t="s">
        <v>336</v>
      </c>
    </row>
    <row r="103" spans="1:64" x14ac:dyDescent="0.25">
      <c r="A103" t="str">
        <f t="shared" si="1"/>
        <v>A69-9002-2543</v>
      </c>
      <c r="B103" t="s">
        <v>398</v>
      </c>
      <c r="C103" t="s">
        <v>324</v>
      </c>
      <c r="D103" t="s">
        <v>325</v>
      </c>
      <c r="F103">
        <v>2543</v>
      </c>
      <c r="G103" t="s">
        <v>326</v>
      </c>
      <c r="H103" t="s">
        <v>327</v>
      </c>
      <c r="I103" s="20">
        <v>40322</v>
      </c>
      <c r="J103">
        <v>80</v>
      </c>
      <c r="L103" t="s">
        <v>109</v>
      </c>
      <c r="M103" t="s">
        <v>328</v>
      </c>
      <c r="N103" t="s">
        <v>329</v>
      </c>
      <c r="O103" t="s">
        <v>330</v>
      </c>
      <c r="P103" t="s">
        <v>338</v>
      </c>
      <c r="U103">
        <v>0.51</v>
      </c>
      <c r="V103">
        <v>0.28399999999999997</v>
      </c>
      <c r="W103" t="s">
        <v>399</v>
      </c>
      <c r="Y103" t="s">
        <v>332</v>
      </c>
      <c r="AB103" t="s">
        <v>340</v>
      </c>
      <c r="AC103" t="s">
        <v>334</v>
      </c>
      <c r="AD103" s="34">
        <v>46.169359630000002</v>
      </c>
      <c r="AE103" s="34">
        <v>-84.077210289999996</v>
      </c>
      <c r="AF103" s="18">
        <v>40325.034722222219</v>
      </c>
      <c r="AG103" s="19">
        <v>40324.868055555555</v>
      </c>
      <c r="AH103" t="s">
        <v>161</v>
      </c>
      <c r="AL103" t="s">
        <v>335</v>
      </c>
      <c r="AM103" s="20">
        <v>40322</v>
      </c>
      <c r="AR103" s="39" t="s">
        <v>400</v>
      </c>
      <c r="AS103" s="39"/>
      <c r="AT103" s="39">
        <v>200</v>
      </c>
      <c r="AZ103" t="s">
        <v>108</v>
      </c>
      <c r="BC103" t="s">
        <v>336</v>
      </c>
    </row>
    <row r="104" spans="1:64" x14ac:dyDescent="0.25">
      <c r="A104" t="str">
        <f t="shared" si="1"/>
        <v>A69-9002-2481</v>
      </c>
      <c r="B104" t="s">
        <v>398</v>
      </c>
      <c r="C104" t="s">
        <v>324</v>
      </c>
      <c r="D104" t="s">
        <v>325</v>
      </c>
      <c r="F104">
        <v>2481</v>
      </c>
      <c r="G104" t="s">
        <v>326</v>
      </c>
      <c r="H104" t="s">
        <v>327</v>
      </c>
      <c r="I104" s="20">
        <v>40322</v>
      </c>
      <c r="J104">
        <v>80</v>
      </c>
      <c r="L104" t="s">
        <v>109</v>
      </c>
      <c r="M104" t="s">
        <v>328</v>
      </c>
      <c r="N104" t="s">
        <v>329</v>
      </c>
      <c r="O104" t="s">
        <v>330</v>
      </c>
      <c r="P104" t="s">
        <v>338</v>
      </c>
      <c r="U104">
        <v>0.54</v>
      </c>
      <c r="V104">
        <v>0.33500000000000002</v>
      </c>
      <c r="W104" t="s">
        <v>399</v>
      </c>
      <c r="Y104" t="s">
        <v>332</v>
      </c>
      <c r="AB104" t="s">
        <v>340</v>
      </c>
      <c r="AC104" t="s">
        <v>334</v>
      </c>
      <c r="AD104" s="34">
        <v>46.169359630000002</v>
      </c>
      <c r="AE104" s="34">
        <v>-84.077210289999996</v>
      </c>
      <c r="AF104" s="18">
        <v>40325.034722222219</v>
      </c>
      <c r="AG104" s="19">
        <v>40324.868055555555</v>
      </c>
      <c r="AH104" t="s">
        <v>161</v>
      </c>
      <c r="AL104" t="s">
        <v>335</v>
      </c>
      <c r="AM104" s="20">
        <v>40322</v>
      </c>
      <c r="AR104" s="39" t="s">
        <v>400</v>
      </c>
      <c r="AS104" s="39"/>
      <c r="AT104" s="39">
        <v>200</v>
      </c>
      <c r="AZ104" t="s">
        <v>108</v>
      </c>
      <c r="BC104" t="s">
        <v>163</v>
      </c>
      <c r="BD104" s="20">
        <v>40339</v>
      </c>
      <c r="BF104" s="21" t="s">
        <v>406</v>
      </c>
      <c r="BG104" s="1" t="s">
        <v>113</v>
      </c>
      <c r="BH104" s="39" t="s">
        <v>408</v>
      </c>
      <c r="BI104" s="1">
        <v>46.514783999999999</v>
      </c>
      <c r="BJ104" s="1">
        <v>-84.346945000000005</v>
      </c>
      <c r="BK104" t="s">
        <v>404</v>
      </c>
      <c r="BL104" s="39" t="s">
        <v>336</v>
      </c>
    </row>
    <row r="105" spans="1:64" x14ac:dyDescent="0.25">
      <c r="A105" t="str">
        <f t="shared" si="1"/>
        <v>A69-9002-2482</v>
      </c>
      <c r="B105" t="s">
        <v>398</v>
      </c>
      <c r="C105" t="s">
        <v>324</v>
      </c>
      <c r="D105" t="s">
        <v>325</v>
      </c>
      <c r="F105">
        <v>2482</v>
      </c>
      <c r="G105" t="s">
        <v>326</v>
      </c>
      <c r="H105" t="s">
        <v>327</v>
      </c>
      <c r="I105" s="20">
        <v>40322</v>
      </c>
      <c r="J105">
        <v>80</v>
      </c>
      <c r="L105" t="s">
        <v>109</v>
      </c>
      <c r="M105" t="s">
        <v>328</v>
      </c>
      <c r="N105" t="s">
        <v>329</v>
      </c>
      <c r="O105" t="s">
        <v>330</v>
      </c>
      <c r="P105" t="s">
        <v>338</v>
      </c>
      <c r="U105">
        <v>0.51</v>
      </c>
      <c r="V105">
        <v>0.23599999999999999</v>
      </c>
      <c r="W105" t="s">
        <v>399</v>
      </c>
      <c r="Y105" t="s">
        <v>337</v>
      </c>
      <c r="AB105" t="s">
        <v>340</v>
      </c>
      <c r="AC105" t="s">
        <v>334</v>
      </c>
      <c r="AD105" s="34">
        <v>46.169359630000002</v>
      </c>
      <c r="AE105" s="34">
        <v>-84.077210289999996</v>
      </c>
      <c r="AF105" s="18">
        <v>40325.034722222219</v>
      </c>
      <c r="AG105" s="19">
        <v>40324.868055555555</v>
      </c>
      <c r="AH105" t="s">
        <v>161</v>
      </c>
      <c r="AL105" t="s">
        <v>335</v>
      </c>
      <c r="AM105" s="20">
        <v>40322</v>
      </c>
      <c r="AR105" s="39" t="s">
        <v>400</v>
      </c>
      <c r="AS105" s="39"/>
      <c r="AT105" s="39">
        <v>200</v>
      </c>
      <c r="AZ105" t="s">
        <v>108</v>
      </c>
      <c r="BC105" t="s">
        <v>336</v>
      </c>
    </row>
    <row r="106" spans="1:64" x14ac:dyDescent="0.25">
      <c r="A106" t="str">
        <f t="shared" si="1"/>
        <v>A69-9002-2483</v>
      </c>
      <c r="B106" t="s">
        <v>398</v>
      </c>
      <c r="C106" t="s">
        <v>324</v>
      </c>
      <c r="D106" t="s">
        <v>325</v>
      </c>
      <c r="F106">
        <v>2483</v>
      </c>
      <c r="G106" t="s">
        <v>326</v>
      </c>
      <c r="H106" t="s">
        <v>327</v>
      </c>
      <c r="I106" s="20">
        <v>40322</v>
      </c>
      <c r="J106">
        <v>80</v>
      </c>
      <c r="L106" t="s">
        <v>109</v>
      </c>
      <c r="M106" t="s">
        <v>328</v>
      </c>
      <c r="N106" t="s">
        <v>329</v>
      </c>
      <c r="O106" t="s">
        <v>330</v>
      </c>
      <c r="P106" t="s">
        <v>338</v>
      </c>
      <c r="U106">
        <v>0.48</v>
      </c>
      <c r="V106">
        <v>0.248</v>
      </c>
      <c r="W106" t="s">
        <v>399</v>
      </c>
      <c r="Y106" t="s">
        <v>337</v>
      </c>
      <c r="AB106" t="s">
        <v>340</v>
      </c>
      <c r="AC106" t="s">
        <v>334</v>
      </c>
      <c r="AD106" s="34">
        <v>46.169359630000002</v>
      </c>
      <c r="AE106" s="34">
        <v>-84.077210289999996</v>
      </c>
      <c r="AF106" s="18">
        <v>40325.034722222219</v>
      </c>
      <c r="AG106" s="19">
        <v>40324.868055555555</v>
      </c>
      <c r="AH106" t="s">
        <v>161</v>
      </c>
      <c r="AL106" t="s">
        <v>335</v>
      </c>
      <c r="AM106" s="20">
        <v>40322</v>
      </c>
      <c r="AR106" s="39" t="s">
        <v>400</v>
      </c>
      <c r="AS106" s="39"/>
      <c r="AT106" s="39">
        <v>200</v>
      </c>
      <c r="AZ106" t="s">
        <v>108</v>
      </c>
      <c r="BC106" t="s">
        <v>336</v>
      </c>
    </row>
    <row r="107" spans="1:64" x14ac:dyDescent="0.25">
      <c r="A107" t="str">
        <f t="shared" si="1"/>
        <v>A69-9002-2484</v>
      </c>
      <c r="B107" t="s">
        <v>398</v>
      </c>
      <c r="C107" t="s">
        <v>324</v>
      </c>
      <c r="D107" t="s">
        <v>325</v>
      </c>
      <c r="F107">
        <v>2484</v>
      </c>
      <c r="G107" t="s">
        <v>326</v>
      </c>
      <c r="H107" t="s">
        <v>327</v>
      </c>
      <c r="I107" s="20">
        <v>40322</v>
      </c>
      <c r="J107">
        <v>80</v>
      </c>
      <c r="L107" t="s">
        <v>109</v>
      </c>
      <c r="M107" t="s">
        <v>328</v>
      </c>
      <c r="N107" t="s">
        <v>329</v>
      </c>
      <c r="O107" t="s">
        <v>330</v>
      </c>
      <c r="P107" t="s">
        <v>338</v>
      </c>
      <c r="U107">
        <v>0.5</v>
      </c>
      <c r="V107">
        <v>0.29399999999999998</v>
      </c>
      <c r="W107" t="s">
        <v>399</v>
      </c>
      <c r="Y107" t="s">
        <v>332</v>
      </c>
      <c r="AB107" t="s">
        <v>340</v>
      </c>
      <c r="AC107" t="s">
        <v>334</v>
      </c>
      <c r="AD107" s="34">
        <v>46.169359630000002</v>
      </c>
      <c r="AE107" s="34">
        <v>-84.077210289999996</v>
      </c>
      <c r="AF107" s="18">
        <v>40325.034722222219</v>
      </c>
      <c r="AG107" s="19">
        <v>40324.868055555555</v>
      </c>
      <c r="AH107" t="s">
        <v>161</v>
      </c>
      <c r="AL107" t="s">
        <v>335</v>
      </c>
      <c r="AM107" s="20">
        <v>40322</v>
      </c>
      <c r="AR107" s="39" t="s">
        <v>400</v>
      </c>
      <c r="AS107" s="39"/>
      <c r="AT107" s="39">
        <v>200</v>
      </c>
      <c r="AZ107" t="s">
        <v>108</v>
      </c>
      <c r="BC107" t="s">
        <v>336</v>
      </c>
    </row>
    <row r="108" spans="1:64" x14ac:dyDescent="0.25">
      <c r="A108" t="str">
        <f t="shared" si="1"/>
        <v>A69-9002-2485</v>
      </c>
      <c r="B108" t="s">
        <v>398</v>
      </c>
      <c r="C108" t="s">
        <v>324</v>
      </c>
      <c r="D108" t="s">
        <v>325</v>
      </c>
      <c r="F108">
        <v>2485</v>
      </c>
      <c r="G108" t="s">
        <v>326</v>
      </c>
      <c r="H108" t="s">
        <v>327</v>
      </c>
      <c r="I108" s="20">
        <v>40322</v>
      </c>
      <c r="J108">
        <v>80</v>
      </c>
      <c r="L108" t="s">
        <v>109</v>
      </c>
      <c r="M108" t="s">
        <v>328</v>
      </c>
      <c r="N108" t="s">
        <v>329</v>
      </c>
      <c r="O108" t="s">
        <v>330</v>
      </c>
      <c r="P108" t="s">
        <v>338</v>
      </c>
      <c r="U108">
        <v>0.59</v>
      </c>
      <c r="V108">
        <v>0.38700000000000001</v>
      </c>
      <c r="W108" t="s">
        <v>399</v>
      </c>
      <c r="Y108" t="s">
        <v>332</v>
      </c>
      <c r="AB108" t="s">
        <v>340</v>
      </c>
      <c r="AC108" t="s">
        <v>334</v>
      </c>
      <c r="AD108" s="34">
        <v>46.169359630000002</v>
      </c>
      <c r="AE108" s="34">
        <v>-84.077210289999996</v>
      </c>
      <c r="AF108" s="18">
        <v>40325.034722222219</v>
      </c>
      <c r="AG108" s="19">
        <v>40324.868055555555</v>
      </c>
      <c r="AH108" t="s">
        <v>161</v>
      </c>
      <c r="AL108" t="s">
        <v>335</v>
      </c>
      <c r="AM108" s="20">
        <v>40322</v>
      </c>
      <c r="AR108" s="39" t="s">
        <v>400</v>
      </c>
      <c r="AS108" s="39"/>
      <c r="AT108" s="39">
        <v>200</v>
      </c>
      <c r="AZ108" t="s">
        <v>108</v>
      </c>
      <c r="BC108" t="s">
        <v>336</v>
      </c>
    </row>
    <row r="109" spans="1:64" x14ac:dyDescent="0.25">
      <c r="A109" t="str">
        <f t="shared" si="1"/>
        <v>A69-9002-2486</v>
      </c>
      <c r="B109" t="s">
        <v>398</v>
      </c>
      <c r="C109" t="s">
        <v>324</v>
      </c>
      <c r="D109" t="s">
        <v>325</v>
      </c>
      <c r="F109">
        <v>2486</v>
      </c>
      <c r="G109" t="s">
        <v>326</v>
      </c>
      <c r="H109" t="s">
        <v>327</v>
      </c>
      <c r="I109" s="20">
        <v>40322</v>
      </c>
      <c r="J109">
        <v>80</v>
      </c>
      <c r="L109" t="s">
        <v>109</v>
      </c>
      <c r="M109" t="s">
        <v>328</v>
      </c>
      <c r="N109" t="s">
        <v>329</v>
      </c>
      <c r="O109" t="s">
        <v>330</v>
      </c>
      <c r="P109" t="s">
        <v>338</v>
      </c>
      <c r="U109">
        <v>0.5</v>
      </c>
      <c r="V109">
        <v>0.25700000000000001</v>
      </c>
      <c r="W109" t="s">
        <v>399</v>
      </c>
      <c r="Y109" t="s">
        <v>332</v>
      </c>
      <c r="AB109" t="s">
        <v>340</v>
      </c>
      <c r="AC109" t="s">
        <v>334</v>
      </c>
      <c r="AD109" s="34">
        <v>46.169359630000002</v>
      </c>
      <c r="AE109" s="34">
        <v>-84.077210289999996</v>
      </c>
      <c r="AF109" s="18">
        <v>40325.034722222219</v>
      </c>
      <c r="AG109" s="19">
        <v>40324.868055555555</v>
      </c>
      <c r="AH109" t="s">
        <v>161</v>
      </c>
      <c r="AL109" t="s">
        <v>335</v>
      </c>
      <c r="AM109" s="20">
        <v>40322</v>
      </c>
      <c r="AR109" s="39" t="s">
        <v>400</v>
      </c>
      <c r="AS109" s="39"/>
      <c r="AT109" s="39">
        <v>200</v>
      </c>
      <c r="AZ109" t="s">
        <v>108</v>
      </c>
      <c r="BC109" t="s">
        <v>336</v>
      </c>
    </row>
    <row r="110" spans="1:64" x14ac:dyDescent="0.25">
      <c r="A110" t="str">
        <f t="shared" si="1"/>
        <v>A69-9002-2487</v>
      </c>
      <c r="B110" t="s">
        <v>398</v>
      </c>
      <c r="C110" t="s">
        <v>324</v>
      </c>
      <c r="D110" t="s">
        <v>325</v>
      </c>
      <c r="F110">
        <v>2487</v>
      </c>
      <c r="G110" t="s">
        <v>326</v>
      </c>
      <c r="H110" t="s">
        <v>327</v>
      </c>
      <c r="I110" s="20">
        <v>40322</v>
      </c>
      <c r="J110">
        <v>80</v>
      </c>
      <c r="L110" t="s">
        <v>109</v>
      </c>
      <c r="M110" t="s">
        <v>328</v>
      </c>
      <c r="N110" t="s">
        <v>329</v>
      </c>
      <c r="O110" t="s">
        <v>330</v>
      </c>
      <c r="P110" t="s">
        <v>338</v>
      </c>
      <c r="U110">
        <v>0.51</v>
      </c>
      <c r="V110">
        <v>0.24399999999999999</v>
      </c>
      <c r="W110" t="s">
        <v>399</v>
      </c>
      <c r="Y110" t="s">
        <v>337</v>
      </c>
      <c r="AB110" t="s">
        <v>340</v>
      </c>
      <c r="AC110" t="s">
        <v>334</v>
      </c>
      <c r="AD110" s="34">
        <v>46.169359630000002</v>
      </c>
      <c r="AE110" s="34">
        <v>-84.077210289999996</v>
      </c>
      <c r="AF110" s="18">
        <v>40325.034722222219</v>
      </c>
      <c r="AG110" s="19">
        <v>40324.868055555555</v>
      </c>
      <c r="AH110" t="s">
        <v>161</v>
      </c>
      <c r="AL110" t="s">
        <v>335</v>
      </c>
      <c r="AM110" s="20">
        <v>40322</v>
      </c>
      <c r="AR110" s="39" t="s">
        <v>400</v>
      </c>
      <c r="AS110" s="39"/>
      <c r="AT110" s="39">
        <v>200</v>
      </c>
      <c r="AZ110" t="s">
        <v>108</v>
      </c>
      <c r="BC110" t="s">
        <v>336</v>
      </c>
    </row>
    <row r="111" spans="1:64" x14ac:dyDescent="0.25">
      <c r="A111" t="str">
        <f t="shared" si="1"/>
        <v>A69-9002-2488</v>
      </c>
      <c r="B111" t="s">
        <v>398</v>
      </c>
      <c r="C111" t="s">
        <v>324</v>
      </c>
      <c r="D111" t="s">
        <v>325</v>
      </c>
      <c r="F111">
        <v>2488</v>
      </c>
      <c r="G111" t="s">
        <v>326</v>
      </c>
      <c r="H111" t="s">
        <v>327</v>
      </c>
      <c r="I111" s="20">
        <v>40322</v>
      </c>
      <c r="J111">
        <v>80</v>
      </c>
      <c r="L111" t="s">
        <v>109</v>
      </c>
      <c r="M111" t="s">
        <v>328</v>
      </c>
      <c r="N111" t="s">
        <v>329</v>
      </c>
      <c r="O111" t="s">
        <v>330</v>
      </c>
      <c r="P111" t="s">
        <v>338</v>
      </c>
      <c r="U111">
        <v>0.47</v>
      </c>
      <c r="V111">
        <v>0.21299999999999999</v>
      </c>
      <c r="W111" t="s">
        <v>399</v>
      </c>
      <c r="Y111" t="s">
        <v>337</v>
      </c>
      <c r="AB111" t="s">
        <v>340</v>
      </c>
      <c r="AC111" t="s">
        <v>334</v>
      </c>
      <c r="AD111" s="34">
        <v>46.169359630000002</v>
      </c>
      <c r="AE111" s="34">
        <v>-84.077210289999996</v>
      </c>
      <c r="AF111" s="18">
        <v>40325.034722222219</v>
      </c>
      <c r="AG111" s="19">
        <v>40324.868055555555</v>
      </c>
      <c r="AH111" t="s">
        <v>161</v>
      </c>
      <c r="AL111" t="s">
        <v>335</v>
      </c>
      <c r="AM111" s="20">
        <v>40322</v>
      </c>
      <c r="AR111" s="39" t="s">
        <v>400</v>
      </c>
      <c r="AS111" s="39"/>
      <c r="AT111" s="39">
        <v>200</v>
      </c>
      <c r="AZ111" t="s">
        <v>108</v>
      </c>
      <c r="BC111" t="s">
        <v>336</v>
      </c>
    </row>
    <row r="112" spans="1:64" x14ac:dyDescent="0.25">
      <c r="A112" t="str">
        <f t="shared" si="1"/>
        <v>A69-9002-2489</v>
      </c>
      <c r="B112" t="s">
        <v>398</v>
      </c>
      <c r="C112" t="s">
        <v>324</v>
      </c>
      <c r="D112" t="s">
        <v>325</v>
      </c>
      <c r="F112">
        <v>2489</v>
      </c>
      <c r="G112" t="s">
        <v>326</v>
      </c>
      <c r="H112" t="s">
        <v>327</v>
      </c>
      <c r="I112" s="20">
        <v>40322</v>
      </c>
      <c r="J112">
        <v>80</v>
      </c>
      <c r="L112" t="s">
        <v>109</v>
      </c>
      <c r="M112" t="s">
        <v>328</v>
      </c>
      <c r="N112" t="s">
        <v>329</v>
      </c>
      <c r="O112" t="s">
        <v>330</v>
      </c>
      <c r="P112" t="s">
        <v>338</v>
      </c>
      <c r="U112">
        <v>0.5</v>
      </c>
      <c r="V112">
        <v>0.26600000000000001</v>
      </c>
      <c r="W112" t="s">
        <v>399</v>
      </c>
      <c r="Y112" t="s">
        <v>337</v>
      </c>
      <c r="AB112" t="s">
        <v>340</v>
      </c>
      <c r="AC112" t="s">
        <v>334</v>
      </c>
      <c r="AD112" s="34">
        <v>46.169359630000002</v>
      </c>
      <c r="AE112" s="34">
        <v>-84.077210289999996</v>
      </c>
      <c r="AF112" s="18">
        <v>40325.034722222219</v>
      </c>
      <c r="AG112" s="19">
        <v>40324.868055555555</v>
      </c>
      <c r="AH112" t="s">
        <v>161</v>
      </c>
      <c r="AL112" t="s">
        <v>335</v>
      </c>
      <c r="AM112" s="20">
        <v>40322</v>
      </c>
      <c r="AR112" s="39" t="s">
        <v>400</v>
      </c>
      <c r="AS112" s="39"/>
      <c r="AT112" s="39">
        <v>200</v>
      </c>
      <c r="AZ112" t="s">
        <v>108</v>
      </c>
      <c r="BC112" t="s">
        <v>336</v>
      </c>
    </row>
    <row r="113" spans="1:55" x14ac:dyDescent="0.25">
      <c r="A113" t="str">
        <f t="shared" si="1"/>
        <v>A69-9002-2490</v>
      </c>
      <c r="B113" t="s">
        <v>398</v>
      </c>
      <c r="C113" t="s">
        <v>324</v>
      </c>
      <c r="D113" t="s">
        <v>325</v>
      </c>
      <c r="F113">
        <v>2490</v>
      </c>
      <c r="G113" t="s">
        <v>326</v>
      </c>
      <c r="H113" t="s">
        <v>327</v>
      </c>
      <c r="I113" s="20">
        <v>40322</v>
      </c>
      <c r="J113">
        <v>80</v>
      </c>
      <c r="L113" t="s">
        <v>109</v>
      </c>
      <c r="M113" t="s">
        <v>328</v>
      </c>
      <c r="N113" t="s">
        <v>329</v>
      </c>
      <c r="O113" t="s">
        <v>330</v>
      </c>
      <c r="P113" t="s">
        <v>338</v>
      </c>
      <c r="U113">
        <v>0.48</v>
      </c>
      <c r="V113">
        <v>0.222</v>
      </c>
      <c r="W113" t="s">
        <v>399</v>
      </c>
      <c r="Y113" t="s">
        <v>332</v>
      </c>
      <c r="AB113" t="s">
        <v>340</v>
      </c>
      <c r="AC113" t="s">
        <v>334</v>
      </c>
      <c r="AD113" s="34">
        <v>46.169359630000002</v>
      </c>
      <c r="AE113" s="34">
        <v>-84.077210289999996</v>
      </c>
      <c r="AF113" s="18">
        <v>40325.034722222219</v>
      </c>
      <c r="AG113" s="19">
        <v>40324.868055555555</v>
      </c>
      <c r="AH113" t="s">
        <v>161</v>
      </c>
      <c r="AL113" t="s">
        <v>335</v>
      </c>
      <c r="AM113" s="20">
        <v>40322</v>
      </c>
      <c r="AR113" s="39" t="s">
        <v>400</v>
      </c>
      <c r="AS113" s="39"/>
      <c r="AT113" s="39">
        <v>200</v>
      </c>
      <c r="AZ113" t="s">
        <v>108</v>
      </c>
      <c r="BC113" t="s">
        <v>336</v>
      </c>
    </row>
    <row r="114" spans="1:55" x14ac:dyDescent="0.25">
      <c r="A114" t="str">
        <f t="shared" si="1"/>
        <v>A69-9002-2491</v>
      </c>
      <c r="B114" t="s">
        <v>398</v>
      </c>
      <c r="C114" t="s">
        <v>324</v>
      </c>
      <c r="D114" t="s">
        <v>325</v>
      </c>
      <c r="F114">
        <v>2491</v>
      </c>
      <c r="G114" t="s">
        <v>326</v>
      </c>
      <c r="H114" t="s">
        <v>327</v>
      </c>
      <c r="I114" s="20">
        <v>40322</v>
      </c>
      <c r="J114">
        <v>80</v>
      </c>
      <c r="L114" t="s">
        <v>109</v>
      </c>
      <c r="M114" t="s">
        <v>328</v>
      </c>
      <c r="N114" t="s">
        <v>329</v>
      </c>
      <c r="O114" t="s">
        <v>330</v>
      </c>
      <c r="P114" t="s">
        <v>338</v>
      </c>
      <c r="U114">
        <v>0.44</v>
      </c>
      <c r="V114">
        <v>0.2</v>
      </c>
      <c r="W114" t="s">
        <v>399</v>
      </c>
      <c r="Y114" t="s">
        <v>332</v>
      </c>
      <c r="AB114" t="s">
        <v>340</v>
      </c>
      <c r="AC114" t="s">
        <v>334</v>
      </c>
      <c r="AD114" s="34">
        <v>46.169359630000002</v>
      </c>
      <c r="AE114" s="34">
        <v>-84.077210289999996</v>
      </c>
      <c r="AF114" s="18">
        <v>40325.034722222219</v>
      </c>
      <c r="AG114" s="19">
        <v>40324.868055555555</v>
      </c>
      <c r="AH114" t="s">
        <v>161</v>
      </c>
      <c r="AL114" t="s">
        <v>335</v>
      </c>
      <c r="AM114" s="20">
        <v>40322</v>
      </c>
      <c r="AR114" s="39" t="s">
        <v>400</v>
      </c>
      <c r="AS114" s="39"/>
      <c r="AT114" s="39">
        <v>200</v>
      </c>
      <c r="AZ114" t="s">
        <v>108</v>
      </c>
      <c r="BC114" t="s">
        <v>336</v>
      </c>
    </row>
    <row r="115" spans="1:55" x14ac:dyDescent="0.25">
      <c r="A115" t="str">
        <f t="shared" si="1"/>
        <v>A69-9002-2492</v>
      </c>
      <c r="B115" t="s">
        <v>398</v>
      </c>
      <c r="C115" t="s">
        <v>324</v>
      </c>
      <c r="D115" t="s">
        <v>325</v>
      </c>
      <c r="F115">
        <v>2492</v>
      </c>
      <c r="G115" t="s">
        <v>326</v>
      </c>
      <c r="H115" t="s">
        <v>327</v>
      </c>
      <c r="I115" s="20">
        <v>40322</v>
      </c>
      <c r="J115">
        <v>80</v>
      </c>
      <c r="L115" t="s">
        <v>109</v>
      </c>
      <c r="M115" t="s">
        <v>328</v>
      </c>
      <c r="N115" t="s">
        <v>329</v>
      </c>
      <c r="O115" t="s">
        <v>330</v>
      </c>
      <c r="P115" t="s">
        <v>338</v>
      </c>
      <c r="U115">
        <v>0.5</v>
      </c>
      <c r="V115">
        <v>0.30199999999999999</v>
      </c>
      <c r="W115" t="s">
        <v>399</v>
      </c>
      <c r="Y115" t="s">
        <v>337</v>
      </c>
      <c r="AB115" t="s">
        <v>340</v>
      </c>
      <c r="AC115" t="s">
        <v>334</v>
      </c>
      <c r="AD115" s="34">
        <v>46.169359630000002</v>
      </c>
      <c r="AE115" s="34">
        <v>-84.077210289999996</v>
      </c>
      <c r="AF115" s="18">
        <v>40325.034722222219</v>
      </c>
      <c r="AG115" s="19">
        <v>40324.868055555555</v>
      </c>
      <c r="AH115" t="s">
        <v>161</v>
      </c>
      <c r="AL115" t="s">
        <v>335</v>
      </c>
      <c r="AM115" s="20">
        <v>40322</v>
      </c>
      <c r="AR115" s="39" t="s">
        <v>400</v>
      </c>
      <c r="AS115" s="39"/>
      <c r="AT115" s="39">
        <v>200</v>
      </c>
      <c r="AZ115" t="s">
        <v>108</v>
      </c>
      <c r="BC115" t="s">
        <v>336</v>
      </c>
    </row>
    <row r="116" spans="1:55" x14ac:dyDescent="0.25">
      <c r="A116" t="str">
        <f t="shared" si="1"/>
        <v>A69-9002-2493</v>
      </c>
      <c r="B116" t="s">
        <v>398</v>
      </c>
      <c r="C116" t="s">
        <v>324</v>
      </c>
      <c r="D116" t="s">
        <v>325</v>
      </c>
      <c r="F116">
        <v>2493</v>
      </c>
      <c r="G116" t="s">
        <v>326</v>
      </c>
      <c r="H116" t="s">
        <v>327</v>
      </c>
      <c r="I116" s="20">
        <v>40322</v>
      </c>
      <c r="J116">
        <v>80</v>
      </c>
      <c r="L116" t="s">
        <v>109</v>
      </c>
      <c r="M116" t="s">
        <v>328</v>
      </c>
      <c r="N116" t="s">
        <v>329</v>
      </c>
      <c r="O116" t="s">
        <v>330</v>
      </c>
      <c r="P116" t="s">
        <v>338</v>
      </c>
      <c r="U116">
        <v>0.51</v>
      </c>
      <c r="V116">
        <v>0.23599999999999999</v>
      </c>
      <c r="W116" t="s">
        <v>399</v>
      </c>
      <c r="Y116" t="s">
        <v>332</v>
      </c>
      <c r="AB116" t="s">
        <v>340</v>
      </c>
      <c r="AC116" t="s">
        <v>334</v>
      </c>
      <c r="AD116" s="34">
        <v>46.169359630000002</v>
      </c>
      <c r="AE116" s="34">
        <v>-84.077210289999996</v>
      </c>
      <c r="AF116" s="18">
        <v>40325.034722222219</v>
      </c>
      <c r="AG116" s="19">
        <v>40324.868055555555</v>
      </c>
      <c r="AH116" t="s">
        <v>161</v>
      </c>
      <c r="AL116" t="s">
        <v>335</v>
      </c>
      <c r="AM116" s="20">
        <v>40322</v>
      </c>
      <c r="AR116" s="39" t="s">
        <v>400</v>
      </c>
      <c r="AS116" s="39"/>
      <c r="AT116" s="39">
        <v>200</v>
      </c>
      <c r="AZ116" t="s">
        <v>108</v>
      </c>
      <c r="BC116" t="s">
        <v>336</v>
      </c>
    </row>
    <row r="117" spans="1:55" x14ac:dyDescent="0.25">
      <c r="A117" t="str">
        <f t="shared" si="1"/>
        <v>A69-9002-2494</v>
      </c>
      <c r="B117" t="s">
        <v>398</v>
      </c>
      <c r="C117" t="s">
        <v>324</v>
      </c>
      <c r="D117" t="s">
        <v>325</v>
      </c>
      <c r="F117">
        <v>2494</v>
      </c>
      <c r="G117" t="s">
        <v>326</v>
      </c>
      <c r="H117" t="s">
        <v>327</v>
      </c>
      <c r="I117" s="20">
        <v>40322</v>
      </c>
      <c r="J117">
        <v>80</v>
      </c>
      <c r="L117" t="s">
        <v>109</v>
      </c>
      <c r="M117" t="s">
        <v>328</v>
      </c>
      <c r="N117" t="s">
        <v>329</v>
      </c>
      <c r="O117" t="s">
        <v>330</v>
      </c>
      <c r="P117" t="s">
        <v>338</v>
      </c>
      <c r="U117">
        <v>0.54</v>
      </c>
      <c r="V117">
        <v>0.32900000000000001</v>
      </c>
      <c r="W117" t="s">
        <v>399</v>
      </c>
      <c r="Y117" t="s">
        <v>332</v>
      </c>
      <c r="AB117" t="s">
        <v>340</v>
      </c>
      <c r="AC117" t="s">
        <v>334</v>
      </c>
      <c r="AD117" s="34">
        <v>46.169359630000002</v>
      </c>
      <c r="AE117" s="34">
        <v>-84.077210289999996</v>
      </c>
      <c r="AF117" s="18">
        <v>40325.034722222219</v>
      </c>
      <c r="AG117" s="19">
        <v>40324.868055555555</v>
      </c>
      <c r="AH117" t="s">
        <v>161</v>
      </c>
      <c r="AL117" t="s">
        <v>335</v>
      </c>
      <c r="AM117" s="20">
        <v>40322</v>
      </c>
      <c r="AR117" s="39" t="s">
        <v>400</v>
      </c>
      <c r="AS117" s="39"/>
      <c r="AT117" s="39">
        <v>200</v>
      </c>
      <c r="AZ117" t="s">
        <v>108</v>
      </c>
      <c r="BC117" t="s">
        <v>336</v>
      </c>
    </row>
    <row r="118" spans="1:55" x14ac:dyDescent="0.25">
      <c r="A118" t="str">
        <f t="shared" si="1"/>
        <v>A69-9002-2495</v>
      </c>
      <c r="B118" t="s">
        <v>398</v>
      </c>
      <c r="C118" t="s">
        <v>324</v>
      </c>
      <c r="D118" t="s">
        <v>325</v>
      </c>
      <c r="F118">
        <v>2495</v>
      </c>
      <c r="G118" t="s">
        <v>326</v>
      </c>
      <c r="H118" t="s">
        <v>327</v>
      </c>
      <c r="I118" s="20">
        <v>40322</v>
      </c>
      <c r="J118">
        <v>80</v>
      </c>
      <c r="L118" t="s">
        <v>109</v>
      </c>
      <c r="M118" t="s">
        <v>328</v>
      </c>
      <c r="N118" t="s">
        <v>329</v>
      </c>
      <c r="O118" t="s">
        <v>330</v>
      </c>
      <c r="P118" t="s">
        <v>338</v>
      </c>
      <c r="U118">
        <v>0.52</v>
      </c>
      <c r="V118">
        <v>0.27800000000000002</v>
      </c>
      <c r="W118" t="s">
        <v>399</v>
      </c>
      <c r="Y118" t="s">
        <v>332</v>
      </c>
      <c r="AB118" t="s">
        <v>340</v>
      </c>
      <c r="AC118" t="s">
        <v>334</v>
      </c>
      <c r="AD118" s="34">
        <v>46.169359630000002</v>
      </c>
      <c r="AE118" s="34">
        <v>-84.077210289999996</v>
      </c>
      <c r="AF118" s="18">
        <v>40325.034722222219</v>
      </c>
      <c r="AG118" s="19">
        <v>40324.868055555555</v>
      </c>
      <c r="AH118" t="s">
        <v>161</v>
      </c>
      <c r="AL118" t="s">
        <v>335</v>
      </c>
      <c r="AM118" s="20">
        <v>40322</v>
      </c>
      <c r="AR118" s="39" t="s">
        <v>400</v>
      </c>
      <c r="AS118" s="39"/>
      <c r="AT118" s="39">
        <v>200</v>
      </c>
      <c r="AZ118" t="s">
        <v>108</v>
      </c>
      <c r="BC118" t="s">
        <v>336</v>
      </c>
    </row>
    <row r="119" spans="1:55" x14ac:dyDescent="0.25">
      <c r="A119" t="str">
        <f t="shared" si="1"/>
        <v>A69-9002-2496</v>
      </c>
      <c r="B119" t="s">
        <v>398</v>
      </c>
      <c r="C119" t="s">
        <v>324</v>
      </c>
      <c r="D119" t="s">
        <v>325</v>
      </c>
      <c r="F119">
        <v>2496</v>
      </c>
      <c r="G119" t="s">
        <v>326</v>
      </c>
      <c r="H119" t="s">
        <v>327</v>
      </c>
      <c r="I119" s="20">
        <v>40322</v>
      </c>
      <c r="J119">
        <v>80</v>
      </c>
      <c r="L119" t="s">
        <v>109</v>
      </c>
      <c r="M119" t="s">
        <v>328</v>
      </c>
      <c r="N119" t="s">
        <v>329</v>
      </c>
      <c r="O119" t="s">
        <v>330</v>
      </c>
      <c r="P119" t="s">
        <v>338</v>
      </c>
      <c r="U119">
        <v>0.54</v>
      </c>
      <c r="V119">
        <v>0.28399999999999997</v>
      </c>
      <c r="W119" t="s">
        <v>399</v>
      </c>
      <c r="Y119" t="s">
        <v>332</v>
      </c>
      <c r="AB119" t="s">
        <v>340</v>
      </c>
      <c r="AC119" t="s">
        <v>334</v>
      </c>
      <c r="AD119" s="34">
        <v>46.169359630000002</v>
      </c>
      <c r="AE119" s="34">
        <v>-84.077210289999996</v>
      </c>
      <c r="AF119" s="18">
        <v>40325.034722222219</v>
      </c>
      <c r="AG119" s="19">
        <v>40324.868055555555</v>
      </c>
      <c r="AH119" t="s">
        <v>161</v>
      </c>
      <c r="AL119" t="s">
        <v>335</v>
      </c>
      <c r="AM119" s="20">
        <v>40322</v>
      </c>
      <c r="AR119" s="39" t="s">
        <v>400</v>
      </c>
      <c r="AS119" s="39"/>
      <c r="AT119" s="39">
        <v>200</v>
      </c>
      <c r="AZ119" t="s">
        <v>108</v>
      </c>
      <c r="BC119" t="s">
        <v>336</v>
      </c>
    </row>
    <row r="120" spans="1:55" x14ac:dyDescent="0.25">
      <c r="A120" t="str">
        <f t="shared" si="1"/>
        <v>A69-9002-2497</v>
      </c>
      <c r="B120" t="s">
        <v>398</v>
      </c>
      <c r="C120" t="s">
        <v>324</v>
      </c>
      <c r="D120" t="s">
        <v>325</v>
      </c>
      <c r="F120">
        <v>2497</v>
      </c>
      <c r="G120" t="s">
        <v>326</v>
      </c>
      <c r="H120" t="s">
        <v>327</v>
      </c>
      <c r="I120" s="20">
        <v>40322</v>
      </c>
      <c r="J120">
        <v>80</v>
      </c>
      <c r="L120" t="s">
        <v>109</v>
      </c>
      <c r="M120" t="s">
        <v>328</v>
      </c>
      <c r="N120" t="s">
        <v>329</v>
      </c>
      <c r="O120" t="s">
        <v>330</v>
      </c>
      <c r="P120" t="s">
        <v>338</v>
      </c>
      <c r="U120">
        <v>0.52</v>
      </c>
      <c r="V120">
        <v>0.312</v>
      </c>
      <c r="W120" t="s">
        <v>399</v>
      </c>
      <c r="Y120" t="s">
        <v>337</v>
      </c>
      <c r="AB120" t="s">
        <v>340</v>
      </c>
      <c r="AC120" t="s">
        <v>334</v>
      </c>
      <c r="AD120" s="34">
        <v>46.169359630000002</v>
      </c>
      <c r="AE120" s="34">
        <v>-84.077210289999996</v>
      </c>
      <c r="AF120" s="18">
        <v>40325.034722222219</v>
      </c>
      <c r="AG120" s="19">
        <v>40324.868055555555</v>
      </c>
      <c r="AH120" t="s">
        <v>161</v>
      </c>
      <c r="AL120" t="s">
        <v>335</v>
      </c>
      <c r="AM120" s="20">
        <v>40322</v>
      </c>
      <c r="AR120" s="39" t="s">
        <v>400</v>
      </c>
      <c r="AS120" s="39"/>
      <c r="AT120" s="39">
        <v>200</v>
      </c>
      <c r="AZ120" t="s">
        <v>108</v>
      </c>
      <c r="BC120" t="s">
        <v>336</v>
      </c>
    </row>
    <row r="121" spans="1:55" x14ac:dyDescent="0.25">
      <c r="A121" t="str">
        <f t="shared" si="1"/>
        <v>A69-9002-2498</v>
      </c>
      <c r="B121" t="s">
        <v>398</v>
      </c>
      <c r="C121" t="s">
        <v>324</v>
      </c>
      <c r="D121" t="s">
        <v>325</v>
      </c>
      <c r="F121">
        <v>2498</v>
      </c>
      <c r="G121" t="s">
        <v>326</v>
      </c>
      <c r="H121" t="s">
        <v>327</v>
      </c>
      <c r="I121" s="20">
        <v>40322</v>
      </c>
      <c r="J121">
        <v>80</v>
      </c>
      <c r="L121" t="s">
        <v>109</v>
      </c>
      <c r="M121" t="s">
        <v>328</v>
      </c>
      <c r="N121" t="s">
        <v>329</v>
      </c>
      <c r="O121" t="s">
        <v>330</v>
      </c>
      <c r="P121" t="s">
        <v>338</v>
      </c>
      <c r="U121">
        <v>0.47</v>
      </c>
      <c r="V121">
        <v>0.214</v>
      </c>
      <c r="W121" t="s">
        <v>399</v>
      </c>
      <c r="Y121" t="s">
        <v>337</v>
      </c>
      <c r="AB121" t="s">
        <v>340</v>
      </c>
      <c r="AC121" t="s">
        <v>334</v>
      </c>
      <c r="AD121" s="34">
        <v>46.169359630000002</v>
      </c>
      <c r="AE121" s="34">
        <v>-84.077210289999996</v>
      </c>
      <c r="AF121" s="18">
        <v>40325.034722222219</v>
      </c>
      <c r="AG121" s="19">
        <v>40324.868055555555</v>
      </c>
      <c r="AH121" t="s">
        <v>161</v>
      </c>
      <c r="AL121" t="s">
        <v>335</v>
      </c>
      <c r="AM121" s="20">
        <v>40322</v>
      </c>
      <c r="AR121" s="39" t="s">
        <v>400</v>
      </c>
      <c r="AS121" s="39"/>
      <c r="AT121" s="39">
        <v>200</v>
      </c>
      <c r="AZ121" t="s">
        <v>108</v>
      </c>
      <c r="BC121" t="s">
        <v>336</v>
      </c>
    </row>
    <row r="122" spans="1:55" x14ac:dyDescent="0.25">
      <c r="A122" t="str">
        <f t="shared" si="1"/>
        <v>A69-9002-2499</v>
      </c>
      <c r="B122" t="s">
        <v>398</v>
      </c>
      <c r="C122" t="s">
        <v>324</v>
      </c>
      <c r="D122" t="s">
        <v>325</v>
      </c>
      <c r="F122">
        <v>2499</v>
      </c>
      <c r="G122" t="s">
        <v>326</v>
      </c>
      <c r="H122" t="s">
        <v>327</v>
      </c>
      <c r="I122" s="20">
        <v>40322</v>
      </c>
      <c r="J122">
        <v>80</v>
      </c>
      <c r="L122" t="s">
        <v>109</v>
      </c>
      <c r="M122" t="s">
        <v>328</v>
      </c>
      <c r="N122" t="s">
        <v>329</v>
      </c>
      <c r="O122" t="s">
        <v>330</v>
      </c>
      <c r="P122" t="s">
        <v>338</v>
      </c>
      <c r="U122">
        <v>0.54</v>
      </c>
      <c r="V122">
        <v>0.28399999999999997</v>
      </c>
      <c r="W122" t="s">
        <v>399</v>
      </c>
      <c r="Y122" t="s">
        <v>332</v>
      </c>
      <c r="AB122" t="s">
        <v>340</v>
      </c>
      <c r="AC122" t="s">
        <v>334</v>
      </c>
      <c r="AD122" s="34">
        <v>46.169359630000002</v>
      </c>
      <c r="AE122" s="34">
        <v>-84.077210289999996</v>
      </c>
      <c r="AF122" s="18">
        <v>40325.034722222219</v>
      </c>
      <c r="AG122" s="19">
        <v>40324.868055555555</v>
      </c>
      <c r="AH122" t="s">
        <v>161</v>
      </c>
      <c r="AL122" t="s">
        <v>335</v>
      </c>
      <c r="AM122" s="20">
        <v>40322</v>
      </c>
      <c r="AR122" s="39" t="s">
        <v>400</v>
      </c>
      <c r="AS122" s="39"/>
      <c r="AT122" s="39">
        <v>200</v>
      </c>
      <c r="AZ122" t="s">
        <v>108</v>
      </c>
      <c r="BC122" t="s">
        <v>336</v>
      </c>
    </row>
    <row r="123" spans="1:55" x14ac:dyDescent="0.25">
      <c r="A123" t="str">
        <f t="shared" si="1"/>
        <v>A69-9002-2500</v>
      </c>
      <c r="B123" t="s">
        <v>398</v>
      </c>
      <c r="C123" t="s">
        <v>324</v>
      </c>
      <c r="D123" t="s">
        <v>325</v>
      </c>
      <c r="F123">
        <v>2500</v>
      </c>
      <c r="G123" t="s">
        <v>326</v>
      </c>
      <c r="H123" t="s">
        <v>327</v>
      </c>
      <c r="I123" s="20">
        <v>40322</v>
      </c>
      <c r="J123">
        <v>80</v>
      </c>
      <c r="L123" t="s">
        <v>109</v>
      </c>
      <c r="M123" t="s">
        <v>328</v>
      </c>
      <c r="N123" t="s">
        <v>329</v>
      </c>
      <c r="O123" t="s">
        <v>330</v>
      </c>
      <c r="P123" t="s">
        <v>338</v>
      </c>
      <c r="U123">
        <v>0.51</v>
      </c>
      <c r="V123">
        <v>0.27800000000000002</v>
      </c>
      <c r="W123" t="s">
        <v>399</v>
      </c>
      <c r="Y123" t="s">
        <v>337</v>
      </c>
      <c r="AB123" t="s">
        <v>340</v>
      </c>
      <c r="AC123" t="s">
        <v>334</v>
      </c>
      <c r="AD123" s="34">
        <v>46.169359630000002</v>
      </c>
      <c r="AE123" s="34">
        <v>-84.077210289999996</v>
      </c>
      <c r="AF123" s="18">
        <v>40325.034722222219</v>
      </c>
      <c r="AG123" s="19">
        <v>40324.868055555555</v>
      </c>
      <c r="AH123" t="s">
        <v>161</v>
      </c>
      <c r="AL123" t="s">
        <v>335</v>
      </c>
      <c r="AM123" s="20">
        <v>40322</v>
      </c>
      <c r="AR123" s="39" t="s">
        <v>400</v>
      </c>
      <c r="AS123" s="39"/>
      <c r="AT123" s="39">
        <v>200</v>
      </c>
      <c r="AZ123" t="s">
        <v>108</v>
      </c>
      <c r="BC123" t="s">
        <v>336</v>
      </c>
    </row>
    <row r="124" spans="1:55" x14ac:dyDescent="0.25">
      <c r="A124" t="str">
        <f t="shared" si="1"/>
        <v>A69-9002-2501</v>
      </c>
      <c r="B124" t="s">
        <v>398</v>
      </c>
      <c r="C124" t="s">
        <v>324</v>
      </c>
      <c r="D124" t="s">
        <v>325</v>
      </c>
      <c r="F124">
        <v>2501</v>
      </c>
      <c r="G124" t="s">
        <v>326</v>
      </c>
      <c r="H124" t="s">
        <v>327</v>
      </c>
      <c r="I124" s="20">
        <v>40322</v>
      </c>
      <c r="J124">
        <v>80</v>
      </c>
      <c r="L124" t="s">
        <v>109</v>
      </c>
      <c r="M124" t="s">
        <v>328</v>
      </c>
      <c r="N124" t="s">
        <v>329</v>
      </c>
      <c r="O124" t="s">
        <v>330</v>
      </c>
      <c r="P124" t="s">
        <v>338</v>
      </c>
      <c r="U124">
        <v>0.51</v>
      </c>
      <c r="V124">
        <v>0.27300000000000002</v>
      </c>
      <c r="W124" t="s">
        <v>399</v>
      </c>
      <c r="Y124" t="s">
        <v>332</v>
      </c>
      <c r="AB124" t="s">
        <v>340</v>
      </c>
      <c r="AC124" t="s">
        <v>334</v>
      </c>
      <c r="AD124" s="34">
        <v>46.169359630000002</v>
      </c>
      <c r="AE124" s="34">
        <v>-84.077210289999996</v>
      </c>
      <c r="AF124" s="18">
        <v>40325.034722222219</v>
      </c>
      <c r="AG124" s="19">
        <v>40324.868055555555</v>
      </c>
      <c r="AH124" t="s">
        <v>161</v>
      </c>
      <c r="AL124" t="s">
        <v>335</v>
      </c>
      <c r="AM124" s="20">
        <v>40322</v>
      </c>
      <c r="AR124" s="39" t="s">
        <v>400</v>
      </c>
      <c r="AS124" s="39"/>
      <c r="AT124" s="39">
        <v>200</v>
      </c>
      <c r="AZ124" t="s">
        <v>108</v>
      </c>
      <c r="BC124" t="s">
        <v>336</v>
      </c>
    </row>
    <row r="125" spans="1:55" x14ac:dyDescent="0.25">
      <c r="A125" t="str">
        <f t="shared" si="1"/>
        <v>A69-9002-2502</v>
      </c>
      <c r="B125" t="s">
        <v>398</v>
      </c>
      <c r="C125" t="s">
        <v>324</v>
      </c>
      <c r="D125" t="s">
        <v>325</v>
      </c>
      <c r="F125">
        <v>2502</v>
      </c>
      <c r="G125" t="s">
        <v>326</v>
      </c>
      <c r="H125" t="s">
        <v>327</v>
      </c>
      <c r="I125" s="20">
        <v>40322</v>
      </c>
      <c r="J125">
        <v>80</v>
      </c>
      <c r="L125" t="s">
        <v>109</v>
      </c>
      <c r="M125" t="s">
        <v>328</v>
      </c>
      <c r="N125" t="s">
        <v>329</v>
      </c>
      <c r="O125" t="s">
        <v>330</v>
      </c>
      <c r="P125" t="s">
        <v>338</v>
      </c>
      <c r="U125">
        <v>0.52</v>
      </c>
      <c r="V125">
        <v>0.316</v>
      </c>
      <c r="W125" t="s">
        <v>399</v>
      </c>
      <c r="Y125" t="s">
        <v>332</v>
      </c>
      <c r="AB125" t="s">
        <v>340</v>
      </c>
      <c r="AC125" t="s">
        <v>334</v>
      </c>
      <c r="AD125" s="34">
        <v>46.169359630000002</v>
      </c>
      <c r="AE125" s="34">
        <v>-84.077210289999996</v>
      </c>
      <c r="AF125" s="18">
        <v>40325.034722222219</v>
      </c>
      <c r="AG125" s="19">
        <v>40324.868055555555</v>
      </c>
      <c r="AH125" t="s">
        <v>161</v>
      </c>
      <c r="AL125" t="s">
        <v>335</v>
      </c>
      <c r="AM125" s="20">
        <v>40322</v>
      </c>
      <c r="AR125" s="39" t="s">
        <v>400</v>
      </c>
      <c r="AS125" s="39"/>
      <c r="AT125" s="39">
        <v>200</v>
      </c>
      <c r="AZ125" t="s">
        <v>108</v>
      </c>
      <c r="BC125" t="s">
        <v>336</v>
      </c>
    </row>
    <row r="126" spans="1:55" x14ac:dyDescent="0.25">
      <c r="A126" t="str">
        <f t="shared" si="1"/>
        <v>A69-9002-2503</v>
      </c>
      <c r="B126" t="s">
        <v>398</v>
      </c>
      <c r="C126" t="s">
        <v>324</v>
      </c>
      <c r="D126" t="s">
        <v>325</v>
      </c>
      <c r="F126">
        <v>2503</v>
      </c>
      <c r="G126" t="s">
        <v>326</v>
      </c>
      <c r="H126" t="s">
        <v>327</v>
      </c>
      <c r="I126" s="20">
        <v>40322</v>
      </c>
      <c r="J126">
        <v>80</v>
      </c>
      <c r="L126" t="s">
        <v>109</v>
      </c>
      <c r="M126" t="s">
        <v>328</v>
      </c>
      <c r="N126" t="s">
        <v>329</v>
      </c>
      <c r="O126" t="s">
        <v>330</v>
      </c>
      <c r="P126" t="s">
        <v>338</v>
      </c>
      <c r="U126">
        <v>0.48</v>
      </c>
      <c r="V126">
        <v>0.21199999999999999</v>
      </c>
      <c r="W126" t="s">
        <v>399</v>
      </c>
      <c r="Y126" t="s">
        <v>337</v>
      </c>
      <c r="AB126" t="s">
        <v>340</v>
      </c>
      <c r="AC126" t="s">
        <v>334</v>
      </c>
      <c r="AD126" s="34">
        <v>46.169359630000002</v>
      </c>
      <c r="AE126" s="34">
        <v>-84.077210289999996</v>
      </c>
      <c r="AF126" s="18">
        <v>40325.034722222219</v>
      </c>
      <c r="AG126" s="19">
        <v>40324.868055555555</v>
      </c>
      <c r="AH126" t="s">
        <v>161</v>
      </c>
      <c r="AL126" t="s">
        <v>335</v>
      </c>
      <c r="AM126" s="20">
        <v>40322</v>
      </c>
      <c r="AR126" s="39" t="s">
        <v>400</v>
      </c>
      <c r="AS126" s="39"/>
      <c r="AT126" s="39">
        <v>200</v>
      </c>
      <c r="AZ126" t="s">
        <v>108</v>
      </c>
      <c r="BC126" t="s">
        <v>336</v>
      </c>
    </row>
    <row r="127" spans="1:55" x14ac:dyDescent="0.25">
      <c r="A127" t="str">
        <f t="shared" si="1"/>
        <v>A69-9002-2504</v>
      </c>
      <c r="B127" t="s">
        <v>398</v>
      </c>
      <c r="C127" t="s">
        <v>324</v>
      </c>
      <c r="D127" t="s">
        <v>325</v>
      </c>
      <c r="F127">
        <v>2504</v>
      </c>
      <c r="G127" t="s">
        <v>326</v>
      </c>
      <c r="H127" t="s">
        <v>327</v>
      </c>
      <c r="I127" s="20">
        <v>40322</v>
      </c>
      <c r="J127">
        <v>80</v>
      </c>
      <c r="L127" t="s">
        <v>109</v>
      </c>
      <c r="M127" t="s">
        <v>328</v>
      </c>
      <c r="N127" t="s">
        <v>329</v>
      </c>
      <c r="O127" t="s">
        <v>330</v>
      </c>
      <c r="P127" t="s">
        <v>338</v>
      </c>
      <c r="U127">
        <v>0.5</v>
      </c>
      <c r="V127">
        <v>0.25800000000000001</v>
      </c>
      <c r="W127" t="s">
        <v>399</v>
      </c>
      <c r="Y127" t="s">
        <v>332</v>
      </c>
      <c r="AB127" t="s">
        <v>340</v>
      </c>
      <c r="AC127" t="s">
        <v>334</v>
      </c>
      <c r="AD127" s="34">
        <v>46.169359630000002</v>
      </c>
      <c r="AE127" s="34">
        <v>-84.077210289999996</v>
      </c>
      <c r="AF127" s="18">
        <v>40325.034722222219</v>
      </c>
      <c r="AG127" s="19">
        <v>40324.868055555555</v>
      </c>
      <c r="AH127" t="s">
        <v>161</v>
      </c>
      <c r="AL127" t="s">
        <v>335</v>
      </c>
      <c r="AM127" s="20">
        <v>40322</v>
      </c>
      <c r="AR127" s="39" t="s">
        <v>400</v>
      </c>
      <c r="AS127" s="39"/>
      <c r="AT127" s="39">
        <v>200</v>
      </c>
      <c r="AZ127" t="s">
        <v>108</v>
      </c>
      <c r="BC127" t="s">
        <v>336</v>
      </c>
    </row>
    <row r="128" spans="1:55" x14ac:dyDescent="0.25">
      <c r="A128" t="str">
        <f t="shared" si="1"/>
        <v>A69-9002-2505</v>
      </c>
      <c r="B128" t="s">
        <v>398</v>
      </c>
      <c r="C128" t="s">
        <v>324</v>
      </c>
      <c r="D128" t="s">
        <v>325</v>
      </c>
      <c r="F128">
        <v>2505</v>
      </c>
      <c r="G128" t="s">
        <v>326</v>
      </c>
      <c r="H128" t="s">
        <v>327</v>
      </c>
      <c r="I128" s="20">
        <v>40322</v>
      </c>
      <c r="J128">
        <v>80</v>
      </c>
      <c r="L128" t="s">
        <v>109</v>
      </c>
      <c r="M128" t="s">
        <v>328</v>
      </c>
      <c r="N128" t="s">
        <v>329</v>
      </c>
      <c r="O128" t="s">
        <v>330</v>
      </c>
      <c r="P128" t="s">
        <v>338</v>
      </c>
      <c r="U128">
        <v>0.47</v>
      </c>
      <c r="V128">
        <v>0.19600000000000001</v>
      </c>
      <c r="W128" t="s">
        <v>399</v>
      </c>
      <c r="Y128" t="s">
        <v>337</v>
      </c>
      <c r="AB128" t="s">
        <v>340</v>
      </c>
      <c r="AC128" t="s">
        <v>334</v>
      </c>
      <c r="AD128" s="34">
        <v>46.169359630000002</v>
      </c>
      <c r="AE128" s="34">
        <v>-84.077210289999996</v>
      </c>
      <c r="AF128" s="18">
        <v>40325.034722222219</v>
      </c>
      <c r="AG128" s="19">
        <v>40324.868055555555</v>
      </c>
      <c r="AH128" t="s">
        <v>161</v>
      </c>
      <c r="AL128" t="s">
        <v>335</v>
      </c>
      <c r="AM128" s="20">
        <v>40322</v>
      </c>
      <c r="AR128" s="39" t="s">
        <v>400</v>
      </c>
      <c r="AS128" s="39"/>
      <c r="AT128" s="39">
        <v>200</v>
      </c>
      <c r="AZ128" t="s">
        <v>108</v>
      </c>
      <c r="BC128" t="s">
        <v>336</v>
      </c>
    </row>
    <row r="129" spans="1:64" x14ac:dyDescent="0.25">
      <c r="A129" t="str">
        <f t="shared" si="1"/>
        <v>A69-9002-2506</v>
      </c>
      <c r="B129" t="s">
        <v>398</v>
      </c>
      <c r="C129" t="s">
        <v>324</v>
      </c>
      <c r="D129" t="s">
        <v>325</v>
      </c>
      <c r="F129">
        <v>2506</v>
      </c>
      <c r="G129" t="s">
        <v>326</v>
      </c>
      <c r="H129" t="s">
        <v>327</v>
      </c>
      <c r="I129" s="20">
        <v>40322</v>
      </c>
      <c r="J129">
        <v>80</v>
      </c>
      <c r="L129" t="s">
        <v>109</v>
      </c>
      <c r="M129" t="s">
        <v>328</v>
      </c>
      <c r="N129" t="s">
        <v>329</v>
      </c>
      <c r="O129" t="s">
        <v>330</v>
      </c>
      <c r="P129" t="s">
        <v>338</v>
      </c>
      <c r="U129">
        <v>0.55000000000000004</v>
      </c>
      <c r="V129">
        <v>0.30599999999999999</v>
      </c>
      <c r="W129" t="s">
        <v>399</v>
      </c>
      <c r="Y129" t="s">
        <v>332</v>
      </c>
      <c r="AB129" t="s">
        <v>340</v>
      </c>
      <c r="AC129" t="s">
        <v>334</v>
      </c>
      <c r="AD129" s="34">
        <v>46.169359630000002</v>
      </c>
      <c r="AE129" s="34">
        <v>-84.077210289999996</v>
      </c>
      <c r="AF129" s="18">
        <v>40325.034722222219</v>
      </c>
      <c r="AG129" s="19">
        <v>40324.868055555555</v>
      </c>
      <c r="AH129" t="s">
        <v>161</v>
      </c>
      <c r="AL129" t="s">
        <v>335</v>
      </c>
      <c r="AM129" s="20">
        <v>40322</v>
      </c>
      <c r="AR129" s="39" t="s">
        <v>400</v>
      </c>
      <c r="AS129" s="39"/>
      <c r="AT129" s="39">
        <v>200</v>
      </c>
      <c r="AZ129" t="s">
        <v>108</v>
      </c>
      <c r="BC129" t="s">
        <v>163</v>
      </c>
      <c r="BD129" s="20">
        <v>40335</v>
      </c>
      <c r="BF129" s="21" t="s">
        <v>406</v>
      </c>
      <c r="BG129" s="1" t="s">
        <v>113</v>
      </c>
      <c r="BH129" t="s">
        <v>425</v>
      </c>
      <c r="BI129" s="39">
        <v>46.504829000000001</v>
      </c>
      <c r="BJ129" s="39">
        <v>-84.354651000000004</v>
      </c>
      <c r="BK129" t="s">
        <v>405</v>
      </c>
      <c r="BL129" s="39" t="s">
        <v>336</v>
      </c>
    </row>
    <row r="130" spans="1:64" x14ac:dyDescent="0.25">
      <c r="A130" t="str">
        <f t="shared" si="1"/>
        <v>A69-9002-2507</v>
      </c>
      <c r="B130" t="s">
        <v>398</v>
      </c>
      <c r="C130" t="s">
        <v>324</v>
      </c>
      <c r="D130" t="s">
        <v>325</v>
      </c>
      <c r="F130">
        <v>2507</v>
      </c>
      <c r="G130" t="s">
        <v>326</v>
      </c>
      <c r="H130" t="s">
        <v>327</v>
      </c>
      <c r="I130" s="20">
        <v>40322</v>
      </c>
      <c r="J130">
        <v>80</v>
      </c>
      <c r="L130" t="s">
        <v>109</v>
      </c>
      <c r="M130" t="s">
        <v>328</v>
      </c>
      <c r="N130" t="s">
        <v>329</v>
      </c>
      <c r="O130" t="s">
        <v>330</v>
      </c>
      <c r="P130" t="s">
        <v>338</v>
      </c>
      <c r="U130">
        <v>0.53</v>
      </c>
      <c r="V130">
        <v>0.316</v>
      </c>
      <c r="W130" t="s">
        <v>399</v>
      </c>
      <c r="Y130" t="s">
        <v>332</v>
      </c>
      <c r="AB130" t="s">
        <v>340</v>
      </c>
      <c r="AC130" t="s">
        <v>334</v>
      </c>
      <c r="AD130" s="34">
        <v>46.169359630000002</v>
      </c>
      <c r="AE130" s="34">
        <v>-84.077210289999996</v>
      </c>
      <c r="AF130" s="18">
        <v>40325.034722222219</v>
      </c>
      <c r="AG130" s="19">
        <v>40324.868055555555</v>
      </c>
      <c r="AH130" t="s">
        <v>161</v>
      </c>
      <c r="AL130" t="s">
        <v>335</v>
      </c>
      <c r="AM130" s="20">
        <v>40322</v>
      </c>
      <c r="AR130" s="39" t="s">
        <v>400</v>
      </c>
      <c r="AS130" s="39"/>
      <c r="AT130" s="39">
        <v>200</v>
      </c>
      <c r="AZ130" t="s">
        <v>108</v>
      </c>
      <c r="BC130" t="s">
        <v>336</v>
      </c>
    </row>
    <row r="131" spans="1:64" x14ac:dyDescent="0.25">
      <c r="A131" t="str">
        <f t="shared" si="1"/>
        <v>A69-9002-2508</v>
      </c>
      <c r="B131" t="s">
        <v>398</v>
      </c>
      <c r="C131" t="s">
        <v>324</v>
      </c>
      <c r="D131" t="s">
        <v>325</v>
      </c>
      <c r="F131">
        <v>2508</v>
      </c>
      <c r="G131" t="s">
        <v>326</v>
      </c>
      <c r="H131" t="s">
        <v>327</v>
      </c>
      <c r="I131" s="20">
        <v>40322</v>
      </c>
      <c r="J131">
        <v>80</v>
      </c>
      <c r="L131" t="s">
        <v>109</v>
      </c>
      <c r="M131" t="s">
        <v>328</v>
      </c>
      <c r="N131" t="s">
        <v>329</v>
      </c>
      <c r="O131" t="s">
        <v>330</v>
      </c>
      <c r="P131" t="s">
        <v>338</v>
      </c>
      <c r="U131">
        <v>0.48</v>
      </c>
      <c r="V131">
        <v>0.24199999999999999</v>
      </c>
      <c r="W131" t="s">
        <v>399</v>
      </c>
      <c r="Y131" t="s">
        <v>337</v>
      </c>
      <c r="AB131" t="s">
        <v>340</v>
      </c>
      <c r="AC131" t="s">
        <v>334</v>
      </c>
      <c r="AD131" s="34">
        <v>46.169359630000002</v>
      </c>
      <c r="AE131" s="34">
        <v>-84.077210289999996</v>
      </c>
      <c r="AF131" s="18">
        <v>40325.034722222219</v>
      </c>
      <c r="AG131" s="19">
        <v>40324.868055555555</v>
      </c>
      <c r="AH131" t="s">
        <v>161</v>
      </c>
      <c r="AL131" t="s">
        <v>335</v>
      </c>
      <c r="AM131" s="20">
        <v>40322</v>
      </c>
      <c r="AR131" s="39" t="s">
        <v>400</v>
      </c>
      <c r="AS131" s="39"/>
      <c r="AT131" s="39">
        <v>200</v>
      </c>
      <c r="AZ131" t="s">
        <v>108</v>
      </c>
      <c r="BC131" t="s">
        <v>336</v>
      </c>
    </row>
    <row r="132" spans="1:64" x14ac:dyDescent="0.25">
      <c r="A132" t="str">
        <f t="shared" ref="A132:A195" si="2">CONCATENATE(G132,"-",F132)</f>
        <v>A69-9002-2509</v>
      </c>
      <c r="B132" t="s">
        <v>398</v>
      </c>
      <c r="C132" t="s">
        <v>324</v>
      </c>
      <c r="D132" t="s">
        <v>325</v>
      </c>
      <c r="F132">
        <v>2509</v>
      </c>
      <c r="G132" t="s">
        <v>326</v>
      </c>
      <c r="H132" t="s">
        <v>327</v>
      </c>
      <c r="I132" s="20">
        <v>40322</v>
      </c>
      <c r="J132">
        <v>80</v>
      </c>
      <c r="L132" t="s">
        <v>109</v>
      </c>
      <c r="M132" t="s">
        <v>328</v>
      </c>
      <c r="N132" t="s">
        <v>329</v>
      </c>
      <c r="O132" t="s">
        <v>330</v>
      </c>
      <c r="P132" t="s">
        <v>338</v>
      </c>
      <c r="U132">
        <v>0.5</v>
      </c>
      <c r="V132">
        <v>0.22600000000000001</v>
      </c>
      <c r="W132" t="s">
        <v>399</v>
      </c>
      <c r="Y132" t="s">
        <v>337</v>
      </c>
      <c r="AB132" t="s">
        <v>340</v>
      </c>
      <c r="AC132" t="s">
        <v>334</v>
      </c>
      <c r="AD132" s="34">
        <v>46.169359630000002</v>
      </c>
      <c r="AE132" s="34">
        <v>-84.077210289999996</v>
      </c>
      <c r="AF132" s="18">
        <v>40325.034722222219</v>
      </c>
      <c r="AG132" s="19">
        <v>40324.868055555555</v>
      </c>
      <c r="AH132" t="s">
        <v>161</v>
      </c>
      <c r="AL132" t="s">
        <v>335</v>
      </c>
      <c r="AM132" s="20">
        <v>40322</v>
      </c>
      <c r="AR132" s="39" t="s">
        <v>400</v>
      </c>
      <c r="AS132" s="39"/>
      <c r="AT132" s="39">
        <v>200</v>
      </c>
      <c r="AZ132" t="s">
        <v>108</v>
      </c>
      <c r="BC132" t="s">
        <v>336</v>
      </c>
    </row>
    <row r="133" spans="1:64" x14ac:dyDescent="0.25">
      <c r="A133" t="str">
        <f t="shared" si="2"/>
        <v>A69-9002-2510</v>
      </c>
      <c r="B133" t="s">
        <v>398</v>
      </c>
      <c r="C133" t="s">
        <v>324</v>
      </c>
      <c r="D133" t="s">
        <v>325</v>
      </c>
      <c r="F133">
        <v>2510</v>
      </c>
      <c r="G133" t="s">
        <v>326</v>
      </c>
      <c r="H133" t="s">
        <v>327</v>
      </c>
      <c r="I133" s="20">
        <v>40322</v>
      </c>
      <c r="J133">
        <v>80</v>
      </c>
      <c r="L133" t="s">
        <v>109</v>
      </c>
      <c r="M133" t="s">
        <v>328</v>
      </c>
      <c r="N133" t="s">
        <v>329</v>
      </c>
      <c r="O133" t="s">
        <v>330</v>
      </c>
      <c r="P133" t="s">
        <v>338</v>
      </c>
      <c r="U133">
        <v>0.48</v>
      </c>
      <c r="V133">
        <v>0.20799999999999999</v>
      </c>
      <c r="W133" t="s">
        <v>399</v>
      </c>
      <c r="Y133" t="s">
        <v>337</v>
      </c>
      <c r="AB133" t="s">
        <v>340</v>
      </c>
      <c r="AC133" t="s">
        <v>334</v>
      </c>
      <c r="AD133" s="34">
        <v>46.169359630000002</v>
      </c>
      <c r="AE133" s="34">
        <v>-84.077210289999996</v>
      </c>
      <c r="AF133" s="18">
        <v>40325.034722222219</v>
      </c>
      <c r="AG133" s="19">
        <v>40324.868055555555</v>
      </c>
      <c r="AH133" t="s">
        <v>161</v>
      </c>
      <c r="AL133" t="s">
        <v>335</v>
      </c>
      <c r="AM133" s="20">
        <v>40322</v>
      </c>
      <c r="AR133" s="39" t="s">
        <v>400</v>
      </c>
      <c r="AS133" s="39"/>
      <c r="AT133" s="39">
        <v>200</v>
      </c>
      <c r="AZ133" t="s">
        <v>108</v>
      </c>
      <c r="BC133" t="s">
        <v>336</v>
      </c>
    </row>
    <row r="134" spans="1:64" x14ac:dyDescent="0.25">
      <c r="A134" t="str">
        <f t="shared" si="2"/>
        <v>A69-9002-2511</v>
      </c>
      <c r="B134" t="s">
        <v>398</v>
      </c>
      <c r="C134" t="s">
        <v>324</v>
      </c>
      <c r="D134" t="s">
        <v>325</v>
      </c>
      <c r="F134">
        <v>2511</v>
      </c>
      <c r="G134" t="s">
        <v>326</v>
      </c>
      <c r="H134" t="s">
        <v>327</v>
      </c>
      <c r="I134" s="20">
        <v>40322</v>
      </c>
      <c r="J134">
        <v>80</v>
      </c>
      <c r="L134" t="s">
        <v>109</v>
      </c>
      <c r="M134" t="s">
        <v>328</v>
      </c>
      <c r="N134" t="s">
        <v>329</v>
      </c>
      <c r="O134" t="s">
        <v>330</v>
      </c>
      <c r="P134" t="s">
        <v>338</v>
      </c>
      <c r="U134">
        <v>0.54</v>
      </c>
      <c r="V134">
        <v>0.247</v>
      </c>
      <c r="W134" t="s">
        <v>399</v>
      </c>
      <c r="Y134" t="s">
        <v>337</v>
      </c>
      <c r="AB134" t="s">
        <v>340</v>
      </c>
      <c r="AC134" t="s">
        <v>334</v>
      </c>
      <c r="AD134" s="34">
        <v>46.169359630000002</v>
      </c>
      <c r="AE134" s="34">
        <v>-84.077210289999996</v>
      </c>
      <c r="AF134" s="18">
        <v>40325.034722222219</v>
      </c>
      <c r="AG134" s="19">
        <v>40324.868055555555</v>
      </c>
      <c r="AH134" t="s">
        <v>161</v>
      </c>
      <c r="AL134" t="s">
        <v>335</v>
      </c>
      <c r="AM134" s="20">
        <v>40322</v>
      </c>
      <c r="AR134" s="39" t="s">
        <v>400</v>
      </c>
      <c r="AS134" s="39"/>
      <c r="AT134" s="39">
        <v>200</v>
      </c>
      <c r="AZ134" t="s">
        <v>108</v>
      </c>
      <c r="BC134" t="s">
        <v>336</v>
      </c>
    </row>
    <row r="135" spans="1:64" x14ac:dyDescent="0.25">
      <c r="A135" t="str">
        <f t="shared" si="2"/>
        <v>A69-9002-2512</v>
      </c>
      <c r="B135" t="s">
        <v>398</v>
      </c>
      <c r="C135" t="s">
        <v>324</v>
      </c>
      <c r="D135" t="s">
        <v>325</v>
      </c>
      <c r="F135">
        <v>2512</v>
      </c>
      <c r="G135" t="s">
        <v>326</v>
      </c>
      <c r="H135" t="s">
        <v>327</v>
      </c>
      <c r="I135" s="20">
        <v>40322</v>
      </c>
      <c r="J135">
        <v>80</v>
      </c>
      <c r="L135" t="s">
        <v>109</v>
      </c>
      <c r="M135" t="s">
        <v>328</v>
      </c>
      <c r="N135" t="s">
        <v>329</v>
      </c>
      <c r="O135" t="s">
        <v>330</v>
      </c>
      <c r="P135" t="s">
        <v>338</v>
      </c>
      <c r="U135">
        <v>0.56000000000000005</v>
      </c>
      <c r="V135">
        <v>0.371</v>
      </c>
      <c r="W135" t="s">
        <v>399</v>
      </c>
      <c r="Y135" t="s">
        <v>337</v>
      </c>
      <c r="AB135" t="s">
        <v>340</v>
      </c>
      <c r="AC135" t="s">
        <v>334</v>
      </c>
      <c r="AD135" s="34">
        <v>46.169359630000002</v>
      </c>
      <c r="AE135" s="34">
        <v>-84.077210289999996</v>
      </c>
      <c r="AF135" s="18">
        <v>40325.034722222219</v>
      </c>
      <c r="AG135" s="19">
        <v>40324.868055555555</v>
      </c>
      <c r="AH135" t="s">
        <v>161</v>
      </c>
      <c r="AL135" t="s">
        <v>335</v>
      </c>
      <c r="AM135" s="20">
        <v>40322</v>
      </c>
      <c r="AR135" s="39" t="s">
        <v>400</v>
      </c>
      <c r="AS135" s="39"/>
      <c r="AT135" s="39">
        <v>200</v>
      </c>
      <c r="AZ135" t="s">
        <v>108</v>
      </c>
      <c r="BC135" t="s">
        <v>336</v>
      </c>
    </row>
    <row r="136" spans="1:64" x14ac:dyDescent="0.25">
      <c r="A136" t="str">
        <f t="shared" si="2"/>
        <v>A69-9002-2513</v>
      </c>
      <c r="B136" t="s">
        <v>398</v>
      </c>
      <c r="C136" t="s">
        <v>324</v>
      </c>
      <c r="D136" t="s">
        <v>325</v>
      </c>
      <c r="F136">
        <v>2513</v>
      </c>
      <c r="G136" t="s">
        <v>326</v>
      </c>
      <c r="H136" t="s">
        <v>327</v>
      </c>
      <c r="I136" s="20">
        <v>40322</v>
      </c>
      <c r="J136">
        <v>80</v>
      </c>
      <c r="L136" t="s">
        <v>109</v>
      </c>
      <c r="M136" t="s">
        <v>328</v>
      </c>
      <c r="N136" t="s">
        <v>329</v>
      </c>
      <c r="O136" t="s">
        <v>330</v>
      </c>
      <c r="P136" t="s">
        <v>338</v>
      </c>
      <c r="U136">
        <v>0.52</v>
      </c>
      <c r="V136">
        <v>0.27300000000000002</v>
      </c>
      <c r="W136" t="s">
        <v>399</v>
      </c>
      <c r="Y136" t="s">
        <v>337</v>
      </c>
      <c r="AB136" t="s">
        <v>340</v>
      </c>
      <c r="AC136" t="s">
        <v>334</v>
      </c>
      <c r="AD136" s="34">
        <v>46.169359630000002</v>
      </c>
      <c r="AE136" s="34">
        <v>-84.077210289999996</v>
      </c>
      <c r="AF136" s="18">
        <v>40325.034722222219</v>
      </c>
      <c r="AG136" s="19">
        <v>40324.868055555555</v>
      </c>
      <c r="AH136" t="s">
        <v>161</v>
      </c>
      <c r="AL136" t="s">
        <v>335</v>
      </c>
      <c r="AM136" s="20">
        <v>40322</v>
      </c>
      <c r="AR136" s="39" t="s">
        <v>400</v>
      </c>
      <c r="AS136" s="39"/>
      <c r="AT136" s="39">
        <v>200</v>
      </c>
      <c r="AZ136" t="s">
        <v>108</v>
      </c>
      <c r="BC136" t="s">
        <v>336</v>
      </c>
    </row>
    <row r="137" spans="1:64" x14ac:dyDescent="0.25">
      <c r="A137" t="str">
        <f t="shared" si="2"/>
        <v>A69-9002-2514</v>
      </c>
      <c r="B137" t="s">
        <v>398</v>
      </c>
      <c r="C137" t="s">
        <v>324</v>
      </c>
      <c r="D137" t="s">
        <v>325</v>
      </c>
      <c r="F137">
        <v>2514</v>
      </c>
      <c r="G137" t="s">
        <v>326</v>
      </c>
      <c r="H137" t="s">
        <v>327</v>
      </c>
      <c r="I137" s="20">
        <v>40322</v>
      </c>
      <c r="J137">
        <v>80</v>
      </c>
      <c r="L137" t="s">
        <v>109</v>
      </c>
      <c r="M137" t="s">
        <v>328</v>
      </c>
      <c r="N137" t="s">
        <v>329</v>
      </c>
      <c r="O137" t="s">
        <v>330</v>
      </c>
      <c r="P137" t="s">
        <v>338</v>
      </c>
      <c r="U137">
        <v>0.5</v>
      </c>
      <c r="V137">
        <v>0.26600000000000001</v>
      </c>
      <c r="W137" t="s">
        <v>399</v>
      </c>
      <c r="Y137" t="s">
        <v>337</v>
      </c>
      <c r="AB137" t="s">
        <v>340</v>
      </c>
      <c r="AC137" t="s">
        <v>334</v>
      </c>
      <c r="AD137" s="34">
        <v>46.169359630000002</v>
      </c>
      <c r="AE137" s="34">
        <v>-84.077210289999996</v>
      </c>
      <c r="AF137" s="18">
        <v>40325.034722222219</v>
      </c>
      <c r="AG137" s="19">
        <v>40324.868055555555</v>
      </c>
      <c r="AH137" t="s">
        <v>161</v>
      </c>
      <c r="AL137" t="s">
        <v>335</v>
      </c>
      <c r="AM137" s="20">
        <v>40322</v>
      </c>
      <c r="AR137" s="39" t="s">
        <v>400</v>
      </c>
      <c r="AS137" s="39"/>
      <c r="AT137" s="39">
        <v>200</v>
      </c>
      <c r="AZ137" t="s">
        <v>108</v>
      </c>
      <c r="BC137" t="s">
        <v>336</v>
      </c>
    </row>
    <row r="138" spans="1:64" x14ac:dyDescent="0.25">
      <c r="A138" t="str">
        <f t="shared" si="2"/>
        <v>A69-9002-2515</v>
      </c>
      <c r="B138" t="s">
        <v>398</v>
      </c>
      <c r="C138" t="s">
        <v>324</v>
      </c>
      <c r="D138" t="s">
        <v>325</v>
      </c>
      <c r="F138">
        <v>2515</v>
      </c>
      <c r="G138" t="s">
        <v>326</v>
      </c>
      <c r="H138" t="s">
        <v>327</v>
      </c>
      <c r="I138" s="20">
        <v>40322</v>
      </c>
      <c r="J138">
        <v>80</v>
      </c>
      <c r="L138" t="s">
        <v>109</v>
      </c>
      <c r="M138" t="s">
        <v>328</v>
      </c>
      <c r="N138" t="s">
        <v>329</v>
      </c>
      <c r="O138" t="s">
        <v>330</v>
      </c>
      <c r="P138" t="s">
        <v>338</v>
      </c>
      <c r="U138">
        <v>0.48</v>
      </c>
      <c r="V138">
        <v>0.23799999999999999</v>
      </c>
      <c r="W138" t="s">
        <v>399</v>
      </c>
      <c r="Y138" t="s">
        <v>337</v>
      </c>
      <c r="AB138" t="s">
        <v>340</v>
      </c>
      <c r="AC138" t="s">
        <v>334</v>
      </c>
      <c r="AD138" s="34">
        <v>46.169359630000002</v>
      </c>
      <c r="AE138" s="34">
        <v>-84.077210289999996</v>
      </c>
      <c r="AF138" s="18">
        <v>40325.034722222219</v>
      </c>
      <c r="AG138" s="19">
        <v>40324.868055555555</v>
      </c>
      <c r="AH138" t="s">
        <v>161</v>
      </c>
      <c r="AL138" t="s">
        <v>335</v>
      </c>
      <c r="AM138" s="20">
        <v>40322</v>
      </c>
      <c r="AR138" s="39" t="s">
        <v>400</v>
      </c>
      <c r="AS138" s="39"/>
      <c r="AT138" s="39">
        <v>200</v>
      </c>
      <c r="AZ138" t="s">
        <v>108</v>
      </c>
      <c r="BC138" t="s">
        <v>336</v>
      </c>
    </row>
    <row r="139" spans="1:64" x14ac:dyDescent="0.25">
      <c r="A139" t="str">
        <f t="shared" si="2"/>
        <v>A69-9002-2516</v>
      </c>
      <c r="B139" t="s">
        <v>398</v>
      </c>
      <c r="C139" t="s">
        <v>324</v>
      </c>
      <c r="D139" t="s">
        <v>325</v>
      </c>
      <c r="F139">
        <v>2516</v>
      </c>
      <c r="G139" t="s">
        <v>326</v>
      </c>
      <c r="H139" t="s">
        <v>327</v>
      </c>
      <c r="I139" s="20">
        <v>40322</v>
      </c>
      <c r="J139">
        <v>80</v>
      </c>
      <c r="L139" t="s">
        <v>109</v>
      </c>
      <c r="M139" t="s">
        <v>328</v>
      </c>
      <c r="N139" t="s">
        <v>329</v>
      </c>
      <c r="O139" t="s">
        <v>330</v>
      </c>
      <c r="P139" t="s">
        <v>338</v>
      </c>
      <c r="U139">
        <v>0.48</v>
      </c>
      <c r="V139">
        <v>0.23799999999999999</v>
      </c>
      <c r="W139" t="s">
        <v>399</v>
      </c>
      <c r="Y139" t="s">
        <v>337</v>
      </c>
      <c r="AB139" t="s">
        <v>340</v>
      </c>
      <c r="AC139" t="s">
        <v>334</v>
      </c>
      <c r="AD139" s="34">
        <v>46.169359630000002</v>
      </c>
      <c r="AE139" s="34">
        <v>-84.077210289999996</v>
      </c>
      <c r="AF139" s="18">
        <v>40325.034722222219</v>
      </c>
      <c r="AG139" s="19">
        <v>40324.868055555555</v>
      </c>
      <c r="AH139" t="s">
        <v>161</v>
      </c>
      <c r="AL139" t="s">
        <v>335</v>
      </c>
      <c r="AM139" s="20">
        <v>40322</v>
      </c>
      <c r="AR139" s="39" t="s">
        <v>400</v>
      </c>
      <c r="AS139" s="39"/>
      <c r="AT139" s="39">
        <v>200</v>
      </c>
      <c r="AZ139" t="s">
        <v>108</v>
      </c>
      <c r="BC139" t="s">
        <v>336</v>
      </c>
    </row>
    <row r="140" spans="1:64" x14ac:dyDescent="0.25">
      <c r="A140" t="str">
        <f t="shared" si="2"/>
        <v>A69-9002-2517</v>
      </c>
      <c r="B140" t="s">
        <v>398</v>
      </c>
      <c r="C140" t="s">
        <v>324</v>
      </c>
      <c r="D140" t="s">
        <v>325</v>
      </c>
      <c r="F140">
        <v>2517</v>
      </c>
      <c r="G140" t="s">
        <v>326</v>
      </c>
      <c r="H140" t="s">
        <v>327</v>
      </c>
      <c r="I140" s="20">
        <v>40322</v>
      </c>
      <c r="J140">
        <v>80</v>
      </c>
      <c r="L140" t="s">
        <v>109</v>
      </c>
      <c r="M140" t="s">
        <v>328</v>
      </c>
      <c r="N140" t="s">
        <v>329</v>
      </c>
      <c r="O140" t="s">
        <v>330</v>
      </c>
      <c r="P140" t="s">
        <v>338</v>
      </c>
      <c r="U140">
        <v>0.52</v>
      </c>
      <c r="V140">
        <v>0.29199999999999998</v>
      </c>
      <c r="W140" t="s">
        <v>399</v>
      </c>
      <c r="Y140" t="s">
        <v>337</v>
      </c>
      <c r="AB140" t="s">
        <v>340</v>
      </c>
      <c r="AC140" t="s">
        <v>334</v>
      </c>
      <c r="AD140" s="34">
        <v>46.169359630000002</v>
      </c>
      <c r="AE140" s="34">
        <v>-84.077210289999996</v>
      </c>
      <c r="AF140" s="18">
        <v>40325.034722222219</v>
      </c>
      <c r="AG140" s="19">
        <v>40324.868055555555</v>
      </c>
      <c r="AH140" t="s">
        <v>161</v>
      </c>
      <c r="AL140" t="s">
        <v>335</v>
      </c>
      <c r="AM140" s="20">
        <v>40322</v>
      </c>
      <c r="AR140" s="39" t="s">
        <v>400</v>
      </c>
      <c r="AS140" s="39"/>
      <c r="AT140" s="39">
        <v>200</v>
      </c>
      <c r="AZ140" t="s">
        <v>108</v>
      </c>
      <c r="BC140" t="s">
        <v>336</v>
      </c>
    </row>
    <row r="141" spans="1:64" x14ac:dyDescent="0.25">
      <c r="A141" t="str">
        <f t="shared" si="2"/>
        <v>A69-9002-2518</v>
      </c>
      <c r="B141" t="s">
        <v>398</v>
      </c>
      <c r="C141" t="s">
        <v>324</v>
      </c>
      <c r="D141" t="s">
        <v>325</v>
      </c>
      <c r="F141">
        <v>2518</v>
      </c>
      <c r="G141" t="s">
        <v>326</v>
      </c>
      <c r="H141" t="s">
        <v>327</v>
      </c>
      <c r="I141" s="20">
        <v>40322</v>
      </c>
      <c r="J141">
        <v>80</v>
      </c>
      <c r="L141" t="s">
        <v>109</v>
      </c>
      <c r="M141" t="s">
        <v>328</v>
      </c>
      <c r="N141" t="s">
        <v>329</v>
      </c>
      <c r="O141" t="s">
        <v>330</v>
      </c>
      <c r="P141" t="s">
        <v>338</v>
      </c>
      <c r="U141">
        <v>0.49</v>
      </c>
      <c r="V141">
        <v>0.26</v>
      </c>
      <c r="W141" t="s">
        <v>399</v>
      </c>
      <c r="Y141" t="s">
        <v>332</v>
      </c>
      <c r="AB141" t="s">
        <v>340</v>
      </c>
      <c r="AC141" t="s">
        <v>334</v>
      </c>
      <c r="AD141" s="34">
        <v>46.169359630000002</v>
      </c>
      <c r="AE141" s="34">
        <v>-84.077210289999996</v>
      </c>
      <c r="AF141" s="18">
        <v>40325.034722222219</v>
      </c>
      <c r="AG141" s="19">
        <v>40324.868055555555</v>
      </c>
      <c r="AH141" t="s">
        <v>161</v>
      </c>
      <c r="AL141" t="s">
        <v>335</v>
      </c>
      <c r="AM141" s="20">
        <v>40322</v>
      </c>
      <c r="AR141" s="39" t="s">
        <v>400</v>
      </c>
      <c r="AS141" s="39"/>
      <c r="AT141" s="39">
        <v>200</v>
      </c>
      <c r="AZ141" t="s">
        <v>108</v>
      </c>
      <c r="BC141" t="s">
        <v>336</v>
      </c>
    </row>
    <row r="142" spans="1:64" x14ac:dyDescent="0.25">
      <c r="A142" t="str">
        <f t="shared" si="2"/>
        <v>A69-9002-2449</v>
      </c>
      <c r="B142" t="s">
        <v>398</v>
      </c>
      <c r="C142" t="s">
        <v>324</v>
      </c>
      <c r="D142" t="s">
        <v>325</v>
      </c>
      <c r="F142">
        <v>2449</v>
      </c>
      <c r="G142" t="s">
        <v>326</v>
      </c>
      <c r="H142" t="s">
        <v>327</v>
      </c>
      <c r="I142" s="20">
        <v>40322</v>
      </c>
      <c r="J142">
        <v>80</v>
      </c>
      <c r="L142" t="s">
        <v>109</v>
      </c>
      <c r="M142" t="s">
        <v>328</v>
      </c>
      <c r="N142" t="s">
        <v>329</v>
      </c>
      <c r="O142" t="s">
        <v>330</v>
      </c>
      <c r="P142" t="s">
        <v>338</v>
      </c>
      <c r="U142">
        <v>0.48</v>
      </c>
      <c r="V142">
        <v>0.24399999999999999</v>
      </c>
      <c r="W142" t="s">
        <v>399</v>
      </c>
      <c r="Y142" t="s">
        <v>332</v>
      </c>
      <c r="AB142" t="s">
        <v>340</v>
      </c>
      <c r="AC142" t="s">
        <v>334</v>
      </c>
      <c r="AD142" s="34">
        <v>46.169359630000002</v>
      </c>
      <c r="AE142" s="34">
        <v>-84.077210289999996</v>
      </c>
      <c r="AF142" s="18">
        <v>40325.034722222219</v>
      </c>
      <c r="AG142" s="19">
        <v>40324.868055555555</v>
      </c>
      <c r="AH142" t="s">
        <v>161</v>
      </c>
      <c r="AL142" t="s">
        <v>335</v>
      </c>
      <c r="AM142" s="20">
        <v>40322</v>
      </c>
      <c r="AR142" s="39" t="s">
        <v>400</v>
      </c>
      <c r="AS142" s="39"/>
      <c r="AT142" s="39">
        <v>200</v>
      </c>
      <c r="AZ142" t="s">
        <v>108</v>
      </c>
      <c r="BC142" t="s">
        <v>336</v>
      </c>
    </row>
    <row r="143" spans="1:64" x14ac:dyDescent="0.25">
      <c r="A143" t="str">
        <f t="shared" si="2"/>
        <v>A69-9002-2450</v>
      </c>
      <c r="B143" t="s">
        <v>398</v>
      </c>
      <c r="C143" t="s">
        <v>324</v>
      </c>
      <c r="D143" t="s">
        <v>325</v>
      </c>
      <c r="F143">
        <v>2450</v>
      </c>
      <c r="G143" t="s">
        <v>326</v>
      </c>
      <c r="H143" t="s">
        <v>327</v>
      </c>
      <c r="I143" s="20">
        <v>40322</v>
      </c>
      <c r="J143">
        <v>80</v>
      </c>
      <c r="L143" t="s">
        <v>109</v>
      </c>
      <c r="M143" t="s">
        <v>328</v>
      </c>
      <c r="N143" t="s">
        <v>329</v>
      </c>
      <c r="O143" t="s">
        <v>330</v>
      </c>
      <c r="P143" t="s">
        <v>338</v>
      </c>
      <c r="U143">
        <v>0.52</v>
      </c>
      <c r="V143">
        <v>0.28699999999999998</v>
      </c>
      <c r="W143" t="s">
        <v>399</v>
      </c>
      <c r="Y143" t="s">
        <v>337</v>
      </c>
      <c r="AB143" t="s">
        <v>340</v>
      </c>
      <c r="AC143" t="s">
        <v>334</v>
      </c>
      <c r="AD143" s="34">
        <v>46.169359630000002</v>
      </c>
      <c r="AE143" s="34">
        <v>-84.077210289999996</v>
      </c>
      <c r="AF143" s="18">
        <v>40325.034722222219</v>
      </c>
      <c r="AG143" s="19">
        <v>40324.868055555555</v>
      </c>
      <c r="AH143" t="s">
        <v>161</v>
      </c>
      <c r="AL143" t="s">
        <v>335</v>
      </c>
      <c r="AM143" s="20">
        <v>40322</v>
      </c>
      <c r="AR143" s="39" t="s">
        <v>400</v>
      </c>
      <c r="AS143" s="39"/>
      <c r="AT143" s="39">
        <v>200</v>
      </c>
      <c r="AZ143" t="s">
        <v>108</v>
      </c>
      <c r="BC143" t="s">
        <v>336</v>
      </c>
    </row>
    <row r="144" spans="1:64" x14ac:dyDescent="0.25">
      <c r="A144" t="str">
        <f t="shared" si="2"/>
        <v>A69-9002-2451</v>
      </c>
      <c r="B144" t="s">
        <v>398</v>
      </c>
      <c r="C144" t="s">
        <v>324</v>
      </c>
      <c r="D144" t="s">
        <v>325</v>
      </c>
      <c r="F144">
        <v>2451</v>
      </c>
      <c r="G144" t="s">
        <v>326</v>
      </c>
      <c r="H144" t="s">
        <v>327</v>
      </c>
      <c r="I144" s="20">
        <v>40322</v>
      </c>
      <c r="J144">
        <v>80</v>
      </c>
      <c r="L144" t="s">
        <v>109</v>
      </c>
      <c r="M144" t="s">
        <v>328</v>
      </c>
      <c r="N144" t="s">
        <v>329</v>
      </c>
      <c r="O144" t="s">
        <v>330</v>
      </c>
      <c r="P144" t="s">
        <v>338</v>
      </c>
      <c r="U144">
        <v>0.48</v>
      </c>
      <c r="V144">
        <v>0.22</v>
      </c>
      <c r="W144" t="s">
        <v>399</v>
      </c>
      <c r="Y144" t="s">
        <v>332</v>
      </c>
      <c r="AB144" t="s">
        <v>340</v>
      </c>
      <c r="AC144" t="s">
        <v>334</v>
      </c>
      <c r="AD144" s="34">
        <v>46.169359630000002</v>
      </c>
      <c r="AE144" s="34">
        <v>-84.077210289999996</v>
      </c>
      <c r="AF144" s="18">
        <v>40325.034722222219</v>
      </c>
      <c r="AG144" s="19">
        <v>40324.868055555555</v>
      </c>
      <c r="AH144" t="s">
        <v>161</v>
      </c>
      <c r="AL144" t="s">
        <v>335</v>
      </c>
      <c r="AM144" s="20">
        <v>40322</v>
      </c>
      <c r="AR144" s="39" t="s">
        <v>400</v>
      </c>
      <c r="AS144" s="39"/>
      <c r="AT144" s="39">
        <v>200</v>
      </c>
      <c r="AZ144" t="s">
        <v>108</v>
      </c>
      <c r="BC144" t="s">
        <v>336</v>
      </c>
    </row>
    <row r="145" spans="1:55" x14ac:dyDescent="0.25">
      <c r="A145" t="str">
        <f t="shared" si="2"/>
        <v>A69-9002-2452</v>
      </c>
      <c r="B145" t="s">
        <v>398</v>
      </c>
      <c r="C145" t="s">
        <v>324</v>
      </c>
      <c r="D145" t="s">
        <v>325</v>
      </c>
      <c r="F145">
        <v>2452</v>
      </c>
      <c r="G145" t="s">
        <v>326</v>
      </c>
      <c r="H145" t="s">
        <v>327</v>
      </c>
      <c r="I145" s="20">
        <v>40322</v>
      </c>
      <c r="J145">
        <v>80</v>
      </c>
      <c r="L145" t="s">
        <v>109</v>
      </c>
      <c r="M145" t="s">
        <v>328</v>
      </c>
      <c r="N145" t="s">
        <v>329</v>
      </c>
      <c r="O145" t="s">
        <v>330</v>
      </c>
      <c r="P145" t="s">
        <v>338</v>
      </c>
      <c r="U145">
        <v>0.47</v>
      </c>
      <c r="V145">
        <v>0.22900000000000001</v>
      </c>
      <c r="W145" t="s">
        <v>399</v>
      </c>
      <c r="Y145" t="s">
        <v>332</v>
      </c>
      <c r="AB145" t="s">
        <v>340</v>
      </c>
      <c r="AC145" t="s">
        <v>334</v>
      </c>
      <c r="AD145" s="34">
        <v>46.169359630000002</v>
      </c>
      <c r="AE145" s="34">
        <v>-84.077210289999996</v>
      </c>
      <c r="AF145" s="18">
        <v>40325.034722222219</v>
      </c>
      <c r="AG145" s="19">
        <v>40324.868055555555</v>
      </c>
      <c r="AH145" t="s">
        <v>161</v>
      </c>
      <c r="AL145" t="s">
        <v>335</v>
      </c>
      <c r="AM145" s="20">
        <v>40322</v>
      </c>
      <c r="AR145" s="39" t="s">
        <v>400</v>
      </c>
      <c r="AS145" s="39"/>
      <c r="AT145" s="39">
        <v>200</v>
      </c>
      <c r="AZ145" t="s">
        <v>108</v>
      </c>
      <c r="BC145" t="s">
        <v>336</v>
      </c>
    </row>
    <row r="146" spans="1:55" x14ac:dyDescent="0.25">
      <c r="A146" t="str">
        <f t="shared" si="2"/>
        <v>A69-9002-2453</v>
      </c>
      <c r="B146" t="s">
        <v>398</v>
      </c>
      <c r="C146" t="s">
        <v>324</v>
      </c>
      <c r="D146" t="s">
        <v>325</v>
      </c>
      <c r="F146">
        <v>2453</v>
      </c>
      <c r="G146" t="s">
        <v>326</v>
      </c>
      <c r="H146" t="s">
        <v>327</v>
      </c>
      <c r="I146" s="20">
        <v>40322</v>
      </c>
      <c r="J146">
        <v>80</v>
      </c>
      <c r="L146" t="s">
        <v>109</v>
      </c>
      <c r="M146" t="s">
        <v>328</v>
      </c>
      <c r="N146" t="s">
        <v>329</v>
      </c>
      <c r="O146" t="s">
        <v>330</v>
      </c>
      <c r="P146" t="s">
        <v>338</v>
      </c>
      <c r="U146">
        <v>0.5</v>
      </c>
      <c r="V146">
        <v>0.26800000000000002</v>
      </c>
      <c r="W146" t="s">
        <v>399</v>
      </c>
      <c r="Y146" t="s">
        <v>332</v>
      </c>
      <c r="AB146" t="s">
        <v>340</v>
      </c>
      <c r="AC146" t="s">
        <v>334</v>
      </c>
      <c r="AD146" s="34">
        <v>46.169359630000002</v>
      </c>
      <c r="AE146" s="34">
        <v>-84.077210289999996</v>
      </c>
      <c r="AF146" s="18">
        <v>40325.034722222219</v>
      </c>
      <c r="AG146" s="19">
        <v>40324.868055555555</v>
      </c>
      <c r="AH146" t="s">
        <v>161</v>
      </c>
      <c r="AL146" t="s">
        <v>335</v>
      </c>
      <c r="AM146" s="20">
        <v>40322</v>
      </c>
      <c r="AR146" s="39" t="s">
        <v>400</v>
      </c>
      <c r="AS146" s="39"/>
      <c r="AT146" s="39">
        <v>200</v>
      </c>
      <c r="AZ146" t="s">
        <v>108</v>
      </c>
      <c r="BC146" t="s">
        <v>336</v>
      </c>
    </row>
    <row r="147" spans="1:55" x14ac:dyDescent="0.25">
      <c r="A147" t="str">
        <f t="shared" si="2"/>
        <v>A69-9002-2454</v>
      </c>
      <c r="B147" t="s">
        <v>398</v>
      </c>
      <c r="C147" t="s">
        <v>324</v>
      </c>
      <c r="D147" t="s">
        <v>325</v>
      </c>
      <c r="F147">
        <v>2454</v>
      </c>
      <c r="G147" t="s">
        <v>326</v>
      </c>
      <c r="H147" t="s">
        <v>327</v>
      </c>
      <c r="I147" s="20">
        <v>40322</v>
      </c>
      <c r="J147">
        <v>80</v>
      </c>
      <c r="L147" t="s">
        <v>109</v>
      </c>
      <c r="M147" t="s">
        <v>328</v>
      </c>
      <c r="N147" t="s">
        <v>329</v>
      </c>
      <c r="O147" t="s">
        <v>330</v>
      </c>
      <c r="P147" t="s">
        <v>338</v>
      </c>
      <c r="U147">
        <v>0.48</v>
      </c>
      <c r="V147">
        <v>0.2</v>
      </c>
      <c r="W147" t="s">
        <v>399</v>
      </c>
      <c r="Y147" t="s">
        <v>337</v>
      </c>
      <c r="AB147" t="s">
        <v>340</v>
      </c>
      <c r="AC147" t="s">
        <v>334</v>
      </c>
      <c r="AD147" s="34">
        <v>46.169359630000002</v>
      </c>
      <c r="AE147" s="34">
        <v>-84.077210289999996</v>
      </c>
      <c r="AF147" s="18">
        <v>40325.034722222219</v>
      </c>
      <c r="AG147" s="19">
        <v>40324.868055555555</v>
      </c>
      <c r="AH147" t="s">
        <v>161</v>
      </c>
      <c r="AL147" t="s">
        <v>335</v>
      </c>
      <c r="AM147" s="20">
        <v>40322</v>
      </c>
      <c r="AR147" s="39" t="s">
        <v>400</v>
      </c>
      <c r="AS147" s="39"/>
      <c r="AT147" s="39">
        <v>200</v>
      </c>
      <c r="AZ147" t="s">
        <v>108</v>
      </c>
      <c r="BC147" t="s">
        <v>336</v>
      </c>
    </row>
    <row r="148" spans="1:55" x14ac:dyDescent="0.25">
      <c r="A148" t="str">
        <f t="shared" si="2"/>
        <v>A69-9002-2455</v>
      </c>
      <c r="B148" t="s">
        <v>398</v>
      </c>
      <c r="C148" t="s">
        <v>324</v>
      </c>
      <c r="D148" t="s">
        <v>325</v>
      </c>
      <c r="F148">
        <v>2455</v>
      </c>
      <c r="G148" t="s">
        <v>326</v>
      </c>
      <c r="H148" t="s">
        <v>327</v>
      </c>
      <c r="I148" s="20">
        <v>40322</v>
      </c>
      <c r="J148">
        <v>80</v>
      </c>
      <c r="L148" t="s">
        <v>109</v>
      </c>
      <c r="M148" t="s">
        <v>328</v>
      </c>
      <c r="N148" t="s">
        <v>329</v>
      </c>
      <c r="O148" t="s">
        <v>330</v>
      </c>
      <c r="P148" t="s">
        <v>338</v>
      </c>
      <c r="U148">
        <v>0.51</v>
      </c>
      <c r="V148">
        <v>0.24299999999999999</v>
      </c>
      <c r="W148" t="s">
        <v>399</v>
      </c>
      <c r="Y148" t="s">
        <v>337</v>
      </c>
      <c r="AB148" t="s">
        <v>340</v>
      </c>
      <c r="AC148" t="s">
        <v>334</v>
      </c>
      <c r="AD148" s="34">
        <v>46.169359630000002</v>
      </c>
      <c r="AE148" s="34">
        <v>-84.077210289999996</v>
      </c>
      <c r="AF148" s="18">
        <v>40325.034722222219</v>
      </c>
      <c r="AG148" s="19">
        <v>40324.868055555555</v>
      </c>
      <c r="AH148" t="s">
        <v>161</v>
      </c>
      <c r="AL148" t="s">
        <v>335</v>
      </c>
      <c r="AM148" s="20">
        <v>40322</v>
      </c>
      <c r="AR148" s="39" t="s">
        <v>400</v>
      </c>
      <c r="AS148" s="39"/>
      <c r="AT148" s="39">
        <v>200</v>
      </c>
      <c r="AZ148" t="s">
        <v>108</v>
      </c>
      <c r="BC148" t="s">
        <v>336</v>
      </c>
    </row>
    <row r="149" spans="1:55" x14ac:dyDescent="0.25">
      <c r="A149" t="str">
        <f t="shared" si="2"/>
        <v>A69-9002-2456</v>
      </c>
      <c r="B149" t="s">
        <v>398</v>
      </c>
      <c r="C149" t="s">
        <v>324</v>
      </c>
      <c r="D149" t="s">
        <v>325</v>
      </c>
      <c r="F149">
        <v>2456</v>
      </c>
      <c r="G149" t="s">
        <v>326</v>
      </c>
      <c r="H149" t="s">
        <v>327</v>
      </c>
      <c r="I149" s="20">
        <v>40322</v>
      </c>
      <c r="J149">
        <v>80</v>
      </c>
      <c r="L149" t="s">
        <v>109</v>
      </c>
      <c r="M149" t="s">
        <v>328</v>
      </c>
      <c r="N149" t="s">
        <v>329</v>
      </c>
      <c r="O149" t="s">
        <v>330</v>
      </c>
      <c r="P149" t="s">
        <v>338</v>
      </c>
      <c r="U149">
        <v>0.47</v>
      </c>
      <c r="V149">
        <v>0.22500000000000001</v>
      </c>
      <c r="W149" t="s">
        <v>399</v>
      </c>
      <c r="Y149" t="s">
        <v>337</v>
      </c>
      <c r="AB149" t="s">
        <v>340</v>
      </c>
      <c r="AC149" t="s">
        <v>334</v>
      </c>
      <c r="AD149" s="34">
        <v>46.169359630000002</v>
      </c>
      <c r="AE149" s="34">
        <v>-84.077210289999996</v>
      </c>
      <c r="AF149" s="18">
        <v>40325.034722222219</v>
      </c>
      <c r="AG149" s="19">
        <v>40324.868055555555</v>
      </c>
      <c r="AH149" t="s">
        <v>161</v>
      </c>
      <c r="AL149" t="s">
        <v>335</v>
      </c>
      <c r="AM149" s="20">
        <v>40322</v>
      </c>
      <c r="AR149" s="39" t="s">
        <v>400</v>
      </c>
      <c r="AS149" s="39"/>
      <c r="AT149" s="39">
        <v>200</v>
      </c>
      <c r="AZ149" t="s">
        <v>108</v>
      </c>
      <c r="BC149" t="s">
        <v>336</v>
      </c>
    </row>
    <row r="150" spans="1:55" x14ac:dyDescent="0.25">
      <c r="A150" t="str">
        <f t="shared" si="2"/>
        <v>A69-9002-2477</v>
      </c>
      <c r="B150" t="s">
        <v>398</v>
      </c>
      <c r="C150" t="s">
        <v>324</v>
      </c>
      <c r="D150" t="s">
        <v>325</v>
      </c>
      <c r="F150">
        <v>2477</v>
      </c>
      <c r="G150" t="s">
        <v>326</v>
      </c>
      <c r="H150" t="s">
        <v>327</v>
      </c>
      <c r="I150" s="20">
        <v>40322</v>
      </c>
      <c r="J150">
        <v>80</v>
      </c>
      <c r="L150" t="s">
        <v>109</v>
      </c>
      <c r="M150" t="s">
        <v>328</v>
      </c>
      <c r="N150" t="s">
        <v>329</v>
      </c>
      <c r="O150" t="s">
        <v>330</v>
      </c>
      <c r="P150" t="s">
        <v>338</v>
      </c>
      <c r="U150">
        <v>0.52</v>
      </c>
      <c r="V150">
        <v>0.26900000000000002</v>
      </c>
      <c r="W150" t="s">
        <v>399</v>
      </c>
      <c r="Y150" t="s">
        <v>332</v>
      </c>
      <c r="AB150" t="s">
        <v>340</v>
      </c>
      <c r="AC150" t="s">
        <v>334</v>
      </c>
      <c r="AD150" s="34">
        <v>46.169359630000002</v>
      </c>
      <c r="AE150" s="34">
        <v>-84.077210289999996</v>
      </c>
      <c r="AF150" s="18">
        <v>40325.034722222219</v>
      </c>
      <c r="AG150" s="19">
        <v>40324.868055555555</v>
      </c>
      <c r="AH150" t="s">
        <v>161</v>
      </c>
      <c r="AL150" t="s">
        <v>335</v>
      </c>
      <c r="AM150" s="20">
        <v>40322</v>
      </c>
      <c r="AR150" s="39" t="s">
        <v>400</v>
      </c>
      <c r="AS150" s="39"/>
      <c r="AT150" s="39">
        <v>200</v>
      </c>
      <c r="AZ150" t="s">
        <v>108</v>
      </c>
      <c r="BC150" t="s">
        <v>336</v>
      </c>
    </row>
    <row r="151" spans="1:55" x14ac:dyDescent="0.25">
      <c r="A151" t="str">
        <f t="shared" si="2"/>
        <v>A69-9002-2476</v>
      </c>
      <c r="B151" t="s">
        <v>398</v>
      </c>
      <c r="C151" t="s">
        <v>324</v>
      </c>
      <c r="D151" t="s">
        <v>325</v>
      </c>
      <c r="F151">
        <v>2476</v>
      </c>
      <c r="G151" t="s">
        <v>326</v>
      </c>
      <c r="H151" t="s">
        <v>327</v>
      </c>
      <c r="I151" s="20">
        <v>40322</v>
      </c>
      <c r="J151">
        <v>80</v>
      </c>
      <c r="L151" t="s">
        <v>109</v>
      </c>
      <c r="M151" t="s">
        <v>328</v>
      </c>
      <c r="N151" t="s">
        <v>329</v>
      </c>
      <c r="O151" t="s">
        <v>330</v>
      </c>
      <c r="P151" t="s">
        <v>338</v>
      </c>
      <c r="U151">
        <v>0.55000000000000004</v>
      </c>
      <c r="V151">
        <v>0.32400000000000001</v>
      </c>
      <c r="W151" t="s">
        <v>399</v>
      </c>
      <c r="Y151" t="s">
        <v>332</v>
      </c>
      <c r="AB151" t="s">
        <v>340</v>
      </c>
      <c r="AC151" t="s">
        <v>334</v>
      </c>
      <c r="AD151" s="34">
        <v>46.169359630000002</v>
      </c>
      <c r="AE151" s="34">
        <v>-84.077210289999996</v>
      </c>
      <c r="AF151" s="18">
        <v>40325.034722222219</v>
      </c>
      <c r="AG151" s="19">
        <v>40324.868055555555</v>
      </c>
      <c r="AH151" t="s">
        <v>161</v>
      </c>
      <c r="AL151" t="s">
        <v>335</v>
      </c>
      <c r="AM151" s="20">
        <v>40322</v>
      </c>
      <c r="AR151" s="39" t="s">
        <v>400</v>
      </c>
      <c r="AS151" s="39"/>
      <c r="AT151" s="39">
        <v>200</v>
      </c>
      <c r="AZ151" t="s">
        <v>108</v>
      </c>
      <c r="BC151" t="s">
        <v>336</v>
      </c>
    </row>
    <row r="152" spans="1:55" x14ac:dyDescent="0.25">
      <c r="A152" t="str">
        <f t="shared" si="2"/>
        <v>A69-9002-2474</v>
      </c>
      <c r="B152" t="s">
        <v>398</v>
      </c>
      <c r="C152" t="s">
        <v>324</v>
      </c>
      <c r="D152" t="s">
        <v>325</v>
      </c>
      <c r="F152">
        <v>2474</v>
      </c>
      <c r="G152" t="s">
        <v>326</v>
      </c>
      <c r="H152" t="s">
        <v>327</v>
      </c>
      <c r="I152" s="20">
        <v>40322</v>
      </c>
      <c r="J152">
        <v>80</v>
      </c>
      <c r="L152" t="s">
        <v>109</v>
      </c>
      <c r="M152" t="s">
        <v>328</v>
      </c>
      <c r="N152" t="s">
        <v>329</v>
      </c>
      <c r="O152" t="s">
        <v>330</v>
      </c>
      <c r="P152" t="s">
        <v>338</v>
      </c>
      <c r="U152">
        <v>0.51</v>
      </c>
      <c r="V152">
        <v>0.28899999999999998</v>
      </c>
      <c r="W152" t="s">
        <v>399</v>
      </c>
      <c r="Y152" t="s">
        <v>332</v>
      </c>
      <c r="AB152" t="s">
        <v>340</v>
      </c>
      <c r="AC152" t="s">
        <v>334</v>
      </c>
      <c r="AD152" s="34">
        <v>46.169359630000002</v>
      </c>
      <c r="AE152" s="34">
        <v>-84.077210289999996</v>
      </c>
      <c r="AF152" s="18">
        <v>40325.034722222219</v>
      </c>
      <c r="AG152" s="19">
        <v>40324.868055555555</v>
      </c>
      <c r="AH152" t="s">
        <v>161</v>
      </c>
      <c r="AL152" t="s">
        <v>335</v>
      </c>
      <c r="AM152" s="20">
        <v>40322</v>
      </c>
      <c r="AR152" s="39" t="s">
        <v>400</v>
      </c>
      <c r="AS152" s="39"/>
      <c r="AT152" s="39">
        <v>200</v>
      </c>
      <c r="AZ152" t="s">
        <v>108</v>
      </c>
      <c r="BC152" t="s">
        <v>336</v>
      </c>
    </row>
    <row r="153" spans="1:55" x14ac:dyDescent="0.25">
      <c r="A153" t="str">
        <f t="shared" si="2"/>
        <v>A69-9002-2347</v>
      </c>
      <c r="B153" t="s">
        <v>398</v>
      </c>
      <c r="C153" t="s">
        <v>324</v>
      </c>
      <c r="D153" t="s">
        <v>325</v>
      </c>
      <c r="F153">
        <v>2347</v>
      </c>
      <c r="G153" t="s">
        <v>326</v>
      </c>
      <c r="H153" t="s">
        <v>327</v>
      </c>
      <c r="I153" s="20">
        <v>40290</v>
      </c>
      <c r="J153">
        <v>80</v>
      </c>
      <c r="L153" t="s">
        <v>109</v>
      </c>
      <c r="M153" t="s">
        <v>328</v>
      </c>
      <c r="N153" t="s">
        <v>329</v>
      </c>
      <c r="O153" t="s">
        <v>330</v>
      </c>
      <c r="P153" t="s">
        <v>331</v>
      </c>
      <c r="U153">
        <v>0.56000000000000005</v>
      </c>
      <c r="V153">
        <v>0.314</v>
      </c>
      <c r="W153" t="s">
        <v>399</v>
      </c>
      <c r="Y153" t="s">
        <v>332</v>
      </c>
      <c r="AB153" t="s">
        <v>341</v>
      </c>
      <c r="AC153" t="s">
        <v>342</v>
      </c>
      <c r="AD153">
        <v>46.304110000000001</v>
      </c>
      <c r="AE153">
        <v>-84.056880000000007</v>
      </c>
      <c r="AF153" s="18">
        <v>40294.090277777781</v>
      </c>
      <c r="AG153" s="19">
        <v>40293.923611111109</v>
      </c>
      <c r="AH153" t="s">
        <v>161</v>
      </c>
      <c r="AL153" t="s">
        <v>335</v>
      </c>
      <c r="AM153" s="20">
        <v>40290</v>
      </c>
      <c r="AR153" s="39" t="s">
        <v>400</v>
      </c>
      <c r="AS153" s="39"/>
      <c r="AT153" s="39">
        <v>200</v>
      </c>
      <c r="AZ153" t="s">
        <v>108</v>
      </c>
      <c r="BC153" t="s">
        <v>336</v>
      </c>
    </row>
    <row r="154" spans="1:55" x14ac:dyDescent="0.25">
      <c r="A154" t="str">
        <f t="shared" si="2"/>
        <v>A69-9002-2363</v>
      </c>
      <c r="B154" t="s">
        <v>398</v>
      </c>
      <c r="C154" t="s">
        <v>324</v>
      </c>
      <c r="D154" t="s">
        <v>325</v>
      </c>
      <c r="F154">
        <v>2363</v>
      </c>
      <c r="G154" t="s">
        <v>326</v>
      </c>
      <c r="H154" t="s">
        <v>327</v>
      </c>
      <c r="I154" s="20">
        <v>40291</v>
      </c>
      <c r="J154">
        <v>80</v>
      </c>
      <c r="L154" t="s">
        <v>109</v>
      </c>
      <c r="M154" t="s">
        <v>328</v>
      </c>
      <c r="N154" t="s">
        <v>329</v>
      </c>
      <c r="O154" t="s">
        <v>330</v>
      </c>
      <c r="P154" t="s">
        <v>331</v>
      </c>
      <c r="U154">
        <v>0.5</v>
      </c>
      <c r="V154">
        <v>0.24399999999999999</v>
      </c>
      <c r="W154" t="s">
        <v>399</v>
      </c>
      <c r="Y154" t="s">
        <v>332</v>
      </c>
      <c r="AB154" t="s">
        <v>341</v>
      </c>
      <c r="AC154" t="s">
        <v>342</v>
      </c>
      <c r="AD154">
        <v>46.304110000000001</v>
      </c>
      <c r="AE154">
        <v>-84.056880000000007</v>
      </c>
      <c r="AF154" s="18">
        <v>40294.090277777781</v>
      </c>
      <c r="AG154" s="19">
        <v>40293.923611111109</v>
      </c>
      <c r="AH154" t="s">
        <v>161</v>
      </c>
      <c r="AL154" t="s">
        <v>335</v>
      </c>
      <c r="AM154" s="20">
        <v>40291</v>
      </c>
      <c r="AR154" s="39" t="s">
        <v>400</v>
      </c>
      <c r="AS154" s="39"/>
      <c r="AT154" s="39">
        <v>200</v>
      </c>
      <c r="AZ154" t="s">
        <v>108</v>
      </c>
      <c r="BC154" t="s">
        <v>336</v>
      </c>
    </row>
    <row r="155" spans="1:55" x14ac:dyDescent="0.25">
      <c r="A155" t="str">
        <f t="shared" si="2"/>
        <v>A69-9002-2334</v>
      </c>
      <c r="B155" t="s">
        <v>398</v>
      </c>
      <c r="C155" t="s">
        <v>324</v>
      </c>
      <c r="D155" t="s">
        <v>325</v>
      </c>
      <c r="F155">
        <v>2334</v>
      </c>
      <c r="G155" t="s">
        <v>326</v>
      </c>
      <c r="H155" t="s">
        <v>327</v>
      </c>
      <c r="I155" s="20">
        <v>40290</v>
      </c>
      <c r="J155">
        <v>80</v>
      </c>
      <c r="L155" t="s">
        <v>109</v>
      </c>
      <c r="M155" t="s">
        <v>328</v>
      </c>
      <c r="N155" t="s">
        <v>329</v>
      </c>
      <c r="O155" t="s">
        <v>330</v>
      </c>
      <c r="P155" t="s">
        <v>331</v>
      </c>
      <c r="U155">
        <v>0.51</v>
      </c>
      <c r="V155">
        <v>0.25700000000000001</v>
      </c>
      <c r="W155" t="s">
        <v>399</v>
      </c>
      <c r="Y155" t="s">
        <v>337</v>
      </c>
      <c r="AB155" t="s">
        <v>341</v>
      </c>
      <c r="AC155" t="s">
        <v>342</v>
      </c>
      <c r="AD155">
        <v>46.304110000000001</v>
      </c>
      <c r="AE155">
        <v>-84.056880000000007</v>
      </c>
      <c r="AF155" s="18">
        <v>40294.090277777781</v>
      </c>
      <c r="AG155" s="19">
        <v>40293.923611111109</v>
      </c>
      <c r="AH155" t="s">
        <v>161</v>
      </c>
      <c r="AL155" t="s">
        <v>335</v>
      </c>
      <c r="AM155" s="20">
        <v>40290</v>
      </c>
      <c r="AR155" s="39" t="s">
        <v>400</v>
      </c>
      <c r="AS155" s="39"/>
      <c r="AT155" s="39">
        <v>200</v>
      </c>
      <c r="AZ155" t="s">
        <v>108</v>
      </c>
      <c r="BC155" t="s">
        <v>336</v>
      </c>
    </row>
    <row r="156" spans="1:55" x14ac:dyDescent="0.25">
      <c r="A156" t="str">
        <f t="shared" si="2"/>
        <v>A69-9002-2338</v>
      </c>
      <c r="B156" t="s">
        <v>398</v>
      </c>
      <c r="C156" t="s">
        <v>324</v>
      </c>
      <c r="D156" t="s">
        <v>325</v>
      </c>
      <c r="F156">
        <v>2338</v>
      </c>
      <c r="G156" t="s">
        <v>326</v>
      </c>
      <c r="H156" t="s">
        <v>327</v>
      </c>
      <c r="I156" s="20">
        <v>40290</v>
      </c>
      <c r="J156">
        <v>80</v>
      </c>
      <c r="L156" t="s">
        <v>109</v>
      </c>
      <c r="M156" t="s">
        <v>328</v>
      </c>
      <c r="N156" t="s">
        <v>329</v>
      </c>
      <c r="O156" t="s">
        <v>330</v>
      </c>
      <c r="P156" t="s">
        <v>331</v>
      </c>
      <c r="U156">
        <v>0.54</v>
      </c>
      <c r="V156">
        <v>0.32</v>
      </c>
      <c r="W156" t="s">
        <v>399</v>
      </c>
      <c r="Y156" t="s">
        <v>337</v>
      </c>
      <c r="AB156" t="s">
        <v>341</v>
      </c>
      <c r="AC156" t="s">
        <v>342</v>
      </c>
      <c r="AD156">
        <v>46.304110000000001</v>
      </c>
      <c r="AE156">
        <v>-84.056880000000007</v>
      </c>
      <c r="AF156" s="18">
        <v>40294.090277777781</v>
      </c>
      <c r="AG156" s="19">
        <v>40293.923611111109</v>
      </c>
      <c r="AH156" t="s">
        <v>161</v>
      </c>
      <c r="AL156" t="s">
        <v>335</v>
      </c>
      <c r="AM156" s="20">
        <v>40290</v>
      </c>
      <c r="AR156" s="39" t="s">
        <v>400</v>
      </c>
      <c r="AS156" s="39"/>
      <c r="AT156" s="39">
        <v>200</v>
      </c>
      <c r="AZ156" t="s">
        <v>108</v>
      </c>
      <c r="BC156" t="s">
        <v>336</v>
      </c>
    </row>
    <row r="157" spans="1:55" x14ac:dyDescent="0.25">
      <c r="A157" t="str">
        <f t="shared" si="2"/>
        <v>A69-9002-2342</v>
      </c>
      <c r="B157" t="s">
        <v>398</v>
      </c>
      <c r="C157" t="s">
        <v>324</v>
      </c>
      <c r="D157" t="s">
        <v>325</v>
      </c>
      <c r="F157">
        <v>2342</v>
      </c>
      <c r="G157" t="s">
        <v>326</v>
      </c>
      <c r="H157" t="s">
        <v>327</v>
      </c>
      <c r="I157" s="20">
        <v>40290</v>
      </c>
      <c r="J157">
        <v>80</v>
      </c>
      <c r="L157" t="s">
        <v>109</v>
      </c>
      <c r="M157" t="s">
        <v>328</v>
      </c>
      <c r="N157" t="s">
        <v>329</v>
      </c>
      <c r="O157" t="s">
        <v>330</v>
      </c>
      <c r="P157" t="s">
        <v>331</v>
      </c>
      <c r="U157">
        <v>0.51</v>
      </c>
      <c r="V157">
        <v>0.251</v>
      </c>
      <c r="W157" t="s">
        <v>399</v>
      </c>
      <c r="Y157" t="s">
        <v>337</v>
      </c>
      <c r="AB157" t="s">
        <v>341</v>
      </c>
      <c r="AC157" t="s">
        <v>342</v>
      </c>
      <c r="AD157">
        <v>46.304110000000001</v>
      </c>
      <c r="AE157">
        <v>-84.056880000000007</v>
      </c>
      <c r="AF157" s="18">
        <v>40294.090277777781</v>
      </c>
      <c r="AG157" s="19">
        <v>40293.923611111109</v>
      </c>
      <c r="AH157" t="s">
        <v>161</v>
      </c>
      <c r="AL157" t="s">
        <v>335</v>
      </c>
      <c r="AM157" s="20">
        <v>40290</v>
      </c>
      <c r="AR157" s="39" t="s">
        <v>400</v>
      </c>
      <c r="AS157" s="39"/>
      <c r="AT157" s="39">
        <v>200</v>
      </c>
      <c r="AZ157" t="s">
        <v>108</v>
      </c>
      <c r="BC157" t="s">
        <v>336</v>
      </c>
    </row>
    <row r="158" spans="1:55" x14ac:dyDescent="0.25">
      <c r="A158" t="str">
        <f t="shared" si="2"/>
        <v>A69-9002-2365</v>
      </c>
      <c r="B158" t="s">
        <v>398</v>
      </c>
      <c r="C158" t="s">
        <v>324</v>
      </c>
      <c r="D158" t="s">
        <v>325</v>
      </c>
      <c r="F158">
        <v>2365</v>
      </c>
      <c r="G158" t="s">
        <v>326</v>
      </c>
      <c r="H158" t="s">
        <v>327</v>
      </c>
      <c r="I158" s="20">
        <v>40291</v>
      </c>
      <c r="J158">
        <v>80</v>
      </c>
      <c r="L158" t="s">
        <v>109</v>
      </c>
      <c r="M158" t="s">
        <v>328</v>
      </c>
      <c r="N158" t="s">
        <v>329</v>
      </c>
      <c r="O158" t="s">
        <v>330</v>
      </c>
      <c r="P158" t="s">
        <v>331</v>
      </c>
      <c r="U158">
        <v>0.48</v>
      </c>
      <c r="V158">
        <v>0.22800000000000001</v>
      </c>
      <c r="W158" t="s">
        <v>399</v>
      </c>
      <c r="Y158" t="s">
        <v>332</v>
      </c>
      <c r="AB158" t="s">
        <v>341</v>
      </c>
      <c r="AC158" t="s">
        <v>342</v>
      </c>
      <c r="AD158">
        <v>46.304110000000001</v>
      </c>
      <c r="AE158">
        <v>-84.056880000000007</v>
      </c>
      <c r="AF158" s="18">
        <v>40294.090277777781</v>
      </c>
      <c r="AG158" s="19">
        <v>40293.923611111109</v>
      </c>
      <c r="AH158" t="s">
        <v>161</v>
      </c>
      <c r="AL158" t="s">
        <v>335</v>
      </c>
      <c r="AM158" s="20">
        <v>40291</v>
      </c>
      <c r="AR158" s="39" t="s">
        <v>400</v>
      </c>
      <c r="AS158" s="39"/>
      <c r="AT158" s="39">
        <v>200</v>
      </c>
      <c r="AZ158" t="s">
        <v>108</v>
      </c>
      <c r="BC158" t="s">
        <v>336</v>
      </c>
    </row>
    <row r="159" spans="1:55" x14ac:dyDescent="0.25">
      <c r="A159" t="str">
        <f t="shared" si="2"/>
        <v>A69-9002-2351</v>
      </c>
      <c r="B159" t="s">
        <v>398</v>
      </c>
      <c r="C159" t="s">
        <v>324</v>
      </c>
      <c r="D159" t="s">
        <v>325</v>
      </c>
      <c r="F159">
        <v>2351</v>
      </c>
      <c r="G159" t="s">
        <v>326</v>
      </c>
      <c r="H159" t="s">
        <v>327</v>
      </c>
      <c r="I159" s="20">
        <v>40290</v>
      </c>
      <c r="J159">
        <v>80</v>
      </c>
      <c r="L159" t="s">
        <v>109</v>
      </c>
      <c r="M159" t="s">
        <v>328</v>
      </c>
      <c r="N159" t="s">
        <v>329</v>
      </c>
      <c r="O159" t="s">
        <v>330</v>
      </c>
      <c r="P159" t="s">
        <v>331</v>
      </c>
      <c r="U159">
        <v>0.49</v>
      </c>
      <c r="V159">
        <v>0.23300000000000001</v>
      </c>
      <c r="W159" t="s">
        <v>399</v>
      </c>
      <c r="Y159" t="s">
        <v>332</v>
      </c>
      <c r="AB159" t="s">
        <v>341</v>
      </c>
      <c r="AC159" t="s">
        <v>342</v>
      </c>
      <c r="AD159">
        <v>46.304110000000001</v>
      </c>
      <c r="AE159">
        <v>-84.056880000000007</v>
      </c>
      <c r="AF159" s="18">
        <v>40294.090277777781</v>
      </c>
      <c r="AG159" s="19">
        <v>40293.923611111109</v>
      </c>
      <c r="AH159" t="s">
        <v>161</v>
      </c>
      <c r="AL159" t="s">
        <v>335</v>
      </c>
      <c r="AM159" s="20">
        <v>40290</v>
      </c>
      <c r="AR159" s="39" t="s">
        <v>400</v>
      </c>
      <c r="AS159" s="39"/>
      <c r="AT159" s="39">
        <v>200</v>
      </c>
      <c r="AZ159" t="s">
        <v>108</v>
      </c>
      <c r="BC159" t="s">
        <v>336</v>
      </c>
    </row>
    <row r="160" spans="1:55" x14ac:dyDescent="0.25">
      <c r="A160" t="str">
        <f t="shared" si="2"/>
        <v>A69-9002-2379</v>
      </c>
      <c r="B160" t="s">
        <v>398</v>
      </c>
      <c r="C160" t="s">
        <v>324</v>
      </c>
      <c r="D160" t="s">
        <v>325</v>
      </c>
      <c r="F160">
        <v>2379</v>
      </c>
      <c r="G160" t="s">
        <v>326</v>
      </c>
      <c r="H160" t="s">
        <v>327</v>
      </c>
      <c r="I160" s="20">
        <v>40291</v>
      </c>
      <c r="J160">
        <v>80</v>
      </c>
      <c r="L160" t="s">
        <v>109</v>
      </c>
      <c r="M160" t="s">
        <v>328</v>
      </c>
      <c r="N160" t="s">
        <v>329</v>
      </c>
      <c r="O160" t="s">
        <v>330</v>
      </c>
      <c r="P160" t="s">
        <v>331</v>
      </c>
      <c r="U160">
        <v>0.55000000000000004</v>
      </c>
      <c r="V160">
        <v>0.36299999999999999</v>
      </c>
      <c r="W160" t="s">
        <v>399</v>
      </c>
      <c r="Y160" t="s">
        <v>337</v>
      </c>
      <c r="AB160" t="s">
        <v>341</v>
      </c>
      <c r="AC160" t="s">
        <v>342</v>
      </c>
      <c r="AD160">
        <v>46.304110000000001</v>
      </c>
      <c r="AE160">
        <v>-84.056880000000007</v>
      </c>
      <c r="AF160" s="18">
        <v>40294.090277777781</v>
      </c>
      <c r="AG160" s="19">
        <v>40293.923611111109</v>
      </c>
      <c r="AH160" t="s">
        <v>161</v>
      </c>
      <c r="AL160" t="s">
        <v>335</v>
      </c>
      <c r="AM160" s="20">
        <v>40291</v>
      </c>
      <c r="AR160" s="39" t="s">
        <v>400</v>
      </c>
      <c r="AS160" s="39"/>
      <c r="AT160" s="39">
        <v>200</v>
      </c>
      <c r="AZ160" t="s">
        <v>108</v>
      </c>
      <c r="BC160" t="s">
        <v>336</v>
      </c>
    </row>
    <row r="161" spans="1:55" x14ac:dyDescent="0.25">
      <c r="A161" t="str">
        <f t="shared" si="2"/>
        <v>A69-9002-2346</v>
      </c>
      <c r="B161" t="s">
        <v>398</v>
      </c>
      <c r="C161" t="s">
        <v>324</v>
      </c>
      <c r="D161" t="s">
        <v>325</v>
      </c>
      <c r="F161">
        <v>2346</v>
      </c>
      <c r="G161" t="s">
        <v>326</v>
      </c>
      <c r="H161" t="s">
        <v>327</v>
      </c>
      <c r="I161" s="20">
        <v>40290</v>
      </c>
      <c r="J161">
        <v>80</v>
      </c>
      <c r="L161" t="s">
        <v>109</v>
      </c>
      <c r="M161" t="s">
        <v>328</v>
      </c>
      <c r="N161" t="s">
        <v>329</v>
      </c>
      <c r="O161" t="s">
        <v>330</v>
      </c>
      <c r="P161" t="s">
        <v>331</v>
      </c>
      <c r="U161">
        <v>0.53</v>
      </c>
      <c r="V161">
        <v>0.34300000000000003</v>
      </c>
      <c r="W161" t="s">
        <v>399</v>
      </c>
      <c r="Y161" t="s">
        <v>332</v>
      </c>
      <c r="AB161" t="s">
        <v>341</v>
      </c>
      <c r="AC161" t="s">
        <v>342</v>
      </c>
      <c r="AD161">
        <v>46.304110000000001</v>
      </c>
      <c r="AE161">
        <v>-84.056880000000007</v>
      </c>
      <c r="AF161" s="18">
        <v>40294.090277777781</v>
      </c>
      <c r="AG161" s="19">
        <v>40293.923611111109</v>
      </c>
      <c r="AH161" t="s">
        <v>161</v>
      </c>
      <c r="AL161" t="s">
        <v>335</v>
      </c>
      <c r="AM161" s="20">
        <v>40290</v>
      </c>
      <c r="AR161" s="39" t="s">
        <v>400</v>
      </c>
      <c r="AS161" s="39"/>
      <c r="AT161" s="39">
        <v>200</v>
      </c>
      <c r="AZ161" t="s">
        <v>108</v>
      </c>
      <c r="BC161" t="s">
        <v>336</v>
      </c>
    </row>
    <row r="162" spans="1:55" x14ac:dyDescent="0.25">
      <c r="A162" t="str">
        <f t="shared" si="2"/>
        <v>A69-9002-2339</v>
      </c>
      <c r="B162" t="s">
        <v>398</v>
      </c>
      <c r="C162" t="s">
        <v>324</v>
      </c>
      <c r="D162" t="s">
        <v>325</v>
      </c>
      <c r="F162">
        <v>2339</v>
      </c>
      <c r="G162" t="s">
        <v>326</v>
      </c>
      <c r="H162" t="s">
        <v>327</v>
      </c>
      <c r="I162" s="20">
        <v>40290</v>
      </c>
      <c r="J162">
        <v>80</v>
      </c>
      <c r="L162" t="s">
        <v>109</v>
      </c>
      <c r="M162" t="s">
        <v>328</v>
      </c>
      <c r="N162" t="s">
        <v>329</v>
      </c>
      <c r="O162" t="s">
        <v>330</v>
      </c>
      <c r="P162" t="s">
        <v>331</v>
      </c>
      <c r="U162">
        <v>0.53</v>
      </c>
      <c r="V162">
        <v>0.316</v>
      </c>
      <c r="W162" t="s">
        <v>399</v>
      </c>
      <c r="Y162" t="s">
        <v>332</v>
      </c>
      <c r="AB162" t="s">
        <v>341</v>
      </c>
      <c r="AC162" t="s">
        <v>342</v>
      </c>
      <c r="AD162">
        <v>46.304110000000001</v>
      </c>
      <c r="AE162">
        <v>-84.056880000000007</v>
      </c>
      <c r="AF162" s="18">
        <v>40294.090277777781</v>
      </c>
      <c r="AG162" s="19">
        <v>40293.923611111109</v>
      </c>
      <c r="AH162" t="s">
        <v>161</v>
      </c>
      <c r="AL162" t="s">
        <v>335</v>
      </c>
      <c r="AM162" s="20">
        <v>40290</v>
      </c>
      <c r="AR162" s="39" t="s">
        <v>400</v>
      </c>
      <c r="AS162" s="39"/>
      <c r="AT162" s="39">
        <v>200</v>
      </c>
      <c r="AZ162" t="s">
        <v>108</v>
      </c>
      <c r="BC162" t="s">
        <v>336</v>
      </c>
    </row>
    <row r="163" spans="1:55" x14ac:dyDescent="0.25">
      <c r="A163" t="str">
        <f t="shared" si="2"/>
        <v>A69-9002-2335</v>
      </c>
      <c r="B163" t="s">
        <v>398</v>
      </c>
      <c r="C163" t="s">
        <v>324</v>
      </c>
      <c r="D163" t="s">
        <v>325</v>
      </c>
      <c r="F163">
        <v>2335</v>
      </c>
      <c r="G163" t="s">
        <v>326</v>
      </c>
      <c r="H163" t="s">
        <v>327</v>
      </c>
      <c r="I163" s="20">
        <v>40290</v>
      </c>
      <c r="J163">
        <v>80</v>
      </c>
      <c r="L163" t="s">
        <v>109</v>
      </c>
      <c r="M163" t="s">
        <v>328</v>
      </c>
      <c r="N163" t="s">
        <v>329</v>
      </c>
      <c r="O163" t="s">
        <v>330</v>
      </c>
      <c r="P163" t="s">
        <v>331</v>
      </c>
      <c r="U163">
        <v>0.56000000000000005</v>
      </c>
      <c r="V163">
        <v>0.34100000000000003</v>
      </c>
      <c r="W163" t="s">
        <v>399</v>
      </c>
      <c r="Y163" t="s">
        <v>332</v>
      </c>
      <c r="AB163" t="s">
        <v>341</v>
      </c>
      <c r="AC163" t="s">
        <v>342</v>
      </c>
      <c r="AD163">
        <v>46.304110000000001</v>
      </c>
      <c r="AE163">
        <v>-84.056880000000007</v>
      </c>
      <c r="AF163" s="18">
        <v>40294.090277777781</v>
      </c>
      <c r="AG163" s="19">
        <v>40293.923611111109</v>
      </c>
      <c r="AH163" t="s">
        <v>161</v>
      </c>
      <c r="AL163" t="s">
        <v>335</v>
      </c>
      <c r="AM163" s="20">
        <v>40290</v>
      </c>
      <c r="AR163" s="39" t="s">
        <v>400</v>
      </c>
      <c r="AS163" s="39"/>
      <c r="AT163" s="39">
        <v>200</v>
      </c>
      <c r="AZ163" t="s">
        <v>108</v>
      </c>
      <c r="BC163" t="s">
        <v>336</v>
      </c>
    </row>
    <row r="164" spans="1:55" x14ac:dyDescent="0.25">
      <c r="A164" t="str">
        <f t="shared" si="2"/>
        <v>A69-9002-2331</v>
      </c>
      <c r="B164" t="s">
        <v>398</v>
      </c>
      <c r="C164" t="s">
        <v>324</v>
      </c>
      <c r="D164" t="s">
        <v>325</v>
      </c>
      <c r="F164">
        <v>2331</v>
      </c>
      <c r="G164" t="s">
        <v>326</v>
      </c>
      <c r="H164" t="s">
        <v>327</v>
      </c>
      <c r="I164" s="20">
        <v>40290</v>
      </c>
      <c r="J164">
        <v>80</v>
      </c>
      <c r="L164" t="s">
        <v>109</v>
      </c>
      <c r="M164" t="s">
        <v>328</v>
      </c>
      <c r="N164" t="s">
        <v>329</v>
      </c>
      <c r="O164" t="s">
        <v>330</v>
      </c>
      <c r="P164" t="s">
        <v>331</v>
      </c>
      <c r="U164">
        <v>0.52</v>
      </c>
      <c r="V164">
        <v>0.30499999999999999</v>
      </c>
      <c r="W164" t="s">
        <v>399</v>
      </c>
      <c r="Y164" t="s">
        <v>332</v>
      </c>
      <c r="AB164" t="s">
        <v>341</v>
      </c>
      <c r="AC164" t="s">
        <v>342</v>
      </c>
      <c r="AD164">
        <v>46.304110000000001</v>
      </c>
      <c r="AE164">
        <v>-84.056880000000007</v>
      </c>
      <c r="AF164" s="18">
        <v>40294.090277777781</v>
      </c>
      <c r="AG164" s="19">
        <v>40293.923611111109</v>
      </c>
      <c r="AH164" t="s">
        <v>161</v>
      </c>
      <c r="AL164" t="s">
        <v>335</v>
      </c>
      <c r="AM164" s="20">
        <v>40290</v>
      </c>
      <c r="AR164" s="39" t="s">
        <v>400</v>
      </c>
      <c r="AS164" s="39"/>
      <c r="AT164" s="39">
        <v>200</v>
      </c>
      <c r="AZ164" t="s">
        <v>108</v>
      </c>
      <c r="BC164" t="s">
        <v>336</v>
      </c>
    </row>
    <row r="165" spans="1:55" x14ac:dyDescent="0.25">
      <c r="A165" t="str">
        <f t="shared" si="2"/>
        <v>A69-9002-2327</v>
      </c>
      <c r="B165" t="s">
        <v>398</v>
      </c>
      <c r="C165" t="s">
        <v>324</v>
      </c>
      <c r="D165" t="s">
        <v>325</v>
      </c>
      <c r="F165">
        <v>2327</v>
      </c>
      <c r="G165" t="s">
        <v>326</v>
      </c>
      <c r="H165" t="s">
        <v>327</v>
      </c>
      <c r="I165" s="20">
        <v>40290</v>
      </c>
      <c r="J165">
        <v>80</v>
      </c>
      <c r="L165" t="s">
        <v>109</v>
      </c>
      <c r="M165" t="s">
        <v>328</v>
      </c>
      <c r="N165" t="s">
        <v>329</v>
      </c>
      <c r="O165" t="s">
        <v>330</v>
      </c>
      <c r="P165" t="s">
        <v>331</v>
      </c>
      <c r="U165">
        <v>0.51</v>
      </c>
      <c r="V165">
        <v>0.27400000000000002</v>
      </c>
      <c r="W165" t="s">
        <v>399</v>
      </c>
      <c r="Y165" t="s">
        <v>332</v>
      </c>
      <c r="AB165" t="s">
        <v>341</v>
      </c>
      <c r="AC165" t="s">
        <v>342</v>
      </c>
      <c r="AD165">
        <v>46.304110000000001</v>
      </c>
      <c r="AE165">
        <v>-84.056880000000007</v>
      </c>
      <c r="AF165" s="18">
        <v>40294.090277777781</v>
      </c>
      <c r="AG165" s="19">
        <v>40293.923611111109</v>
      </c>
      <c r="AH165" t="s">
        <v>161</v>
      </c>
      <c r="AL165" t="s">
        <v>335</v>
      </c>
      <c r="AM165" s="20">
        <v>40290</v>
      </c>
      <c r="AR165" s="39" t="s">
        <v>400</v>
      </c>
      <c r="AS165" s="39"/>
      <c r="AT165" s="39">
        <v>200</v>
      </c>
      <c r="AZ165" t="s">
        <v>108</v>
      </c>
      <c r="BC165" t="s">
        <v>336</v>
      </c>
    </row>
    <row r="166" spans="1:55" x14ac:dyDescent="0.25">
      <c r="A166" t="str">
        <f t="shared" si="2"/>
        <v>A69-9002-2324</v>
      </c>
      <c r="B166" t="s">
        <v>398</v>
      </c>
      <c r="C166" t="s">
        <v>324</v>
      </c>
      <c r="D166" t="s">
        <v>325</v>
      </c>
      <c r="F166">
        <v>2324</v>
      </c>
      <c r="G166" t="s">
        <v>326</v>
      </c>
      <c r="H166" t="s">
        <v>327</v>
      </c>
      <c r="I166" s="20">
        <v>40290</v>
      </c>
      <c r="J166">
        <v>80</v>
      </c>
      <c r="L166" t="s">
        <v>109</v>
      </c>
      <c r="M166" t="s">
        <v>328</v>
      </c>
      <c r="N166" t="s">
        <v>329</v>
      </c>
      <c r="O166" t="s">
        <v>330</v>
      </c>
      <c r="P166" t="s">
        <v>331</v>
      </c>
      <c r="U166">
        <v>0.53</v>
      </c>
      <c r="V166">
        <v>0.29199999999999998</v>
      </c>
      <c r="W166" t="s">
        <v>399</v>
      </c>
      <c r="Y166" t="s">
        <v>332</v>
      </c>
      <c r="AB166" t="s">
        <v>341</v>
      </c>
      <c r="AC166" t="s">
        <v>342</v>
      </c>
      <c r="AD166">
        <v>46.304110000000001</v>
      </c>
      <c r="AE166">
        <v>-84.056880000000007</v>
      </c>
      <c r="AF166" s="18">
        <v>40294.090277777781</v>
      </c>
      <c r="AG166" s="19">
        <v>40293.923611111109</v>
      </c>
      <c r="AH166" t="s">
        <v>161</v>
      </c>
      <c r="AL166" t="s">
        <v>335</v>
      </c>
      <c r="AM166" s="20">
        <v>40290</v>
      </c>
      <c r="AR166" s="39" t="s">
        <v>400</v>
      </c>
      <c r="AS166" s="39"/>
      <c r="AT166" s="39">
        <v>200</v>
      </c>
      <c r="AZ166" t="s">
        <v>108</v>
      </c>
      <c r="BC166" t="s">
        <v>336</v>
      </c>
    </row>
    <row r="167" spans="1:55" x14ac:dyDescent="0.25">
      <c r="A167" t="str">
        <f t="shared" si="2"/>
        <v>A69-9002-2328</v>
      </c>
      <c r="B167" t="s">
        <v>398</v>
      </c>
      <c r="C167" t="s">
        <v>324</v>
      </c>
      <c r="D167" t="s">
        <v>325</v>
      </c>
      <c r="F167">
        <v>2328</v>
      </c>
      <c r="G167" t="s">
        <v>326</v>
      </c>
      <c r="H167" t="s">
        <v>327</v>
      </c>
      <c r="I167" s="20">
        <v>40290</v>
      </c>
      <c r="J167">
        <v>80</v>
      </c>
      <c r="L167" t="s">
        <v>109</v>
      </c>
      <c r="M167" t="s">
        <v>328</v>
      </c>
      <c r="N167" t="s">
        <v>329</v>
      </c>
      <c r="O167" t="s">
        <v>330</v>
      </c>
      <c r="P167" t="s">
        <v>331</v>
      </c>
      <c r="U167">
        <v>0.52</v>
      </c>
      <c r="V167">
        <v>0.27200000000000002</v>
      </c>
      <c r="W167" t="s">
        <v>399</v>
      </c>
      <c r="Y167" t="s">
        <v>332</v>
      </c>
      <c r="AB167" t="s">
        <v>341</v>
      </c>
      <c r="AC167" t="s">
        <v>342</v>
      </c>
      <c r="AD167">
        <v>46.304110000000001</v>
      </c>
      <c r="AE167">
        <v>-84.056880000000007</v>
      </c>
      <c r="AF167" s="18">
        <v>40294.090277777781</v>
      </c>
      <c r="AG167" s="19">
        <v>40293.923611111109</v>
      </c>
      <c r="AH167" t="s">
        <v>161</v>
      </c>
      <c r="AL167" t="s">
        <v>335</v>
      </c>
      <c r="AM167" s="20">
        <v>40290</v>
      </c>
      <c r="AR167" s="39" t="s">
        <v>400</v>
      </c>
      <c r="AS167" s="39"/>
      <c r="AT167" s="39">
        <v>200</v>
      </c>
      <c r="AZ167" t="s">
        <v>108</v>
      </c>
      <c r="BC167" t="s">
        <v>336</v>
      </c>
    </row>
    <row r="168" spans="1:55" x14ac:dyDescent="0.25">
      <c r="A168" t="str">
        <f t="shared" si="2"/>
        <v>A69-9002-2388</v>
      </c>
      <c r="B168" t="s">
        <v>398</v>
      </c>
      <c r="C168" t="s">
        <v>324</v>
      </c>
      <c r="D168" t="s">
        <v>325</v>
      </c>
      <c r="F168">
        <v>2388</v>
      </c>
      <c r="G168" t="s">
        <v>326</v>
      </c>
      <c r="H168" t="s">
        <v>327</v>
      </c>
      <c r="I168" s="20">
        <v>40291</v>
      </c>
      <c r="J168">
        <v>80</v>
      </c>
      <c r="L168" t="s">
        <v>109</v>
      </c>
      <c r="M168" t="s">
        <v>328</v>
      </c>
      <c r="N168" t="s">
        <v>329</v>
      </c>
      <c r="O168" t="s">
        <v>330</v>
      </c>
      <c r="P168" t="s">
        <v>331</v>
      </c>
      <c r="U168">
        <v>0.45</v>
      </c>
      <c r="V168">
        <v>0.20399999999999999</v>
      </c>
      <c r="W168" t="s">
        <v>399</v>
      </c>
      <c r="Y168" t="s">
        <v>337</v>
      </c>
      <c r="AB168" t="s">
        <v>341</v>
      </c>
      <c r="AC168" t="s">
        <v>342</v>
      </c>
      <c r="AD168">
        <v>46.304110000000001</v>
      </c>
      <c r="AE168">
        <v>-84.056880000000007</v>
      </c>
      <c r="AF168" s="18">
        <v>40294.090277777781</v>
      </c>
      <c r="AG168" s="19">
        <v>40293.923611111109</v>
      </c>
      <c r="AH168" t="s">
        <v>161</v>
      </c>
      <c r="AL168" t="s">
        <v>335</v>
      </c>
      <c r="AM168" s="20">
        <v>40291</v>
      </c>
      <c r="AR168" s="39" t="s">
        <v>400</v>
      </c>
      <c r="AS168" s="39"/>
      <c r="AT168" s="39">
        <v>200</v>
      </c>
      <c r="AZ168" t="s">
        <v>108</v>
      </c>
      <c r="BC168" t="s">
        <v>336</v>
      </c>
    </row>
    <row r="169" spans="1:55" x14ac:dyDescent="0.25">
      <c r="A169" t="str">
        <f t="shared" si="2"/>
        <v>A69-9002-2389</v>
      </c>
      <c r="B169" t="s">
        <v>398</v>
      </c>
      <c r="C169" t="s">
        <v>324</v>
      </c>
      <c r="D169" t="s">
        <v>325</v>
      </c>
      <c r="F169">
        <v>2389</v>
      </c>
      <c r="G169" t="s">
        <v>326</v>
      </c>
      <c r="H169" t="s">
        <v>327</v>
      </c>
      <c r="I169" s="20">
        <v>40291</v>
      </c>
      <c r="J169">
        <v>80</v>
      </c>
      <c r="L169" t="s">
        <v>109</v>
      </c>
      <c r="M169" t="s">
        <v>328</v>
      </c>
      <c r="N169" t="s">
        <v>329</v>
      </c>
      <c r="O169" t="s">
        <v>330</v>
      </c>
      <c r="P169" t="s">
        <v>331</v>
      </c>
      <c r="U169">
        <v>0.54</v>
      </c>
      <c r="V169">
        <v>0.34300000000000003</v>
      </c>
      <c r="W169" t="s">
        <v>399</v>
      </c>
      <c r="Y169" t="s">
        <v>337</v>
      </c>
      <c r="AB169" t="s">
        <v>341</v>
      </c>
      <c r="AC169" t="s">
        <v>342</v>
      </c>
      <c r="AD169">
        <v>46.304110000000001</v>
      </c>
      <c r="AE169">
        <v>-84.056880000000007</v>
      </c>
      <c r="AF169" s="18">
        <v>40294.090277777781</v>
      </c>
      <c r="AG169" s="19">
        <v>40293.923611111109</v>
      </c>
      <c r="AH169" t="s">
        <v>161</v>
      </c>
      <c r="AL169" t="s">
        <v>335</v>
      </c>
      <c r="AM169" s="20">
        <v>40291</v>
      </c>
      <c r="AR169" s="39" t="s">
        <v>400</v>
      </c>
      <c r="AS169" s="39"/>
      <c r="AT169" s="39">
        <v>200</v>
      </c>
      <c r="AZ169" t="s">
        <v>108</v>
      </c>
      <c r="BC169" t="s">
        <v>336</v>
      </c>
    </row>
    <row r="170" spans="1:55" x14ac:dyDescent="0.25">
      <c r="A170" t="str">
        <f t="shared" si="2"/>
        <v>A69-9002-2390</v>
      </c>
      <c r="B170" t="s">
        <v>398</v>
      </c>
      <c r="C170" t="s">
        <v>324</v>
      </c>
      <c r="D170" t="s">
        <v>325</v>
      </c>
      <c r="F170">
        <v>2390</v>
      </c>
      <c r="G170" t="s">
        <v>326</v>
      </c>
      <c r="H170" t="s">
        <v>327</v>
      </c>
      <c r="I170" s="20">
        <v>40291</v>
      </c>
      <c r="J170">
        <v>80</v>
      </c>
      <c r="L170" t="s">
        <v>109</v>
      </c>
      <c r="M170" t="s">
        <v>328</v>
      </c>
      <c r="N170" t="s">
        <v>329</v>
      </c>
      <c r="O170" t="s">
        <v>330</v>
      </c>
      <c r="P170" t="s">
        <v>331</v>
      </c>
      <c r="U170">
        <v>0.5</v>
      </c>
      <c r="V170">
        <v>0.30599999999999999</v>
      </c>
      <c r="W170" t="s">
        <v>399</v>
      </c>
      <c r="Y170" t="s">
        <v>337</v>
      </c>
      <c r="AB170" t="s">
        <v>341</v>
      </c>
      <c r="AC170" t="s">
        <v>342</v>
      </c>
      <c r="AD170">
        <v>46.304110000000001</v>
      </c>
      <c r="AE170">
        <v>-84.056880000000007</v>
      </c>
      <c r="AF170" s="18">
        <v>40294.090277777781</v>
      </c>
      <c r="AG170" s="19">
        <v>40293.923611111109</v>
      </c>
      <c r="AH170" t="s">
        <v>161</v>
      </c>
      <c r="AL170" t="s">
        <v>335</v>
      </c>
      <c r="AM170" s="20">
        <v>40291</v>
      </c>
      <c r="AR170" s="39" t="s">
        <v>400</v>
      </c>
      <c r="AS170" s="39"/>
      <c r="AT170" s="39">
        <v>200</v>
      </c>
      <c r="AZ170" t="s">
        <v>108</v>
      </c>
      <c r="BC170" t="s">
        <v>336</v>
      </c>
    </row>
    <row r="171" spans="1:55" x14ac:dyDescent="0.25">
      <c r="A171" t="str">
        <f t="shared" si="2"/>
        <v>A69-9002-2391</v>
      </c>
      <c r="B171" t="s">
        <v>398</v>
      </c>
      <c r="C171" t="s">
        <v>324</v>
      </c>
      <c r="D171" t="s">
        <v>325</v>
      </c>
      <c r="F171">
        <v>2391</v>
      </c>
      <c r="G171" t="s">
        <v>326</v>
      </c>
      <c r="H171" t="s">
        <v>327</v>
      </c>
      <c r="I171" s="20">
        <v>40291</v>
      </c>
      <c r="J171">
        <v>80</v>
      </c>
      <c r="L171" t="s">
        <v>109</v>
      </c>
      <c r="M171" t="s">
        <v>328</v>
      </c>
      <c r="N171" t="s">
        <v>329</v>
      </c>
      <c r="O171" t="s">
        <v>330</v>
      </c>
      <c r="P171" t="s">
        <v>331</v>
      </c>
      <c r="U171">
        <v>0.54</v>
      </c>
      <c r="V171">
        <v>0.31900000000000001</v>
      </c>
      <c r="W171" t="s">
        <v>399</v>
      </c>
      <c r="Y171" t="s">
        <v>337</v>
      </c>
      <c r="AB171" t="s">
        <v>341</v>
      </c>
      <c r="AC171" t="s">
        <v>342</v>
      </c>
      <c r="AD171">
        <v>46.304110000000001</v>
      </c>
      <c r="AE171">
        <v>-84.056880000000007</v>
      </c>
      <c r="AF171" s="18">
        <v>40294.090277777781</v>
      </c>
      <c r="AG171" s="19">
        <v>40293.923611111109</v>
      </c>
      <c r="AH171" t="s">
        <v>161</v>
      </c>
      <c r="AL171" t="s">
        <v>335</v>
      </c>
      <c r="AM171" s="20">
        <v>40291</v>
      </c>
      <c r="AR171" s="39" t="s">
        <v>400</v>
      </c>
      <c r="AS171" s="39"/>
      <c r="AT171" s="39">
        <v>200</v>
      </c>
      <c r="AZ171" t="s">
        <v>108</v>
      </c>
      <c r="BC171" t="s">
        <v>336</v>
      </c>
    </row>
    <row r="172" spans="1:55" x14ac:dyDescent="0.25">
      <c r="A172" t="str">
        <f t="shared" si="2"/>
        <v>A69-9002-2392</v>
      </c>
      <c r="B172" t="s">
        <v>398</v>
      </c>
      <c r="C172" t="s">
        <v>324</v>
      </c>
      <c r="D172" t="s">
        <v>325</v>
      </c>
      <c r="F172">
        <v>2392</v>
      </c>
      <c r="G172" t="s">
        <v>326</v>
      </c>
      <c r="H172" t="s">
        <v>327</v>
      </c>
      <c r="I172" s="20">
        <v>40291</v>
      </c>
      <c r="J172">
        <v>80</v>
      </c>
      <c r="L172" t="s">
        <v>109</v>
      </c>
      <c r="M172" t="s">
        <v>328</v>
      </c>
      <c r="N172" t="s">
        <v>329</v>
      </c>
      <c r="O172" t="s">
        <v>330</v>
      </c>
      <c r="P172" t="s">
        <v>331</v>
      </c>
      <c r="U172">
        <v>0.56000000000000005</v>
      </c>
      <c r="V172">
        <v>0.27700000000000002</v>
      </c>
      <c r="W172" t="s">
        <v>399</v>
      </c>
      <c r="Y172" t="s">
        <v>337</v>
      </c>
      <c r="AB172" t="s">
        <v>341</v>
      </c>
      <c r="AC172" t="s">
        <v>342</v>
      </c>
      <c r="AD172">
        <v>46.304110000000001</v>
      </c>
      <c r="AE172">
        <v>-84.056880000000007</v>
      </c>
      <c r="AF172" s="18">
        <v>40294.090277777781</v>
      </c>
      <c r="AG172" s="19">
        <v>40293.923611111109</v>
      </c>
      <c r="AH172" t="s">
        <v>161</v>
      </c>
      <c r="AL172" t="s">
        <v>335</v>
      </c>
      <c r="AM172" s="20">
        <v>40291</v>
      </c>
      <c r="AR172" s="39" t="s">
        <v>400</v>
      </c>
      <c r="AS172" s="39"/>
      <c r="AT172" s="39">
        <v>200</v>
      </c>
      <c r="AZ172" t="s">
        <v>108</v>
      </c>
      <c r="BC172" t="s">
        <v>336</v>
      </c>
    </row>
    <row r="173" spans="1:55" x14ac:dyDescent="0.25">
      <c r="A173" t="str">
        <f t="shared" si="2"/>
        <v>A69-9002-2393</v>
      </c>
      <c r="B173" t="s">
        <v>398</v>
      </c>
      <c r="C173" t="s">
        <v>324</v>
      </c>
      <c r="D173" t="s">
        <v>325</v>
      </c>
      <c r="F173">
        <v>2393</v>
      </c>
      <c r="G173" t="s">
        <v>326</v>
      </c>
      <c r="H173" t="s">
        <v>327</v>
      </c>
      <c r="I173" s="20">
        <v>40291</v>
      </c>
      <c r="J173">
        <v>80</v>
      </c>
      <c r="L173" t="s">
        <v>109</v>
      </c>
      <c r="M173" t="s">
        <v>328</v>
      </c>
      <c r="N173" t="s">
        <v>329</v>
      </c>
      <c r="O173" t="s">
        <v>330</v>
      </c>
      <c r="P173" t="s">
        <v>331</v>
      </c>
      <c r="U173">
        <v>0.53</v>
      </c>
      <c r="V173">
        <v>0.27200000000000002</v>
      </c>
      <c r="W173" t="s">
        <v>399</v>
      </c>
      <c r="Y173" t="s">
        <v>337</v>
      </c>
      <c r="AB173" t="s">
        <v>341</v>
      </c>
      <c r="AC173" t="s">
        <v>342</v>
      </c>
      <c r="AD173">
        <v>46.304110000000001</v>
      </c>
      <c r="AE173">
        <v>-84.056880000000007</v>
      </c>
      <c r="AF173" s="18">
        <v>40294.090277777781</v>
      </c>
      <c r="AG173" s="19">
        <v>40293.923611111109</v>
      </c>
      <c r="AH173" t="s">
        <v>161</v>
      </c>
      <c r="AL173" t="s">
        <v>335</v>
      </c>
      <c r="AM173" s="20">
        <v>40291</v>
      </c>
      <c r="AR173" s="39" t="s">
        <v>400</v>
      </c>
      <c r="AS173" s="39"/>
      <c r="AT173" s="39">
        <v>200</v>
      </c>
      <c r="AZ173" t="s">
        <v>108</v>
      </c>
      <c r="BC173" t="s">
        <v>336</v>
      </c>
    </row>
    <row r="174" spans="1:55" x14ac:dyDescent="0.25">
      <c r="A174" t="str">
        <f t="shared" si="2"/>
        <v>A69-9002-2394</v>
      </c>
      <c r="B174" t="s">
        <v>398</v>
      </c>
      <c r="C174" t="s">
        <v>324</v>
      </c>
      <c r="D174" t="s">
        <v>325</v>
      </c>
      <c r="F174">
        <v>2394</v>
      </c>
      <c r="G174" t="s">
        <v>326</v>
      </c>
      <c r="H174" t="s">
        <v>327</v>
      </c>
      <c r="I174" s="20">
        <v>40291</v>
      </c>
      <c r="J174">
        <v>80</v>
      </c>
      <c r="L174" t="s">
        <v>109</v>
      </c>
      <c r="M174" t="s">
        <v>328</v>
      </c>
      <c r="N174" t="s">
        <v>329</v>
      </c>
      <c r="O174" t="s">
        <v>330</v>
      </c>
      <c r="P174" t="s">
        <v>331</v>
      </c>
      <c r="U174">
        <v>0.52</v>
      </c>
      <c r="V174">
        <v>0.32100000000000001</v>
      </c>
      <c r="W174" t="s">
        <v>399</v>
      </c>
      <c r="Y174" t="s">
        <v>337</v>
      </c>
      <c r="AB174" t="s">
        <v>341</v>
      </c>
      <c r="AC174" t="s">
        <v>342</v>
      </c>
      <c r="AD174">
        <v>46.304110000000001</v>
      </c>
      <c r="AE174">
        <v>-84.056880000000007</v>
      </c>
      <c r="AF174" s="18">
        <v>40294.090277777781</v>
      </c>
      <c r="AG174" s="19">
        <v>40293.923611111109</v>
      </c>
      <c r="AH174" t="s">
        <v>161</v>
      </c>
      <c r="AL174" t="s">
        <v>335</v>
      </c>
      <c r="AM174" s="20">
        <v>40291</v>
      </c>
      <c r="AR174" s="39" t="s">
        <v>400</v>
      </c>
      <c r="AS174" s="39"/>
      <c r="AT174" s="39">
        <v>200</v>
      </c>
      <c r="AZ174" t="s">
        <v>108</v>
      </c>
      <c r="BC174" t="s">
        <v>336</v>
      </c>
    </row>
    <row r="175" spans="1:55" x14ac:dyDescent="0.25">
      <c r="A175" t="str">
        <f t="shared" si="2"/>
        <v>A69-9002-2395</v>
      </c>
      <c r="B175" t="s">
        <v>398</v>
      </c>
      <c r="C175" t="s">
        <v>324</v>
      </c>
      <c r="D175" t="s">
        <v>325</v>
      </c>
      <c r="F175">
        <v>2395</v>
      </c>
      <c r="G175" t="s">
        <v>326</v>
      </c>
      <c r="H175" t="s">
        <v>327</v>
      </c>
      <c r="I175" s="20">
        <v>40291</v>
      </c>
      <c r="J175">
        <v>80</v>
      </c>
      <c r="L175" t="s">
        <v>109</v>
      </c>
      <c r="M175" t="s">
        <v>328</v>
      </c>
      <c r="N175" t="s">
        <v>329</v>
      </c>
      <c r="O175" t="s">
        <v>330</v>
      </c>
      <c r="P175" t="s">
        <v>331</v>
      </c>
      <c r="U175">
        <v>0.55000000000000004</v>
      </c>
      <c r="V175">
        <v>0.34899999999999998</v>
      </c>
      <c r="W175" t="s">
        <v>399</v>
      </c>
      <c r="Y175" t="s">
        <v>337</v>
      </c>
      <c r="AB175" t="s">
        <v>341</v>
      </c>
      <c r="AC175" t="s">
        <v>342</v>
      </c>
      <c r="AD175">
        <v>46.304110000000001</v>
      </c>
      <c r="AE175">
        <v>-84.056880000000007</v>
      </c>
      <c r="AF175" s="18">
        <v>40294.090277777781</v>
      </c>
      <c r="AG175" s="19">
        <v>40293.923611111109</v>
      </c>
      <c r="AH175" t="s">
        <v>161</v>
      </c>
      <c r="AL175" t="s">
        <v>335</v>
      </c>
      <c r="AM175" s="20">
        <v>40291</v>
      </c>
      <c r="AR175" s="39" t="s">
        <v>400</v>
      </c>
      <c r="AS175" s="39"/>
      <c r="AT175" s="39">
        <v>200</v>
      </c>
      <c r="AZ175" t="s">
        <v>108</v>
      </c>
      <c r="BC175" t="s">
        <v>336</v>
      </c>
    </row>
    <row r="176" spans="1:55" x14ac:dyDescent="0.25">
      <c r="A176" t="str">
        <f t="shared" si="2"/>
        <v>A69-9002-2396</v>
      </c>
      <c r="B176" t="s">
        <v>398</v>
      </c>
      <c r="C176" t="s">
        <v>324</v>
      </c>
      <c r="D176" t="s">
        <v>325</v>
      </c>
      <c r="F176">
        <v>2396</v>
      </c>
      <c r="G176" t="s">
        <v>326</v>
      </c>
      <c r="H176" t="s">
        <v>327</v>
      </c>
      <c r="I176" s="20">
        <v>40291</v>
      </c>
      <c r="J176">
        <v>80</v>
      </c>
      <c r="L176" t="s">
        <v>109</v>
      </c>
      <c r="M176" t="s">
        <v>328</v>
      </c>
      <c r="N176" t="s">
        <v>329</v>
      </c>
      <c r="O176" t="s">
        <v>330</v>
      </c>
      <c r="P176" t="s">
        <v>331</v>
      </c>
      <c r="U176">
        <v>0.53</v>
      </c>
      <c r="V176">
        <v>0.313</v>
      </c>
      <c r="W176" t="s">
        <v>399</v>
      </c>
      <c r="Y176" t="s">
        <v>337</v>
      </c>
      <c r="AB176" t="s">
        <v>341</v>
      </c>
      <c r="AC176" t="s">
        <v>342</v>
      </c>
      <c r="AD176">
        <v>46.304110000000001</v>
      </c>
      <c r="AE176">
        <v>-84.056880000000007</v>
      </c>
      <c r="AF176" s="18">
        <v>40294.090277777781</v>
      </c>
      <c r="AG176" s="19">
        <v>40293.923611111109</v>
      </c>
      <c r="AH176" t="s">
        <v>161</v>
      </c>
      <c r="AL176" t="s">
        <v>335</v>
      </c>
      <c r="AM176" s="20">
        <v>40291</v>
      </c>
      <c r="AR176" s="39" t="s">
        <v>400</v>
      </c>
      <c r="AS176" s="39"/>
      <c r="AT176" s="39">
        <v>200</v>
      </c>
      <c r="AZ176" t="s">
        <v>108</v>
      </c>
      <c r="BC176" t="s">
        <v>336</v>
      </c>
    </row>
    <row r="177" spans="1:64" x14ac:dyDescent="0.25">
      <c r="A177" t="str">
        <f t="shared" si="2"/>
        <v>A69-9002-2397</v>
      </c>
      <c r="B177" t="s">
        <v>398</v>
      </c>
      <c r="C177" t="s">
        <v>324</v>
      </c>
      <c r="D177" t="s">
        <v>325</v>
      </c>
      <c r="F177">
        <v>2397</v>
      </c>
      <c r="G177" t="s">
        <v>326</v>
      </c>
      <c r="H177" t="s">
        <v>327</v>
      </c>
      <c r="I177" s="20">
        <v>40291</v>
      </c>
      <c r="J177">
        <v>80</v>
      </c>
      <c r="L177" t="s">
        <v>109</v>
      </c>
      <c r="M177" t="s">
        <v>328</v>
      </c>
      <c r="N177" t="s">
        <v>329</v>
      </c>
      <c r="O177" t="s">
        <v>330</v>
      </c>
      <c r="P177" t="s">
        <v>331</v>
      </c>
      <c r="U177">
        <v>0.53</v>
      </c>
      <c r="V177">
        <v>0.32500000000000001</v>
      </c>
      <c r="W177" t="s">
        <v>399</v>
      </c>
      <c r="Y177" t="s">
        <v>337</v>
      </c>
      <c r="AB177" t="s">
        <v>341</v>
      </c>
      <c r="AC177" t="s">
        <v>342</v>
      </c>
      <c r="AD177">
        <v>46.304110000000001</v>
      </c>
      <c r="AE177">
        <v>-84.056880000000007</v>
      </c>
      <c r="AF177" s="18">
        <v>40294.090277777781</v>
      </c>
      <c r="AG177" s="19">
        <v>40293.923611111109</v>
      </c>
      <c r="AH177" t="s">
        <v>161</v>
      </c>
      <c r="AL177" t="s">
        <v>335</v>
      </c>
      <c r="AM177" s="20">
        <v>40291</v>
      </c>
      <c r="AR177" s="39" t="s">
        <v>400</v>
      </c>
      <c r="AS177" s="39"/>
      <c r="AT177" s="39">
        <v>200</v>
      </c>
      <c r="AZ177" t="s">
        <v>108</v>
      </c>
      <c r="BC177" t="s">
        <v>336</v>
      </c>
    </row>
    <row r="178" spans="1:64" x14ac:dyDescent="0.25">
      <c r="A178" t="str">
        <f t="shared" si="2"/>
        <v>A69-9002-2398</v>
      </c>
      <c r="B178" t="s">
        <v>398</v>
      </c>
      <c r="C178" t="s">
        <v>324</v>
      </c>
      <c r="D178" t="s">
        <v>325</v>
      </c>
      <c r="F178">
        <v>2398</v>
      </c>
      <c r="G178" t="s">
        <v>326</v>
      </c>
      <c r="H178" t="s">
        <v>327</v>
      </c>
      <c r="I178" s="20">
        <v>40291</v>
      </c>
      <c r="J178">
        <v>80</v>
      </c>
      <c r="L178" t="s">
        <v>109</v>
      </c>
      <c r="M178" t="s">
        <v>328</v>
      </c>
      <c r="N178" t="s">
        <v>329</v>
      </c>
      <c r="O178" t="s">
        <v>330</v>
      </c>
      <c r="P178" t="s">
        <v>331</v>
      </c>
      <c r="U178">
        <v>0.53</v>
      </c>
      <c r="V178">
        <v>0.34300000000000003</v>
      </c>
      <c r="W178" t="s">
        <v>399</v>
      </c>
      <c r="Y178" t="s">
        <v>337</v>
      </c>
      <c r="AB178" t="s">
        <v>341</v>
      </c>
      <c r="AC178" t="s">
        <v>342</v>
      </c>
      <c r="AD178">
        <v>46.304110000000001</v>
      </c>
      <c r="AE178">
        <v>-84.056880000000007</v>
      </c>
      <c r="AF178" s="18">
        <v>40294.090277777781</v>
      </c>
      <c r="AG178" s="19">
        <v>40293.923611111109</v>
      </c>
      <c r="AH178" t="s">
        <v>161</v>
      </c>
      <c r="AL178" t="s">
        <v>335</v>
      </c>
      <c r="AM178" s="20">
        <v>40291</v>
      </c>
      <c r="AR178" s="39" t="s">
        <v>400</v>
      </c>
      <c r="AS178" s="39"/>
      <c r="AT178" s="39">
        <v>200</v>
      </c>
      <c r="AZ178" t="s">
        <v>108</v>
      </c>
      <c r="BC178" t="s">
        <v>336</v>
      </c>
    </row>
    <row r="179" spans="1:64" x14ac:dyDescent="0.25">
      <c r="A179" t="str">
        <f t="shared" si="2"/>
        <v>A69-9002-2399</v>
      </c>
      <c r="B179" t="s">
        <v>398</v>
      </c>
      <c r="C179" t="s">
        <v>324</v>
      </c>
      <c r="D179" t="s">
        <v>325</v>
      </c>
      <c r="F179">
        <v>2399</v>
      </c>
      <c r="G179" t="s">
        <v>326</v>
      </c>
      <c r="H179" t="s">
        <v>327</v>
      </c>
      <c r="I179" s="20">
        <v>40291</v>
      </c>
      <c r="J179">
        <v>80</v>
      </c>
      <c r="L179" t="s">
        <v>109</v>
      </c>
      <c r="M179" t="s">
        <v>328</v>
      </c>
      <c r="N179" t="s">
        <v>329</v>
      </c>
      <c r="O179" t="s">
        <v>330</v>
      </c>
      <c r="P179" t="s">
        <v>331</v>
      </c>
      <c r="U179">
        <v>0.47</v>
      </c>
      <c r="V179">
        <v>0.23400000000000001</v>
      </c>
      <c r="W179" t="s">
        <v>399</v>
      </c>
      <c r="Y179" t="s">
        <v>337</v>
      </c>
      <c r="AB179" t="s">
        <v>341</v>
      </c>
      <c r="AC179" t="s">
        <v>342</v>
      </c>
      <c r="AD179">
        <v>46.304110000000001</v>
      </c>
      <c r="AE179">
        <v>-84.056880000000007</v>
      </c>
      <c r="AF179" s="18">
        <v>40294.090277777781</v>
      </c>
      <c r="AG179" s="19">
        <v>40293.923611111109</v>
      </c>
      <c r="AH179" t="s">
        <v>161</v>
      </c>
      <c r="AL179" t="s">
        <v>335</v>
      </c>
      <c r="AM179" s="20">
        <v>40291</v>
      </c>
      <c r="AR179" s="39" t="s">
        <v>400</v>
      </c>
      <c r="AS179" s="39"/>
      <c r="AT179" s="39">
        <v>200</v>
      </c>
      <c r="AZ179" t="s">
        <v>108</v>
      </c>
      <c r="BC179" t="s">
        <v>336</v>
      </c>
    </row>
    <row r="180" spans="1:64" x14ac:dyDescent="0.25">
      <c r="A180" t="str">
        <f t="shared" si="2"/>
        <v>A69-9002-2400</v>
      </c>
      <c r="B180" t="s">
        <v>398</v>
      </c>
      <c r="C180" t="s">
        <v>324</v>
      </c>
      <c r="D180" t="s">
        <v>325</v>
      </c>
      <c r="F180">
        <v>2400</v>
      </c>
      <c r="G180" t="s">
        <v>326</v>
      </c>
      <c r="H180" t="s">
        <v>327</v>
      </c>
      <c r="I180" s="20">
        <v>40291</v>
      </c>
      <c r="J180">
        <v>80</v>
      </c>
      <c r="L180" t="s">
        <v>109</v>
      </c>
      <c r="M180" t="s">
        <v>328</v>
      </c>
      <c r="N180" t="s">
        <v>329</v>
      </c>
      <c r="O180" t="s">
        <v>330</v>
      </c>
      <c r="P180" t="s">
        <v>331</v>
      </c>
      <c r="U180">
        <v>0.49</v>
      </c>
      <c r="V180">
        <v>0.32300000000000001</v>
      </c>
      <c r="W180" t="s">
        <v>399</v>
      </c>
      <c r="Y180" t="s">
        <v>337</v>
      </c>
      <c r="AB180" t="s">
        <v>341</v>
      </c>
      <c r="AC180" t="s">
        <v>342</v>
      </c>
      <c r="AD180">
        <v>46.304110000000001</v>
      </c>
      <c r="AE180">
        <v>-84.056880000000007</v>
      </c>
      <c r="AF180" s="18">
        <v>40294.090277777781</v>
      </c>
      <c r="AG180" s="19">
        <v>40293.923611111109</v>
      </c>
      <c r="AH180" t="s">
        <v>161</v>
      </c>
      <c r="AL180" t="s">
        <v>335</v>
      </c>
      <c r="AM180" s="20">
        <v>40291</v>
      </c>
      <c r="AR180" s="39" t="s">
        <v>400</v>
      </c>
      <c r="AS180" s="39"/>
      <c r="AT180" s="39">
        <v>200</v>
      </c>
      <c r="AZ180" t="s">
        <v>108</v>
      </c>
      <c r="BC180" t="s">
        <v>336</v>
      </c>
    </row>
    <row r="181" spans="1:64" x14ac:dyDescent="0.25">
      <c r="A181" t="str">
        <f t="shared" si="2"/>
        <v>A69-9002-2401</v>
      </c>
      <c r="B181" t="s">
        <v>398</v>
      </c>
      <c r="C181" t="s">
        <v>324</v>
      </c>
      <c r="D181" t="s">
        <v>325</v>
      </c>
      <c r="F181">
        <v>2401</v>
      </c>
      <c r="G181" t="s">
        <v>326</v>
      </c>
      <c r="H181" t="s">
        <v>327</v>
      </c>
      <c r="I181" s="20">
        <v>40291</v>
      </c>
      <c r="J181">
        <v>80</v>
      </c>
      <c r="L181" t="s">
        <v>109</v>
      </c>
      <c r="M181" t="s">
        <v>328</v>
      </c>
      <c r="N181" t="s">
        <v>329</v>
      </c>
      <c r="O181" t="s">
        <v>330</v>
      </c>
      <c r="P181" t="s">
        <v>331</v>
      </c>
      <c r="U181">
        <v>0.54</v>
      </c>
      <c r="V181">
        <v>0.36699999999999999</v>
      </c>
      <c r="W181" t="s">
        <v>399</v>
      </c>
      <c r="Y181" t="s">
        <v>337</v>
      </c>
      <c r="AB181" t="s">
        <v>341</v>
      </c>
      <c r="AC181" t="s">
        <v>342</v>
      </c>
      <c r="AD181">
        <v>46.304110000000001</v>
      </c>
      <c r="AE181">
        <v>-84.056880000000007</v>
      </c>
      <c r="AF181" s="18">
        <v>40294.090277777781</v>
      </c>
      <c r="AG181" s="19">
        <v>40293.923611111109</v>
      </c>
      <c r="AH181" t="s">
        <v>161</v>
      </c>
      <c r="AL181" t="s">
        <v>335</v>
      </c>
      <c r="AM181" s="20">
        <v>40291</v>
      </c>
      <c r="AR181" s="39" t="s">
        <v>400</v>
      </c>
      <c r="AS181" s="39"/>
      <c r="AT181" s="39">
        <v>200</v>
      </c>
      <c r="AZ181" t="s">
        <v>108</v>
      </c>
      <c r="BC181" t="s">
        <v>336</v>
      </c>
    </row>
    <row r="182" spans="1:64" x14ac:dyDescent="0.25">
      <c r="A182" t="str">
        <f t="shared" si="2"/>
        <v>A69-9002-2402</v>
      </c>
      <c r="B182" t="s">
        <v>398</v>
      </c>
      <c r="C182" t="s">
        <v>324</v>
      </c>
      <c r="D182" t="s">
        <v>325</v>
      </c>
      <c r="F182">
        <v>2402</v>
      </c>
      <c r="G182" t="s">
        <v>326</v>
      </c>
      <c r="H182" t="s">
        <v>327</v>
      </c>
      <c r="I182" s="20">
        <v>40291</v>
      </c>
      <c r="J182">
        <v>80</v>
      </c>
      <c r="L182" t="s">
        <v>109</v>
      </c>
      <c r="M182" t="s">
        <v>328</v>
      </c>
      <c r="N182" t="s">
        <v>329</v>
      </c>
      <c r="O182" t="s">
        <v>330</v>
      </c>
      <c r="P182" t="s">
        <v>331</v>
      </c>
      <c r="U182">
        <v>0.53</v>
      </c>
      <c r="V182">
        <v>0.318</v>
      </c>
      <c r="W182" t="s">
        <v>399</v>
      </c>
      <c r="Y182" t="s">
        <v>337</v>
      </c>
      <c r="AB182" t="s">
        <v>341</v>
      </c>
      <c r="AC182" t="s">
        <v>342</v>
      </c>
      <c r="AD182">
        <v>46.304110000000001</v>
      </c>
      <c r="AE182">
        <v>-84.056880000000007</v>
      </c>
      <c r="AF182" s="18">
        <v>40294.090277777781</v>
      </c>
      <c r="AG182" s="19">
        <v>40293.923611111109</v>
      </c>
      <c r="AH182" t="s">
        <v>161</v>
      </c>
      <c r="AL182" t="s">
        <v>335</v>
      </c>
      <c r="AM182" s="20">
        <v>40291</v>
      </c>
      <c r="AR182" s="39" t="s">
        <v>400</v>
      </c>
      <c r="AS182" s="39"/>
      <c r="AT182" s="39">
        <v>200</v>
      </c>
      <c r="AZ182" t="s">
        <v>108</v>
      </c>
      <c r="BC182" t="s">
        <v>336</v>
      </c>
    </row>
    <row r="183" spans="1:64" x14ac:dyDescent="0.25">
      <c r="A183" t="str">
        <f t="shared" si="2"/>
        <v>A69-9002-2403</v>
      </c>
      <c r="B183" t="s">
        <v>398</v>
      </c>
      <c r="C183" t="s">
        <v>324</v>
      </c>
      <c r="D183" t="s">
        <v>325</v>
      </c>
      <c r="F183">
        <v>2403</v>
      </c>
      <c r="G183" t="s">
        <v>326</v>
      </c>
      <c r="H183" t="s">
        <v>327</v>
      </c>
      <c r="I183" s="20">
        <v>40291</v>
      </c>
      <c r="J183">
        <v>80</v>
      </c>
      <c r="L183" t="s">
        <v>109</v>
      </c>
      <c r="M183" t="s">
        <v>328</v>
      </c>
      <c r="N183" t="s">
        <v>329</v>
      </c>
      <c r="O183" t="s">
        <v>330</v>
      </c>
      <c r="P183" t="s">
        <v>331</v>
      </c>
      <c r="U183">
        <v>0.55000000000000004</v>
      </c>
      <c r="V183">
        <v>0.33200000000000002</v>
      </c>
      <c r="W183" t="s">
        <v>399</v>
      </c>
      <c r="Y183" t="s">
        <v>337</v>
      </c>
      <c r="AB183" t="s">
        <v>341</v>
      </c>
      <c r="AC183" t="s">
        <v>342</v>
      </c>
      <c r="AD183">
        <v>46.304110000000001</v>
      </c>
      <c r="AE183">
        <v>-84.056880000000007</v>
      </c>
      <c r="AF183" s="18">
        <v>40294.090277777781</v>
      </c>
      <c r="AG183" s="19">
        <v>40293.923611111109</v>
      </c>
      <c r="AH183" t="s">
        <v>161</v>
      </c>
      <c r="AL183" t="s">
        <v>335</v>
      </c>
      <c r="AM183" s="20">
        <v>40291</v>
      </c>
      <c r="AR183" s="39" t="s">
        <v>400</v>
      </c>
      <c r="AS183" s="39"/>
      <c r="AT183" s="39">
        <v>200</v>
      </c>
      <c r="AZ183" t="s">
        <v>108</v>
      </c>
      <c r="BC183" t="s">
        <v>336</v>
      </c>
    </row>
    <row r="184" spans="1:64" x14ac:dyDescent="0.25">
      <c r="A184" t="str">
        <f t="shared" si="2"/>
        <v>A69-9002-2404</v>
      </c>
      <c r="B184" t="s">
        <v>398</v>
      </c>
      <c r="C184" t="s">
        <v>324</v>
      </c>
      <c r="D184" t="s">
        <v>325</v>
      </c>
      <c r="F184">
        <v>2404</v>
      </c>
      <c r="G184" t="s">
        <v>326</v>
      </c>
      <c r="H184" t="s">
        <v>327</v>
      </c>
      <c r="I184" s="20">
        <v>40291</v>
      </c>
      <c r="J184">
        <v>80</v>
      </c>
      <c r="L184" t="s">
        <v>109</v>
      </c>
      <c r="M184" t="s">
        <v>328</v>
      </c>
      <c r="N184" t="s">
        <v>329</v>
      </c>
      <c r="O184" t="s">
        <v>330</v>
      </c>
      <c r="P184" t="s">
        <v>331</v>
      </c>
      <c r="U184">
        <v>0.56999999999999995</v>
      </c>
      <c r="V184">
        <v>0.40799999999999997</v>
      </c>
      <c r="W184" t="s">
        <v>399</v>
      </c>
      <c r="Y184" t="s">
        <v>337</v>
      </c>
      <c r="AB184" t="s">
        <v>341</v>
      </c>
      <c r="AC184" t="s">
        <v>342</v>
      </c>
      <c r="AD184">
        <v>46.304110000000001</v>
      </c>
      <c r="AE184">
        <v>-84.056880000000007</v>
      </c>
      <c r="AF184" s="18">
        <v>40294.090277777781</v>
      </c>
      <c r="AG184" s="19">
        <v>40293.923611111109</v>
      </c>
      <c r="AH184" t="s">
        <v>161</v>
      </c>
      <c r="AL184" t="s">
        <v>335</v>
      </c>
      <c r="AM184" s="20">
        <v>40291</v>
      </c>
      <c r="AR184" s="39" t="s">
        <v>400</v>
      </c>
      <c r="AS184" s="39"/>
      <c r="AT184" s="39">
        <v>200</v>
      </c>
      <c r="AZ184" t="s">
        <v>108</v>
      </c>
      <c r="BC184" t="s">
        <v>336</v>
      </c>
    </row>
    <row r="185" spans="1:64" x14ac:dyDescent="0.25">
      <c r="A185" t="str">
        <f t="shared" si="2"/>
        <v>A69-9002-2405</v>
      </c>
      <c r="B185" t="s">
        <v>398</v>
      </c>
      <c r="C185" t="s">
        <v>324</v>
      </c>
      <c r="D185" t="s">
        <v>325</v>
      </c>
      <c r="F185">
        <v>2405</v>
      </c>
      <c r="G185" t="s">
        <v>326</v>
      </c>
      <c r="H185" t="s">
        <v>327</v>
      </c>
      <c r="I185" s="20">
        <v>40291</v>
      </c>
      <c r="J185">
        <v>80</v>
      </c>
      <c r="L185" t="s">
        <v>109</v>
      </c>
      <c r="M185" t="s">
        <v>328</v>
      </c>
      <c r="N185" t="s">
        <v>329</v>
      </c>
      <c r="O185" t="s">
        <v>330</v>
      </c>
      <c r="P185" t="s">
        <v>331</v>
      </c>
      <c r="U185">
        <v>0.52</v>
      </c>
      <c r="V185">
        <v>0.27900000000000003</v>
      </c>
      <c r="W185" t="s">
        <v>399</v>
      </c>
      <c r="Y185" t="s">
        <v>337</v>
      </c>
      <c r="AB185" t="s">
        <v>341</v>
      </c>
      <c r="AC185" t="s">
        <v>342</v>
      </c>
      <c r="AD185">
        <v>46.304110000000001</v>
      </c>
      <c r="AE185">
        <v>-84.056880000000007</v>
      </c>
      <c r="AF185" s="18">
        <v>40294.090277777781</v>
      </c>
      <c r="AG185" s="19">
        <v>40293.923611111109</v>
      </c>
      <c r="AH185" t="s">
        <v>161</v>
      </c>
      <c r="AL185" t="s">
        <v>335</v>
      </c>
      <c r="AM185" s="20">
        <v>40291</v>
      </c>
      <c r="AR185" s="39" t="s">
        <v>400</v>
      </c>
      <c r="AS185" s="39"/>
      <c r="AT185" s="39">
        <v>200</v>
      </c>
      <c r="AZ185" t="s">
        <v>108</v>
      </c>
      <c r="BC185" t="s">
        <v>336</v>
      </c>
    </row>
    <row r="186" spans="1:64" x14ac:dyDescent="0.25">
      <c r="A186" t="str">
        <f t="shared" si="2"/>
        <v>A69-9002-2406</v>
      </c>
      <c r="B186" t="s">
        <v>398</v>
      </c>
      <c r="C186" t="s">
        <v>324</v>
      </c>
      <c r="D186" t="s">
        <v>325</v>
      </c>
      <c r="F186">
        <v>2406</v>
      </c>
      <c r="G186" t="s">
        <v>326</v>
      </c>
      <c r="H186" t="s">
        <v>327</v>
      </c>
      <c r="I186" s="20">
        <v>40291</v>
      </c>
      <c r="J186">
        <v>80</v>
      </c>
      <c r="L186" t="s">
        <v>109</v>
      </c>
      <c r="M186" t="s">
        <v>328</v>
      </c>
      <c r="N186" t="s">
        <v>329</v>
      </c>
      <c r="O186" t="s">
        <v>330</v>
      </c>
      <c r="P186" t="s">
        <v>331</v>
      </c>
      <c r="U186">
        <v>0.56999999999999995</v>
      </c>
      <c r="V186">
        <v>0.33700000000000002</v>
      </c>
      <c r="W186" t="s">
        <v>399</v>
      </c>
      <c r="Y186" t="s">
        <v>337</v>
      </c>
      <c r="AB186" t="s">
        <v>341</v>
      </c>
      <c r="AC186" t="s">
        <v>342</v>
      </c>
      <c r="AD186">
        <v>46.304110000000001</v>
      </c>
      <c r="AE186">
        <v>-84.056880000000007</v>
      </c>
      <c r="AF186" s="18">
        <v>40294.090277777781</v>
      </c>
      <c r="AG186" s="19">
        <v>40293.923611111109</v>
      </c>
      <c r="AH186" t="s">
        <v>161</v>
      </c>
      <c r="AL186" t="s">
        <v>335</v>
      </c>
      <c r="AM186" s="20">
        <v>40291</v>
      </c>
      <c r="AR186" s="39" t="s">
        <v>400</v>
      </c>
      <c r="AS186" s="39"/>
      <c r="AT186" s="39">
        <v>200</v>
      </c>
      <c r="AZ186" t="s">
        <v>108</v>
      </c>
      <c r="BC186" t="s">
        <v>336</v>
      </c>
    </row>
    <row r="187" spans="1:64" x14ac:dyDescent="0.25">
      <c r="A187" t="str">
        <f t="shared" si="2"/>
        <v>A69-9002-2407</v>
      </c>
      <c r="B187" t="s">
        <v>398</v>
      </c>
      <c r="C187" t="s">
        <v>324</v>
      </c>
      <c r="D187" t="s">
        <v>325</v>
      </c>
      <c r="F187">
        <v>2407</v>
      </c>
      <c r="G187" t="s">
        <v>326</v>
      </c>
      <c r="H187" t="s">
        <v>327</v>
      </c>
      <c r="I187" s="20">
        <v>40291</v>
      </c>
      <c r="J187">
        <v>80</v>
      </c>
      <c r="L187" t="s">
        <v>109</v>
      </c>
      <c r="M187" t="s">
        <v>328</v>
      </c>
      <c r="N187" t="s">
        <v>329</v>
      </c>
      <c r="O187" t="s">
        <v>330</v>
      </c>
      <c r="P187" t="s">
        <v>331</v>
      </c>
      <c r="U187">
        <v>0.53</v>
      </c>
      <c r="V187">
        <v>0.40200000000000002</v>
      </c>
      <c r="W187" t="s">
        <v>399</v>
      </c>
      <c r="Y187" t="s">
        <v>337</v>
      </c>
      <c r="AB187" t="s">
        <v>341</v>
      </c>
      <c r="AC187" t="s">
        <v>342</v>
      </c>
      <c r="AD187">
        <v>46.304110000000001</v>
      </c>
      <c r="AE187">
        <v>-84.056880000000007</v>
      </c>
      <c r="AF187" s="18">
        <v>40294.090277777781</v>
      </c>
      <c r="AG187" s="19">
        <v>40293.923611111109</v>
      </c>
      <c r="AH187" t="s">
        <v>161</v>
      </c>
      <c r="AL187" t="s">
        <v>335</v>
      </c>
      <c r="AM187" s="20">
        <v>40291</v>
      </c>
      <c r="AR187" s="39" t="s">
        <v>400</v>
      </c>
      <c r="AS187" s="39"/>
      <c r="AT187" s="39">
        <v>200</v>
      </c>
      <c r="AZ187" t="s">
        <v>108</v>
      </c>
      <c r="BC187" t="s">
        <v>336</v>
      </c>
    </row>
    <row r="188" spans="1:64" x14ac:dyDescent="0.25">
      <c r="A188" t="str">
        <f t="shared" si="2"/>
        <v>A69-9002-2408</v>
      </c>
      <c r="B188" t="s">
        <v>398</v>
      </c>
      <c r="C188" t="s">
        <v>324</v>
      </c>
      <c r="D188" t="s">
        <v>325</v>
      </c>
      <c r="F188">
        <v>2408</v>
      </c>
      <c r="G188" t="s">
        <v>326</v>
      </c>
      <c r="H188" t="s">
        <v>327</v>
      </c>
      <c r="I188" s="20">
        <v>40291</v>
      </c>
      <c r="J188">
        <v>80</v>
      </c>
      <c r="L188" t="s">
        <v>109</v>
      </c>
      <c r="M188" t="s">
        <v>328</v>
      </c>
      <c r="N188" t="s">
        <v>329</v>
      </c>
      <c r="O188" t="s">
        <v>330</v>
      </c>
      <c r="P188" t="s">
        <v>331</v>
      </c>
      <c r="U188">
        <v>0.56999999999999995</v>
      </c>
      <c r="V188">
        <v>0.42799999999999999</v>
      </c>
      <c r="W188" t="s">
        <v>399</v>
      </c>
      <c r="Y188" t="s">
        <v>332</v>
      </c>
      <c r="AB188" t="s">
        <v>341</v>
      </c>
      <c r="AC188" t="s">
        <v>342</v>
      </c>
      <c r="AD188">
        <v>46.304110000000001</v>
      </c>
      <c r="AE188">
        <v>-84.056880000000007</v>
      </c>
      <c r="AF188" s="18">
        <v>40294.090277777781</v>
      </c>
      <c r="AG188" s="19">
        <v>40293.923611111109</v>
      </c>
      <c r="AH188" t="s">
        <v>161</v>
      </c>
      <c r="AL188" t="s">
        <v>335</v>
      </c>
      <c r="AM188" s="20">
        <v>40291</v>
      </c>
      <c r="AR188" s="39" t="s">
        <v>400</v>
      </c>
      <c r="AS188" s="39"/>
      <c r="AT188" s="39">
        <v>200</v>
      </c>
      <c r="AZ188" t="s">
        <v>108</v>
      </c>
      <c r="BC188" t="s">
        <v>336</v>
      </c>
    </row>
    <row r="189" spans="1:64" x14ac:dyDescent="0.25">
      <c r="A189" t="str">
        <f t="shared" si="2"/>
        <v>A69-9002-2409</v>
      </c>
      <c r="B189" t="s">
        <v>398</v>
      </c>
      <c r="C189" t="s">
        <v>324</v>
      </c>
      <c r="D189" t="s">
        <v>325</v>
      </c>
      <c r="F189">
        <v>2409</v>
      </c>
      <c r="G189" t="s">
        <v>326</v>
      </c>
      <c r="H189" t="s">
        <v>327</v>
      </c>
      <c r="I189" s="20">
        <v>40291</v>
      </c>
      <c r="J189">
        <v>80</v>
      </c>
      <c r="L189" t="s">
        <v>109</v>
      </c>
      <c r="M189" t="s">
        <v>328</v>
      </c>
      <c r="N189" t="s">
        <v>329</v>
      </c>
      <c r="O189" t="s">
        <v>330</v>
      </c>
      <c r="P189" t="s">
        <v>331</v>
      </c>
      <c r="U189">
        <v>0.5</v>
      </c>
      <c r="V189">
        <v>0.28599999999999998</v>
      </c>
      <c r="W189" t="s">
        <v>399</v>
      </c>
      <c r="Y189" t="s">
        <v>337</v>
      </c>
      <c r="AB189" t="s">
        <v>341</v>
      </c>
      <c r="AC189" t="s">
        <v>342</v>
      </c>
      <c r="AD189">
        <v>46.304110000000001</v>
      </c>
      <c r="AE189">
        <v>-84.056880000000007</v>
      </c>
      <c r="AF189" s="18">
        <v>40294.090277777781</v>
      </c>
      <c r="AG189" s="19">
        <v>40293.923611111109</v>
      </c>
      <c r="AH189" t="s">
        <v>161</v>
      </c>
      <c r="AL189" t="s">
        <v>335</v>
      </c>
      <c r="AM189" s="20">
        <v>40291</v>
      </c>
      <c r="AR189" s="39" t="s">
        <v>400</v>
      </c>
      <c r="AS189" s="39"/>
      <c r="AT189" s="39">
        <v>200</v>
      </c>
      <c r="AZ189" t="s">
        <v>108</v>
      </c>
      <c r="BC189" t="s">
        <v>336</v>
      </c>
    </row>
    <row r="190" spans="1:64" x14ac:dyDescent="0.25">
      <c r="A190" t="str">
        <f t="shared" si="2"/>
        <v>A69-9002-2410</v>
      </c>
      <c r="B190" t="s">
        <v>398</v>
      </c>
      <c r="C190" t="s">
        <v>324</v>
      </c>
      <c r="D190" t="s">
        <v>325</v>
      </c>
      <c r="F190">
        <v>2410</v>
      </c>
      <c r="G190" t="s">
        <v>326</v>
      </c>
      <c r="H190" t="s">
        <v>327</v>
      </c>
      <c r="I190" s="20">
        <v>40291</v>
      </c>
      <c r="J190">
        <v>80</v>
      </c>
      <c r="L190" t="s">
        <v>109</v>
      </c>
      <c r="M190" t="s">
        <v>328</v>
      </c>
      <c r="N190" t="s">
        <v>329</v>
      </c>
      <c r="O190" t="s">
        <v>330</v>
      </c>
      <c r="P190" t="s">
        <v>331</v>
      </c>
      <c r="U190">
        <v>0.56999999999999995</v>
      </c>
      <c r="V190">
        <v>0.34599999999999997</v>
      </c>
      <c r="W190" t="s">
        <v>399</v>
      </c>
      <c r="Y190" t="s">
        <v>332</v>
      </c>
      <c r="AB190" t="s">
        <v>341</v>
      </c>
      <c r="AC190" t="s">
        <v>342</v>
      </c>
      <c r="AD190">
        <v>46.304110000000001</v>
      </c>
      <c r="AE190">
        <v>-84.056880000000007</v>
      </c>
      <c r="AF190" s="18">
        <v>40294.090277777781</v>
      </c>
      <c r="AG190" s="19">
        <v>40293.923611111109</v>
      </c>
      <c r="AH190" t="s">
        <v>161</v>
      </c>
      <c r="AL190" t="s">
        <v>335</v>
      </c>
      <c r="AM190" s="20">
        <v>40291</v>
      </c>
      <c r="AR190" s="39" t="s">
        <v>400</v>
      </c>
      <c r="AS190" s="39"/>
      <c r="AT190" s="39">
        <v>200</v>
      </c>
      <c r="AZ190" t="s">
        <v>108</v>
      </c>
      <c r="BC190" t="s">
        <v>336</v>
      </c>
    </row>
    <row r="191" spans="1:64" x14ac:dyDescent="0.25">
      <c r="A191" t="str">
        <f t="shared" si="2"/>
        <v>A69-9002-2411</v>
      </c>
      <c r="B191" t="s">
        <v>398</v>
      </c>
      <c r="C191" t="s">
        <v>324</v>
      </c>
      <c r="D191" t="s">
        <v>325</v>
      </c>
      <c r="F191">
        <v>2411</v>
      </c>
      <c r="G191" t="s">
        <v>326</v>
      </c>
      <c r="H191" t="s">
        <v>327</v>
      </c>
      <c r="I191" s="20">
        <v>40291</v>
      </c>
      <c r="J191">
        <v>80</v>
      </c>
      <c r="L191" t="s">
        <v>109</v>
      </c>
      <c r="M191" t="s">
        <v>328</v>
      </c>
      <c r="N191" t="s">
        <v>329</v>
      </c>
      <c r="O191" t="s">
        <v>330</v>
      </c>
      <c r="P191" t="s">
        <v>331</v>
      </c>
      <c r="U191">
        <v>0.54</v>
      </c>
      <c r="V191">
        <v>0.36399999999999999</v>
      </c>
      <c r="W191" t="s">
        <v>399</v>
      </c>
      <c r="Y191" t="s">
        <v>332</v>
      </c>
      <c r="AB191" t="s">
        <v>341</v>
      </c>
      <c r="AC191" t="s">
        <v>342</v>
      </c>
      <c r="AD191">
        <v>46.304110000000001</v>
      </c>
      <c r="AE191">
        <v>-84.056880000000007</v>
      </c>
      <c r="AF191" s="18">
        <v>40294.090277777781</v>
      </c>
      <c r="AG191" s="19">
        <v>40293.923611111109</v>
      </c>
      <c r="AH191" t="s">
        <v>161</v>
      </c>
      <c r="AL191" t="s">
        <v>335</v>
      </c>
      <c r="AM191" s="20">
        <v>40291</v>
      </c>
      <c r="AR191" s="39" t="s">
        <v>400</v>
      </c>
      <c r="AS191" s="39"/>
      <c r="AT191" s="39">
        <v>200</v>
      </c>
      <c r="AZ191" t="s">
        <v>108</v>
      </c>
      <c r="BC191" t="s">
        <v>163</v>
      </c>
      <c r="BD191" s="20">
        <v>40338</v>
      </c>
      <c r="BF191" s="21" t="s">
        <v>406</v>
      </c>
      <c r="BG191" s="1" t="s">
        <v>113</v>
      </c>
      <c r="BH191" s="39" t="s">
        <v>408</v>
      </c>
      <c r="BI191" s="1">
        <v>46.514783999999999</v>
      </c>
      <c r="BJ191" s="1">
        <v>-84.346945000000005</v>
      </c>
      <c r="BK191" t="s">
        <v>404</v>
      </c>
      <c r="BL191" s="39" t="s">
        <v>336</v>
      </c>
    </row>
    <row r="192" spans="1:64" x14ac:dyDescent="0.25">
      <c r="A192" t="str">
        <f t="shared" si="2"/>
        <v>A69-9002-2412</v>
      </c>
      <c r="B192" t="s">
        <v>398</v>
      </c>
      <c r="C192" t="s">
        <v>324</v>
      </c>
      <c r="D192" t="s">
        <v>325</v>
      </c>
      <c r="F192">
        <v>2412</v>
      </c>
      <c r="G192" t="s">
        <v>326</v>
      </c>
      <c r="H192" t="s">
        <v>327</v>
      </c>
      <c r="I192" s="20">
        <v>40291</v>
      </c>
      <c r="J192">
        <v>80</v>
      </c>
      <c r="L192" t="s">
        <v>109</v>
      </c>
      <c r="M192" t="s">
        <v>328</v>
      </c>
      <c r="N192" t="s">
        <v>329</v>
      </c>
      <c r="O192" t="s">
        <v>330</v>
      </c>
      <c r="P192" t="s">
        <v>331</v>
      </c>
      <c r="U192">
        <v>0.57999999999999996</v>
      </c>
      <c r="V192">
        <v>0.33600000000000002</v>
      </c>
      <c r="W192" t="s">
        <v>399</v>
      </c>
      <c r="Y192" t="s">
        <v>332</v>
      </c>
      <c r="AB192" t="s">
        <v>341</v>
      </c>
      <c r="AC192" t="s">
        <v>342</v>
      </c>
      <c r="AD192">
        <v>46.304110000000001</v>
      </c>
      <c r="AE192">
        <v>-84.056880000000007</v>
      </c>
      <c r="AF192" s="18">
        <v>40294.090277777781</v>
      </c>
      <c r="AG192" s="19">
        <v>40293.923611111109</v>
      </c>
      <c r="AH192" t="s">
        <v>161</v>
      </c>
      <c r="AL192" t="s">
        <v>335</v>
      </c>
      <c r="AM192" s="20">
        <v>40291</v>
      </c>
      <c r="AR192" s="39" t="s">
        <v>400</v>
      </c>
      <c r="AS192" s="39"/>
      <c r="AT192" s="39">
        <v>200</v>
      </c>
      <c r="AZ192" t="s">
        <v>108</v>
      </c>
      <c r="BC192" t="s">
        <v>336</v>
      </c>
    </row>
    <row r="193" spans="1:64" x14ac:dyDescent="0.25">
      <c r="A193" t="str">
        <f t="shared" si="2"/>
        <v>A69-9002-2413</v>
      </c>
      <c r="B193" t="s">
        <v>398</v>
      </c>
      <c r="C193" t="s">
        <v>324</v>
      </c>
      <c r="D193" t="s">
        <v>325</v>
      </c>
      <c r="F193">
        <v>2413</v>
      </c>
      <c r="G193" t="s">
        <v>326</v>
      </c>
      <c r="H193" t="s">
        <v>327</v>
      </c>
      <c r="I193" s="20">
        <v>40291</v>
      </c>
      <c r="J193">
        <v>80</v>
      </c>
      <c r="L193" t="s">
        <v>109</v>
      </c>
      <c r="M193" t="s">
        <v>328</v>
      </c>
      <c r="N193" t="s">
        <v>329</v>
      </c>
      <c r="O193" t="s">
        <v>330</v>
      </c>
      <c r="P193" t="s">
        <v>331</v>
      </c>
      <c r="U193">
        <v>0.54</v>
      </c>
      <c r="V193">
        <v>0.36499999999999999</v>
      </c>
      <c r="W193" t="s">
        <v>399</v>
      </c>
      <c r="Y193" t="s">
        <v>337</v>
      </c>
      <c r="AB193" t="s">
        <v>341</v>
      </c>
      <c r="AC193" t="s">
        <v>342</v>
      </c>
      <c r="AD193">
        <v>46.304110000000001</v>
      </c>
      <c r="AE193">
        <v>-84.056880000000007</v>
      </c>
      <c r="AF193" s="18">
        <v>40294.090277777781</v>
      </c>
      <c r="AG193" s="19">
        <v>40293.923611111109</v>
      </c>
      <c r="AH193" t="s">
        <v>161</v>
      </c>
      <c r="AL193" t="s">
        <v>335</v>
      </c>
      <c r="AM193" s="20">
        <v>40291</v>
      </c>
      <c r="AR193" s="39" t="s">
        <v>400</v>
      </c>
      <c r="AS193" s="39"/>
      <c r="AT193" s="39">
        <v>200</v>
      </c>
      <c r="AZ193" t="s">
        <v>108</v>
      </c>
      <c r="BC193" t="s">
        <v>336</v>
      </c>
    </row>
    <row r="194" spans="1:64" x14ac:dyDescent="0.25">
      <c r="A194" t="str">
        <f t="shared" si="2"/>
        <v>A69-9002-2414</v>
      </c>
      <c r="B194" t="s">
        <v>398</v>
      </c>
      <c r="C194" t="s">
        <v>324</v>
      </c>
      <c r="D194" t="s">
        <v>325</v>
      </c>
      <c r="F194">
        <v>2414</v>
      </c>
      <c r="G194" t="s">
        <v>326</v>
      </c>
      <c r="H194" t="s">
        <v>327</v>
      </c>
      <c r="I194" s="20">
        <v>40291</v>
      </c>
      <c r="J194">
        <v>80</v>
      </c>
      <c r="L194" t="s">
        <v>109</v>
      </c>
      <c r="M194" t="s">
        <v>328</v>
      </c>
      <c r="N194" t="s">
        <v>329</v>
      </c>
      <c r="O194" t="s">
        <v>330</v>
      </c>
      <c r="P194" t="s">
        <v>331</v>
      </c>
      <c r="U194">
        <v>0.56000000000000005</v>
      </c>
      <c r="V194">
        <v>0.35899999999999999</v>
      </c>
      <c r="W194" t="s">
        <v>399</v>
      </c>
      <c r="Y194" t="s">
        <v>332</v>
      </c>
      <c r="AB194" t="s">
        <v>341</v>
      </c>
      <c r="AC194" t="s">
        <v>342</v>
      </c>
      <c r="AD194">
        <v>46.304110000000001</v>
      </c>
      <c r="AE194">
        <v>-84.056880000000007</v>
      </c>
      <c r="AF194" s="18">
        <v>40294.090277777781</v>
      </c>
      <c r="AG194" s="19">
        <v>40293.923611111109</v>
      </c>
      <c r="AH194" t="s">
        <v>161</v>
      </c>
      <c r="AL194" t="s">
        <v>335</v>
      </c>
      <c r="AM194" s="20">
        <v>40291</v>
      </c>
      <c r="AR194" s="39" t="s">
        <v>400</v>
      </c>
      <c r="AS194" s="39"/>
      <c r="AT194" s="39">
        <v>200</v>
      </c>
      <c r="AZ194" t="s">
        <v>108</v>
      </c>
      <c r="BC194" t="s">
        <v>336</v>
      </c>
    </row>
    <row r="195" spans="1:64" x14ac:dyDescent="0.25">
      <c r="A195" t="str">
        <f t="shared" si="2"/>
        <v>A69-9002-2415</v>
      </c>
      <c r="B195" t="s">
        <v>398</v>
      </c>
      <c r="C195" t="s">
        <v>324</v>
      </c>
      <c r="D195" t="s">
        <v>325</v>
      </c>
      <c r="F195">
        <v>2415</v>
      </c>
      <c r="G195" t="s">
        <v>326</v>
      </c>
      <c r="H195" t="s">
        <v>327</v>
      </c>
      <c r="I195" s="20">
        <v>40291</v>
      </c>
      <c r="J195">
        <v>80</v>
      </c>
      <c r="L195" t="s">
        <v>109</v>
      </c>
      <c r="M195" t="s">
        <v>328</v>
      </c>
      <c r="N195" t="s">
        <v>329</v>
      </c>
      <c r="O195" t="s">
        <v>330</v>
      </c>
      <c r="P195" t="s">
        <v>331</v>
      </c>
      <c r="U195">
        <v>0.51</v>
      </c>
      <c r="V195">
        <v>0.33700000000000002</v>
      </c>
      <c r="W195" t="s">
        <v>399</v>
      </c>
      <c r="Y195" t="s">
        <v>332</v>
      </c>
      <c r="AB195" t="s">
        <v>341</v>
      </c>
      <c r="AC195" t="s">
        <v>342</v>
      </c>
      <c r="AD195">
        <v>46.304110000000001</v>
      </c>
      <c r="AE195">
        <v>-84.056880000000007</v>
      </c>
      <c r="AF195" s="18">
        <v>40294.090277777781</v>
      </c>
      <c r="AG195" s="19">
        <v>40293.923611111109</v>
      </c>
      <c r="AH195" t="s">
        <v>161</v>
      </c>
      <c r="AL195" t="s">
        <v>335</v>
      </c>
      <c r="AM195" s="20">
        <v>40291</v>
      </c>
      <c r="AR195" s="39" t="s">
        <v>400</v>
      </c>
      <c r="AS195" s="39"/>
      <c r="AT195" s="39">
        <v>200</v>
      </c>
      <c r="AZ195" t="s">
        <v>108</v>
      </c>
      <c r="BC195" t="s">
        <v>336</v>
      </c>
    </row>
    <row r="196" spans="1:64" x14ac:dyDescent="0.25">
      <c r="A196" t="str">
        <f t="shared" ref="A196:A259" si="3">CONCATENATE(G196,"-",F196)</f>
        <v>A69-9002-2416</v>
      </c>
      <c r="B196" t="s">
        <v>398</v>
      </c>
      <c r="C196" t="s">
        <v>324</v>
      </c>
      <c r="D196" t="s">
        <v>325</v>
      </c>
      <c r="F196">
        <v>2416</v>
      </c>
      <c r="G196" t="s">
        <v>326</v>
      </c>
      <c r="H196" t="s">
        <v>327</v>
      </c>
      <c r="I196" s="20">
        <v>40291</v>
      </c>
      <c r="J196">
        <v>80</v>
      </c>
      <c r="L196" t="s">
        <v>109</v>
      </c>
      <c r="M196" t="s">
        <v>328</v>
      </c>
      <c r="N196" t="s">
        <v>329</v>
      </c>
      <c r="O196" t="s">
        <v>330</v>
      </c>
      <c r="P196" t="s">
        <v>331</v>
      </c>
      <c r="U196">
        <v>0.51</v>
      </c>
      <c r="V196">
        <v>0.29499999999999998</v>
      </c>
      <c r="W196" t="s">
        <v>399</v>
      </c>
      <c r="Y196" t="s">
        <v>332</v>
      </c>
      <c r="AB196" t="s">
        <v>341</v>
      </c>
      <c r="AC196" t="s">
        <v>342</v>
      </c>
      <c r="AD196">
        <v>46.304110000000001</v>
      </c>
      <c r="AE196">
        <v>-84.056880000000007</v>
      </c>
      <c r="AF196" s="18">
        <v>40294.090277777781</v>
      </c>
      <c r="AG196" s="19">
        <v>40293.923611111109</v>
      </c>
      <c r="AH196" t="s">
        <v>161</v>
      </c>
      <c r="AL196" t="s">
        <v>335</v>
      </c>
      <c r="AM196" s="20">
        <v>40291</v>
      </c>
      <c r="AR196" s="39" t="s">
        <v>400</v>
      </c>
      <c r="AS196" s="39"/>
      <c r="AT196" s="39">
        <v>200</v>
      </c>
      <c r="AZ196" t="s">
        <v>108</v>
      </c>
      <c r="BC196" t="s">
        <v>336</v>
      </c>
    </row>
    <row r="197" spans="1:64" x14ac:dyDescent="0.25">
      <c r="A197" t="str">
        <f t="shared" si="3"/>
        <v>A69-9002-2417</v>
      </c>
      <c r="B197" t="s">
        <v>398</v>
      </c>
      <c r="C197" t="s">
        <v>324</v>
      </c>
      <c r="D197" t="s">
        <v>325</v>
      </c>
      <c r="F197">
        <v>2417</v>
      </c>
      <c r="G197" t="s">
        <v>326</v>
      </c>
      <c r="H197" t="s">
        <v>327</v>
      </c>
      <c r="I197" s="20">
        <v>40291</v>
      </c>
      <c r="J197">
        <v>80</v>
      </c>
      <c r="L197" t="s">
        <v>109</v>
      </c>
      <c r="M197" t="s">
        <v>328</v>
      </c>
      <c r="N197" t="s">
        <v>329</v>
      </c>
      <c r="O197" t="s">
        <v>330</v>
      </c>
      <c r="P197" t="s">
        <v>331</v>
      </c>
      <c r="U197">
        <v>0.52</v>
      </c>
      <c r="V197">
        <v>0.35699999999999998</v>
      </c>
      <c r="W197" t="s">
        <v>399</v>
      </c>
      <c r="Y197" t="s">
        <v>332</v>
      </c>
      <c r="AB197" t="s">
        <v>341</v>
      </c>
      <c r="AC197" t="s">
        <v>342</v>
      </c>
      <c r="AD197">
        <v>46.304110000000001</v>
      </c>
      <c r="AE197">
        <v>-84.056880000000007</v>
      </c>
      <c r="AF197" s="18">
        <v>40294.090277777781</v>
      </c>
      <c r="AG197" s="19">
        <v>40293.923611111109</v>
      </c>
      <c r="AH197" t="s">
        <v>161</v>
      </c>
      <c r="AL197" t="s">
        <v>335</v>
      </c>
      <c r="AM197" s="20">
        <v>40291</v>
      </c>
      <c r="AR197" s="39" t="s">
        <v>400</v>
      </c>
      <c r="AS197" s="39"/>
      <c r="AT197" s="39">
        <v>200</v>
      </c>
      <c r="AZ197" t="s">
        <v>108</v>
      </c>
      <c r="BC197" t="s">
        <v>336</v>
      </c>
    </row>
    <row r="198" spans="1:64" x14ac:dyDescent="0.25">
      <c r="A198" t="str">
        <f t="shared" si="3"/>
        <v>A69-9002-2418</v>
      </c>
      <c r="B198" t="s">
        <v>398</v>
      </c>
      <c r="C198" t="s">
        <v>324</v>
      </c>
      <c r="D198" t="s">
        <v>325</v>
      </c>
      <c r="F198">
        <v>2418</v>
      </c>
      <c r="G198" t="s">
        <v>326</v>
      </c>
      <c r="H198" t="s">
        <v>327</v>
      </c>
      <c r="I198" s="20">
        <v>40291</v>
      </c>
      <c r="J198">
        <v>80</v>
      </c>
      <c r="L198" t="s">
        <v>109</v>
      </c>
      <c r="M198" t="s">
        <v>328</v>
      </c>
      <c r="N198" t="s">
        <v>329</v>
      </c>
      <c r="O198" t="s">
        <v>330</v>
      </c>
      <c r="P198" t="s">
        <v>331</v>
      </c>
      <c r="U198">
        <v>0.54</v>
      </c>
      <c r="V198">
        <v>0.36299999999999999</v>
      </c>
      <c r="W198" t="s">
        <v>399</v>
      </c>
      <c r="Y198" t="s">
        <v>332</v>
      </c>
      <c r="AB198" t="s">
        <v>341</v>
      </c>
      <c r="AC198" t="s">
        <v>342</v>
      </c>
      <c r="AD198">
        <v>46.304110000000001</v>
      </c>
      <c r="AE198">
        <v>-84.056880000000007</v>
      </c>
      <c r="AF198" s="18">
        <v>40294.090277777781</v>
      </c>
      <c r="AG198" s="19">
        <v>40293.923611111109</v>
      </c>
      <c r="AH198" t="s">
        <v>161</v>
      </c>
      <c r="AL198" t="s">
        <v>335</v>
      </c>
      <c r="AM198" s="20">
        <v>40291</v>
      </c>
      <c r="AR198" s="39" t="s">
        <v>400</v>
      </c>
      <c r="AS198" s="39"/>
      <c r="AT198" s="39">
        <v>200</v>
      </c>
      <c r="AZ198" t="s">
        <v>108</v>
      </c>
      <c r="BC198" t="s">
        <v>336</v>
      </c>
    </row>
    <row r="199" spans="1:64" x14ac:dyDescent="0.25">
      <c r="A199" t="str">
        <f t="shared" si="3"/>
        <v>A69-9002-2419</v>
      </c>
      <c r="B199" t="s">
        <v>398</v>
      </c>
      <c r="C199" t="s">
        <v>324</v>
      </c>
      <c r="D199" t="s">
        <v>325</v>
      </c>
      <c r="F199">
        <v>2419</v>
      </c>
      <c r="G199" t="s">
        <v>326</v>
      </c>
      <c r="H199" t="s">
        <v>327</v>
      </c>
      <c r="I199" s="20">
        <v>40291</v>
      </c>
      <c r="J199">
        <v>80</v>
      </c>
      <c r="L199" t="s">
        <v>109</v>
      </c>
      <c r="M199" t="s">
        <v>328</v>
      </c>
      <c r="N199" t="s">
        <v>329</v>
      </c>
      <c r="O199" t="s">
        <v>330</v>
      </c>
      <c r="P199" t="s">
        <v>331</v>
      </c>
      <c r="U199">
        <v>0.54</v>
      </c>
      <c r="V199">
        <v>0.29799999999999999</v>
      </c>
      <c r="W199" t="s">
        <v>399</v>
      </c>
      <c r="Y199" t="s">
        <v>332</v>
      </c>
      <c r="AB199" t="s">
        <v>341</v>
      </c>
      <c r="AC199" t="s">
        <v>342</v>
      </c>
      <c r="AD199">
        <v>46.304110000000001</v>
      </c>
      <c r="AE199">
        <v>-84.056880000000007</v>
      </c>
      <c r="AF199" s="18">
        <v>40294.090277777781</v>
      </c>
      <c r="AG199" s="19">
        <v>40293.923611111109</v>
      </c>
      <c r="AH199" t="s">
        <v>161</v>
      </c>
      <c r="AL199" t="s">
        <v>335</v>
      </c>
      <c r="AM199" s="20">
        <v>40291</v>
      </c>
      <c r="AR199" s="39" t="s">
        <v>400</v>
      </c>
      <c r="AS199" s="39"/>
      <c r="AT199" s="39">
        <v>200</v>
      </c>
      <c r="AZ199" t="s">
        <v>108</v>
      </c>
      <c r="BC199" t="s">
        <v>336</v>
      </c>
    </row>
    <row r="200" spans="1:64" x14ac:dyDescent="0.25">
      <c r="A200" t="str">
        <f t="shared" si="3"/>
        <v>A69-9002-2420</v>
      </c>
      <c r="B200" t="s">
        <v>398</v>
      </c>
      <c r="C200" t="s">
        <v>324</v>
      </c>
      <c r="D200" t="s">
        <v>325</v>
      </c>
      <c r="F200">
        <v>2420</v>
      </c>
      <c r="G200" t="s">
        <v>326</v>
      </c>
      <c r="H200" t="s">
        <v>327</v>
      </c>
      <c r="I200" s="20">
        <v>40291</v>
      </c>
      <c r="J200">
        <v>80</v>
      </c>
      <c r="L200" t="s">
        <v>109</v>
      </c>
      <c r="M200" t="s">
        <v>328</v>
      </c>
      <c r="N200" t="s">
        <v>329</v>
      </c>
      <c r="O200" t="s">
        <v>330</v>
      </c>
      <c r="P200" t="s">
        <v>331</v>
      </c>
      <c r="U200">
        <v>0.51</v>
      </c>
      <c r="V200">
        <v>0.307</v>
      </c>
      <c r="W200" t="s">
        <v>399</v>
      </c>
      <c r="Y200" t="s">
        <v>332</v>
      </c>
      <c r="AB200" t="s">
        <v>341</v>
      </c>
      <c r="AC200" t="s">
        <v>342</v>
      </c>
      <c r="AD200">
        <v>46.304110000000001</v>
      </c>
      <c r="AE200">
        <v>-84.056880000000007</v>
      </c>
      <c r="AF200" s="18">
        <v>40294.090277777781</v>
      </c>
      <c r="AG200" s="19">
        <v>40293.923611111109</v>
      </c>
      <c r="AH200" t="s">
        <v>161</v>
      </c>
      <c r="AL200" t="s">
        <v>335</v>
      </c>
      <c r="AM200" s="20">
        <v>40291</v>
      </c>
      <c r="AR200" s="39" t="s">
        <v>400</v>
      </c>
      <c r="AS200" s="39"/>
      <c r="AT200" s="39">
        <v>200</v>
      </c>
      <c r="AZ200" t="s">
        <v>108</v>
      </c>
      <c r="BC200" t="s">
        <v>336</v>
      </c>
    </row>
    <row r="201" spans="1:64" x14ac:dyDescent="0.25">
      <c r="A201" t="str">
        <f t="shared" si="3"/>
        <v>A69-9002-2343</v>
      </c>
      <c r="B201" t="s">
        <v>398</v>
      </c>
      <c r="C201" t="s">
        <v>324</v>
      </c>
      <c r="D201" t="s">
        <v>325</v>
      </c>
      <c r="F201">
        <v>2343</v>
      </c>
      <c r="G201" t="s">
        <v>326</v>
      </c>
      <c r="H201" t="s">
        <v>327</v>
      </c>
      <c r="I201" s="20">
        <v>40290</v>
      </c>
      <c r="J201">
        <v>80</v>
      </c>
      <c r="L201" t="s">
        <v>109</v>
      </c>
      <c r="M201" t="s">
        <v>328</v>
      </c>
      <c r="N201" t="s">
        <v>329</v>
      </c>
      <c r="O201" t="s">
        <v>330</v>
      </c>
      <c r="P201" t="s">
        <v>331</v>
      </c>
      <c r="U201">
        <v>0.54</v>
      </c>
      <c r="V201">
        <v>0.29699999999999999</v>
      </c>
      <c r="W201" t="s">
        <v>399</v>
      </c>
      <c r="Y201" t="s">
        <v>332</v>
      </c>
      <c r="AB201" t="s">
        <v>341</v>
      </c>
      <c r="AC201" t="s">
        <v>342</v>
      </c>
      <c r="AD201">
        <v>46.304110000000001</v>
      </c>
      <c r="AE201">
        <v>-84.056880000000007</v>
      </c>
      <c r="AF201" s="18">
        <v>40294.090277777781</v>
      </c>
      <c r="AG201" s="19">
        <v>40293.923611111109</v>
      </c>
      <c r="AH201" t="s">
        <v>161</v>
      </c>
      <c r="AL201" t="s">
        <v>335</v>
      </c>
      <c r="AM201" s="20">
        <v>40290</v>
      </c>
      <c r="AR201" s="39" t="s">
        <v>400</v>
      </c>
      <c r="AS201" s="39"/>
      <c r="AT201" s="39">
        <v>200</v>
      </c>
      <c r="AZ201" t="s">
        <v>108</v>
      </c>
      <c r="BC201" t="s">
        <v>336</v>
      </c>
    </row>
    <row r="202" spans="1:64" x14ac:dyDescent="0.25">
      <c r="A202" t="str">
        <f t="shared" si="3"/>
        <v>A69-9002-2350</v>
      </c>
      <c r="B202" t="s">
        <v>398</v>
      </c>
      <c r="C202" t="s">
        <v>324</v>
      </c>
      <c r="D202" t="s">
        <v>325</v>
      </c>
      <c r="F202">
        <v>2350</v>
      </c>
      <c r="G202" t="s">
        <v>326</v>
      </c>
      <c r="H202" t="s">
        <v>327</v>
      </c>
      <c r="I202" s="20">
        <v>40291</v>
      </c>
      <c r="J202">
        <v>80</v>
      </c>
      <c r="L202" t="s">
        <v>109</v>
      </c>
      <c r="M202" t="s">
        <v>328</v>
      </c>
      <c r="N202" t="s">
        <v>329</v>
      </c>
      <c r="O202" t="s">
        <v>330</v>
      </c>
      <c r="P202" t="s">
        <v>331</v>
      </c>
      <c r="U202">
        <v>0.56000000000000005</v>
      </c>
      <c r="V202">
        <v>0.35399999999999998</v>
      </c>
      <c r="W202" t="s">
        <v>399</v>
      </c>
      <c r="Y202" t="s">
        <v>332</v>
      </c>
      <c r="AB202" t="s">
        <v>341</v>
      </c>
      <c r="AC202" t="s">
        <v>342</v>
      </c>
      <c r="AD202">
        <v>46.304110000000001</v>
      </c>
      <c r="AE202">
        <v>-84.056880000000007</v>
      </c>
      <c r="AF202" s="18">
        <v>40294.090277777781</v>
      </c>
      <c r="AG202" s="19">
        <v>40293.923611111109</v>
      </c>
      <c r="AH202" t="s">
        <v>161</v>
      </c>
      <c r="AL202" t="s">
        <v>335</v>
      </c>
      <c r="AM202" s="20">
        <v>40291</v>
      </c>
      <c r="AR202" s="39" t="s">
        <v>400</v>
      </c>
      <c r="AS202" s="39"/>
      <c r="AT202" s="39">
        <v>200</v>
      </c>
      <c r="AZ202" t="s">
        <v>108</v>
      </c>
      <c r="BC202" t="s">
        <v>336</v>
      </c>
    </row>
    <row r="203" spans="1:64" x14ac:dyDescent="0.25">
      <c r="A203" t="str">
        <f t="shared" si="3"/>
        <v>A69-9002-2586</v>
      </c>
      <c r="B203" t="s">
        <v>398</v>
      </c>
      <c r="C203" t="s">
        <v>324</v>
      </c>
      <c r="D203" t="s">
        <v>325</v>
      </c>
      <c r="F203">
        <v>2586</v>
      </c>
      <c r="G203" t="s">
        <v>326</v>
      </c>
      <c r="H203" t="s">
        <v>327</v>
      </c>
      <c r="I203" s="20">
        <v>40304</v>
      </c>
      <c r="J203">
        <v>80</v>
      </c>
      <c r="L203" t="s">
        <v>109</v>
      </c>
      <c r="M203" t="s">
        <v>328</v>
      </c>
      <c r="N203" t="s">
        <v>329</v>
      </c>
      <c r="O203" t="s">
        <v>330</v>
      </c>
      <c r="P203" t="s">
        <v>338</v>
      </c>
      <c r="U203">
        <v>0.47</v>
      </c>
      <c r="V203">
        <v>0.215</v>
      </c>
      <c r="W203" t="s">
        <v>399</v>
      </c>
      <c r="Y203" t="s">
        <v>337</v>
      </c>
      <c r="AB203" t="s">
        <v>343</v>
      </c>
      <c r="AC203" t="s">
        <v>342</v>
      </c>
      <c r="AD203" s="34">
        <v>46.302694510000002</v>
      </c>
      <c r="AE203" s="34">
        <v>-84.054857769999998</v>
      </c>
      <c r="AF203" s="18">
        <v>40308.038194444445</v>
      </c>
      <c r="AG203" s="19">
        <v>40307.871527777781</v>
      </c>
      <c r="AH203" t="s">
        <v>161</v>
      </c>
      <c r="AL203" t="s">
        <v>335</v>
      </c>
      <c r="AM203" s="20">
        <v>40304</v>
      </c>
      <c r="AR203" s="39" t="s">
        <v>400</v>
      </c>
      <c r="AS203" s="39"/>
      <c r="AT203" s="39">
        <v>200</v>
      </c>
      <c r="AZ203" t="s">
        <v>108</v>
      </c>
      <c r="BC203" t="s">
        <v>336</v>
      </c>
    </row>
    <row r="204" spans="1:64" x14ac:dyDescent="0.25">
      <c r="A204" t="str">
        <f t="shared" si="3"/>
        <v>A69-9002-2587</v>
      </c>
      <c r="B204" t="s">
        <v>398</v>
      </c>
      <c r="C204" t="s">
        <v>324</v>
      </c>
      <c r="D204" t="s">
        <v>325</v>
      </c>
      <c r="F204">
        <v>2587</v>
      </c>
      <c r="G204" t="s">
        <v>326</v>
      </c>
      <c r="H204" t="s">
        <v>327</v>
      </c>
      <c r="I204" s="20">
        <v>40304</v>
      </c>
      <c r="J204">
        <v>80</v>
      </c>
      <c r="L204" t="s">
        <v>109</v>
      </c>
      <c r="M204" t="s">
        <v>328</v>
      </c>
      <c r="N204" t="s">
        <v>329</v>
      </c>
      <c r="O204" t="s">
        <v>330</v>
      </c>
      <c r="P204" t="s">
        <v>338</v>
      </c>
      <c r="U204">
        <v>0.45</v>
      </c>
      <c r="V204">
        <v>0.186</v>
      </c>
      <c r="W204" t="s">
        <v>399</v>
      </c>
      <c r="Y204" t="s">
        <v>332</v>
      </c>
      <c r="AB204" t="s">
        <v>343</v>
      </c>
      <c r="AC204" t="s">
        <v>342</v>
      </c>
      <c r="AD204" s="34">
        <v>46.302694510000002</v>
      </c>
      <c r="AE204" s="34">
        <v>-84.054857769999998</v>
      </c>
      <c r="AF204" s="18">
        <v>40308.038194444445</v>
      </c>
      <c r="AG204" s="19">
        <v>40307.871527777781</v>
      </c>
      <c r="AH204" t="s">
        <v>161</v>
      </c>
      <c r="AL204" t="s">
        <v>335</v>
      </c>
      <c r="AM204" s="20">
        <v>40304</v>
      </c>
      <c r="AR204" s="39" t="s">
        <v>400</v>
      </c>
      <c r="AS204" s="39"/>
      <c r="AT204" s="39">
        <v>200</v>
      </c>
      <c r="AZ204" t="s">
        <v>108</v>
      </c>
      <c r="BC204" t="s">
        <v>336</v>
      </c>
    </row>
    <row r="205" spans="1:64" x14ac:dyDescent="0.25">
      <c r="A205" t="str">
        <f t="shared" si="3"/>
        <v>A69-9002-2588</v>
      </c>
      <c r="B205" t="s">
        <v>398</v>
      </c>
      <c r="C205" t="s">
        <v>324</v>
      </c>
      <c r="D205" t="s">
        <v>325</v>
      </c>
      <c r="F205">
        <v>2588</v>
      </c>
      <c r="G205" t="s">
        <v>326</v>
      </c>
      <c r="H205" t="s">
        <v>327</v>
      </c>
      <c r="I205" s="20">
        <v>40304</v>
      </c>
      <c r="J205">
        <v>80</v>
      </c>
      <c r="L205" t="s">
        <v>109</v>
      </c>
      <c r="M205" t="s">
        <v>328</v>
      </c>
      <c r="N205" t="s">
        <v>329</v>
      </c>
      <c r="O205" t="s">
        <v>330</v>
      </c>
      <c r="P205" t="s">
        <v>338</v>
      </c>
      <c r="U205">
        <v>0.51</v>
      </c>
      <c r="V205">
        <v>0.245</v>
      </c>
      <c r="W205" t="s">
        <v>399</v>
      </c>
      <c r="Y205" t="s">
        <v>337</v>
      </c>
      <c r="AB205" t="s">
        <v>343</v>
      </c>
      <c r="AC205" t="s">
        <v>342</v>
      </c>
      <c r="AD205" s="34">
        <v>46.302694510000002</v>
      </c>
      <c r="AE205" s="34">
        <v>-84.054857769999998</v>
      </c>
      <c r="AF205" s="18">
        <v>40308.038194444445</v>
      </c>
      <c r="AG205" s="19">
        <v>40307.871527777781</v>
      </c>
      <c r="AH205" t="s">
        <v>161</v>
      </c>
      <c r="AL205" t="s">
        <v>335</v>
      </c>
      <c r="AM205" s="20">
        <v>40304</v>
      </c>
      <c r="AR205" s="39" t="s">
        <v>400</v>
      </c>
      <c r="AS205" s="39"/>
      <c r="AT205" s="39">
        <v>200</v>
      </c>
      <c r="AZ205" t="s">
        <v>108</v>
      </c>
      <c r="BC205" t="s">
        <v>336</v>
      </c>
    </row>
    <row r="206" spans="1:64" x14ac:dyDescent="0.25">
      <c r="A206" t="str">
        <f t="shared" si="3"/>
        <v>A69-9002-2589</v>
      </c>
      <c r="B206" t="s">
        <v>398</v>
      </c>
      <c r="C206" t="s">
        <v>324</v>
      </c>
      <c r="D206" t="s">
        <v>325</v>
      </c>
      <c r="F206">
        <v>2589</v>
      </c>
      <c r="G206" t="s">
        <v>326</v>
      </c>
      <c r="H206" t="s">
        <v>327</v>
      </c>
      <c r="I206" s="20">
        <v>40304</v>
      </c>
      <c r="J206">
        <v>80</v>
      </c>
      <c r="L206" t="s">
        <v>109</v>
      </c>
      <c r="M206" t="s">
        <v>328</v>
      </c>
      <c r="N206" t="s">
        <v>329</v>
      </c>
      <c r="O206" t="s">
        <v>330</v>
      </c>
      <c r="P206" t="s">
        <v>338</v>
      </c>
      <c r="U206">
        <v>0.48</v>
      </c>
      <c r="V206">
        <v>0.23599999999999999</v>
      </c>
      <c r="W206" t="s">
        <v>399</v>
      </c>
      <c r="Y206" t="s">
        <v>337</v>
      </c>
      <c r="AB206" t="s">
        <v>343</v>
      </c>
      <c r="AC206" t="s">
        <v>342</v>
      </c>
      <c r="AD206" s="34">
        <v>46.302694510000002</v>
      </c>
      <c r="AE206" s="34">
        <v>-84.054857769999998</v>
      </c>
      <c r="AF206" s="18">
        <v>40308.038194444445</v>
      </c>
      <c r="AG206" s="19">
        <v>40307.871527777781</v>
      </c>
      <c r="AH206" t="s">
        <v>161</v>
      </c>
      <c r="AL206" t="s">
        <v>335</v>
      </c>
      <c r="AM206" s="20">
        <v>40304</v>
      </c>
      <c r="AR206" s="39" t="s">
        <v>400</v>
      </c>
      <c r="AS206" s="39"/>
      <c r="AT206" s="39">
        <v>200</v>
      </c>
      <c r="AZ206" t="s">
        <v>108</v>
      </c>
      <c r="BC206" t="s">
        <v>163</v>
      </c>
      <c r="BD206" s="20">
        <v>40347</v>
      </c>
      <c r="BF206" s="21" t="s">
        <v>406</v>
      </c>
      <c r="BG206" s="1" t="s">
        <v>113</v>
      </c>
      <c r="BH206" s="39" t="s">
        <v>408</v>
      </c>
      <c r="BI206" s="1">
        <v>46.514783999999999</v>
      </c>
      <c r="BJ206" s="1">
        <v>-84.346945000000005</v>
      </c>
      <c r="BK206" t="s">
        <v>404</v>
      </c>
      <c r="BL206" s="39" t="s">
        <v>336</v>
      </c>
    </row>
    <row r="207" spans="1:64" x14ac:dyDescent="0.25">
      <c r="A207" t="str">
        <f t="shared" si="3"/>
        <v>A69-9002-2590</v>
      </c>
      <c r="B207" t="s">
        <v>398</v>
      </c>
      <c r="C207" t="s">
        <v>324</v>
      </c>
      <c r="D207" t="s">
        <v>325</v>
      </c>
      <c r="F207">
        <v>2590</v>
      </c>
      <c r="G207" t="s">
        <v>326</v>
      </c>
      <c r="H207" t="s">
        <v>327</v>
      </c>
      <c r="I207" s="20">
        <v>40304</v>
      </c>
      <c r="J207">
        <v>80</v>
      </c>
      <c r="L207" t="s">
        <v>109</v>
      </c>
      <c r="M207" t="s">
        <v>328</v>
      </c>
      <c r="N207" t="s">
        <v>329</v>
      </c>
      <c r="O207" t="s">
        <v>330</v>
      </c>
      <c r="P207" t="s">
        <v>338</v>
      </c>
      <c r="U207">
        <v>0.51</v>
      </c>
      <c r="V207">
        <v>0.255</v>
      </c>
      <c r="W207" t="s">
        <v>399</v>
      </c>
      <c r="Y207" t="s">
        <v>332</v>
      </c>
      <c r="AB207" t="s">
        <v>343</v>
      </c>
      <c r="AC207" t="s">
        <v>342</v>
      </c>
      <c r="AD207" s="34">
        <v>46.302694510000002</v>
      </c>
      <c r="AE207" s="34">
        <v>-84.054857769999998</v>
      </c>
      <c r="AF207" s="18">
        <v>40308.038194444445</v>
      </c>
      <c r="AG207" s="19">
        <v>40307.871527777781</v>
      </c>
      <c r="AH207" t="s">
        <v>161</v>
      </c>
      <c r="AL207" t="s">
        <v>335</v>
      </c>
      <c r="AM207" s="20">
        <v>40304</v>
      </c>
      <c r="AR207" s="39" t="s">
        <v>400</v>
      </c>
      <c r="AS207" s="39"/>
      <c r="AT207" s="39">
        <v>200</v>
      </c>
      <c r="AZ207" t="s">
        <v>108</v>
      </c>
      <c r="BC207" t="s">
        <v>336</v>
      </c>
    </row>
    <row r="208" spans="1:64" x14ac:dyDescent="0.25">
      <c r="A208" t="str">
        <f t="shared" si="3"/>
        <v>A69-9002-2591</v>
      </c>
      <c r="B208" t="s">
        <v>398</v>
      </c>
      <c r="C208" t="s">
        <v>324</v>
      </c>
      <c r="D208" t="s">
        <v>325</v>
      </c>
      <c r="F208">
        <v>2591</v>
      </c>
      <c r="G208" t="s">
        <v>326</v>
      </c>
      <c r="H208" t="s">
        <v>327</v>
      </c>
      <c r="I208" s="20">
        <v>40304</v>
      </c>
      <c r="J208">
        <v>80</v>
      </c>
      <c r="L208" t="s">
        <v>109</v>
      </c>
      <c r="M208" t="s">
        <v>328</v>
      </c>
      <c r="N208" t="s">
        <v>329</v>
      </c>
      <c r="O208" t="s">
        <v>330</v>
      </c>
      <c r="P208" t="s">
        <v>338</v>
      </c>
      <c r="U208">
        <v>0.48</v>
      </c>
      <c r="V208">
        <v>0.216</v>
      </c>
      <c r="W208" t="s">
        <v>399</v>
      </c>
      <c r="Y208" t="s">
        <v>332</v>
      </c>
      <c r="AB208" t="s">
        <v>343</v>
      </c>
      <c r="AC208" t="s">
        <v>342</v>
      </c>
      <c r="AD208" s="34">
        <v>46.302694510000002</v>
      </c>
      <c r="AE208" s="34">
        <v>-84.054857769999998</v>
      </c>
      <c r="AF208" s="18">
        <v>40308.038194444445</v>
      </c>
      <c r="AG208" s="19">
        <v>40307.871527777781</v>
      </c>
      <c r="AH208" t="s">
        <v>161</v>
      </c>
      <c r="AL208" t="s">
        <v>335</v>
      </c>
      <c r="AM208" s="20">
        <v>40304</v>
      </c>
      <c r="AR208" s="39" t="s">
        <v>400</v>
      </c>
      <c r="AS208" s="39"/>
      <c r="AT208" s="39">
        <v>200</v>
      </c>
      <c r="AZ208" t="s">
        <v>108</v>
      </c>
      <c r="BC208" t="s">
        <v>336</v>
      </c>
    </row>
    <row r="209" spans="1:64" x14ac:dyDescent="0.25">
      <c r="A209" t="str">
        <f t="shared" si="3"/>
        <v>A69-9002-2592</v>
      </c>
      <c r="B209" t="s">
        <v>398</v>
      </c>
      <c r="C209" t="s">
        <v>324</v>
      </c>
      <c r="D209" t="s">
        <v>325</v>
      </c>
      <c r="F209">
        <v>2592</v>
      </c>
      <c r="G209" t="s">
        <v>326</v>
      </c>
      <c r="H209" t="s">
        <v>327</v>
      </c>
      <c r="I209" s="20">
        <v>40304</v>
      </c>
      <c r="J209">
        <v>80</v>
      </c>
      <c r="L209" t="s">
        <v>109</v>
      </c>
      <c r="M209" t="s">
        <v>328</v>
      </c>
      <c r="N209" t="s">
        <v>329</v>
      </c>
      <c r="O209" t="s">
        <v>330</v>
      </c>
      <c r="P209" t="s">
        <v>338</v>
      </c>
      <c r="U209">
        <v>0.45</v>
      </c>
      <c r="V209">
        <v>0.14899999999999999</v>
      </c>
      <c r="W209" t="s">
        <v>399</v>
      </c>
      <c r="Y209" t="s">
        <v>337</v>
      </c>
      <c r="AB209" t="s">
        <v>343</v>
      </c>
      <c r="AC209" t="s">
        <v>342</v>
      </c>
      <c r="AD209" s="34">
        <v>46.302694510000002</v>
      </c>
      <c r="AE209" s="34">
        <v>-84.054857769999998</v>
      </c>
      <c r="AF209" s="18">
        <v>40308.038194444445</v>
      </c>
      <c r="AG209" s="19">
        <v>40307.871527777781</v>
      </c>
      <c r="AH209" t="s">
        <v>161</v>
      </c>
      <c r="AL209" t="s">
        <v>335</v>
      </c>
      <c r="AM209" s="20">
        <v>40304</v>
      </c>
      <c r="AR209" s="39" t="s">
        <v>400</v>
      </c>
      <c r="AS209" s="39"/>
      <c r="AT209" s="39">
        <v>200</v>
      </c>
      <c r="AZ209" t="s">
        <v>108</v>
      </c>
      <c r="BC209" t="s">
        <v>336</v>
      </c>
    </row>
    <row r="210" spans="1:64" x14ac:dyDescent="0.25">
      <c r="A210" t="str">
        <f t="shared" si="3"/>
        <v>A69-9002-2593</v>
      </c>
      <c r="B210" t="s">
        <v>398</v>
      </c>
      <c r="C210" t="s">
        <v>324</v>
      </c>
      <c r="D210" t="s">
        <v>325</v>
      </c>
      <c r="F210">
        <v>2593</v>
      </c>
      <c r="G210" t="s">
        <v>326</v>
      </c>
      <c r="H210" t="s">
        <v>327</v>
      </c>
      <c r="I210" s="20">
        <v>40304</v>
      </c>
      <c r="J210">
        <v>80</v>
      </c>
      <c r="L210" t="s">
        <v>109</v>
      </c>
      <c r="M210" t="s">
        <v>328</v>
      </c>
      <c r="N210" t="s">
        <v>329</v>
      </c>
      <c r="O210" t="s">
        <v>330</v>
      </c>
      <c r="P210" t="s">
        <v>338</v>
      </c>
      <c r="U210">
        <v>0.51</v>
      </c>
      <c r="V210">
        <v>0.23</v>
      </c>
      <c r="W210" t="s">
        <v>399</v>
      </c>
      <c r="Y210" t="s">
        <v>332</v>
      </c>
      <c r="AB210" t="s">
        <v>343</v>
      </c>
      <c r="AC210" t="s">
        <v>342</v>
      </c>
      <c r="AD210" s="34">
        <v>46.302694510000002</v>
      </c>
      <c r="AE210" s="34">
        <v>-84.054857769999998</v>
      </c>
      <c r="AF210" s="18">
        <v>40308.038194444445</v>
      </c>
      <c r="AG210" s="19">
        <v>40307.871527777781</v>
      </c>
      <c r="AH210" t="s">
        <v>161</v>
      </c>
      <c r="AL210" t="s">
        <v>335</v>
      </c>
      <c r="AM210" s="20">
        <v>40304</v>
      </c>
      <c r="AR210" s="39" t="s">
        <v>400</v>
      </c>
      <c r="AS210" s="39"/>
      <c r="AT210" s="39">
        <v>200</v>
      </c>
      <c r="AZ210" t="s">
        <v>108</v>
      </c>
      <c r="BC210" t="s">
        <v>336</v>
      </c>
    </row>
    <row r="211" spans="1:64" x14ac:dyDescent="0.25">
      <c r="A211" t="str">
        <f t="shared" si="3"/>
        <v>A69-9002-2594</v>
      </c>
      <c r="B211" t="s">
        <v>398</v>
      </c>
      <c r="C211" t="s">
        <v>324</v>
      </c>
      <c r="D211" t="s">
        <v>325</v>
      </c>
      <c r="F211">
        <v>2594</v>
      </c>
      <c r="G211" t="s">
        <v>326</v>
      </c>
      <c r="H211" t="s">
        <v>327</v>
      </c>
      <c r="I211" s="20">
        <v>40304</v>
      </c>
      <c r="J211">
        <v>80</v>
      </c>
      <c r="L211" t="s">
        <v>109</v>
      </c>
      <c r="M211" t="s">
        <v>328</v>
      </c>
      <c r="N211" t="s">
        <v>329</v>
      </c>
      <c r="O211" t="s">
        <v>330</v>
      </c>
      <c r="P211" t="s">
        <v>338</v>
      </c>
      <c r="U211">
        <v>0.53</v>
      </c>
      <c r="V211">
        <v>0.27800000000000002</v>
      </c>
      <c r="W211" t="s">
        <v>399</v>
      </c>
      <c r="Y211" t="s">
        <v>332</v>
      </c>
      <c r="AB211" t="s">
        <v>343</v>
      </c>
      <c r="AC211" t="s">
        <v>342</v>
      </c>
      <c r="AD211" s="34">
        <v>46.302694510000002</v>
      </c>
      <c r="AE211" s="34">
        <v>-84.054857769999998</v>
      </c>
      <c r="AF211" s="18">
        <v>40308.038194444445</v>
      </c>
      <c r="AG211" s="19">
        <v>40307.871527777781</v>
      </c>
      <c r="AH211" t="s">
        <v>161</v>
      </c>
      <c r="AL211" t="s">
        <v>335</v>
      </c>
      <c r="AM211" s="20">
        <v>40304</v>
      </c>
      <c r="AR211" s="39" t="s">
        <v>400</v>
      </c>
      <c r="AS211" s="39"/>
      <c r="AT211" s="39">
        <v>200</v>
      </c>
      <c r="AZ211" t="s">
        <v>108</v>
      </c>
      <c r="BC211" t="s">
        <v>336</v>
      </c>
    </row>
    <row r="212" spans="1:64" x14ac:dyDescent="0.25">
      <c r="A212" t="str">
        <f t="shared" si="3"/>
        <v>A69-9002-2595</v>
      </c>
      <c r="B212" t="s">
        <v>398</v>
      </c>
      <c r="C212" t="s">
        <v>324</v>
      </c>
      <c r="D212" t="s">
        <v>325</v>
      </c>
      <c r="F212">
        <v>2595</v>
      </c>
      <c r="G212" t="s">
        <v>326</v>
      </c>
      <c r="H212" t="s">
        <v>327</v>
      </c>
      <c r="I212" s="20">
        <v>40304</v>
      </c>
      <c r="J212">
        <v>80</v>
      </c>
      <c r="L212" t="s">
        <v>109</v>
      </c>
      <c r="M212" t="s">
        <v>328</v>
      </c>
      <c r="N212" t="s">
        <v>329</v>
      </c>
      <c r="O212" t="s">
        <v>330</v>
      </c>
      <c r="P212" t="s">
        <v>338</v>
      </c>
      <c r="U212">
        <v>0.53</v>
      </c>
      <c r="V212">
        <v>0.28699999999999998</v>
      </c>
      <c r="W212" t="s">
        <v>399</v>
      </c>
      <c r="Y212" t="s">
        <v>332</v>
      </c>
      <c r="AB212" t="s">
        <v>343</v>
      </c>
      <c r="AC212" t="s">
        <v>342</v>
      </c>
      <c r="AD212" s="34">
        <v>46.302694510000002</v>
      </c>
      <c r="AE212" s="34">
        <v>-84.054857769999998</v>
      </c>
      <c r="AF212" s="18">
        <v>40308.038194444445</v>
      </c>
      <c r="AG212" s="19">
        <v>40307.871527777781</v>
      </c>
      <c r="AH212" t="s">
        <v>161</v>
      </c>
      <c r="AL212" t="s">
        <v>335</v>
      </c>
      <c r="AM212" s="20">
        <v>40304</v>
      </c>
      <c r="AR212" s="39" t="s">
        <v>400</v>
      </c>
      <c r="AS212" s="39"/>
      <c r="AT212" s="39">
        <v>200</v>
      </c>
      <c r="AZ212" t="s">
        <v>108</v>
      </c>
      <c r="BC212" t="s">
        <v>336</v>
      </c>
    </row>
    <row r="213" spans="1:64" x14ac:dyDescent="0.25">
      <c r="A213" t="str">
        <f t="shared" si="3"/>
        <v>A69-9002-2596</v>
      </c>
      <c r="B213" t="s">
        <v>398</v>
      </c>
      <c r="C213" t="s">
        <v>324</v>
      </c>
      <c r="D213" t="s">
        <v>325</v>
      </c>
      <c r="F213">
        <v>2596</v>
      </c>
      <c r="G213" t="s">
        <v>326</v>
      </c>
      <c r="H213" t="s">
        <v>327</v>
      </c>
      <c r="I213" s="20">
        <v>40304</v>
      </c>
      <c r="J213">
        <v>80</v>
      </c>
      <c r="L213" t="s">
        <v>109</v>
      </c>
      <c r="M213" t="s">
        <v>328</v>
      </c>
      <c r="N213" t="s">
        <v>329</v>
      </c>
      <c r="O213" t="s">
        <v>330</v>
      </c>
      <c r="P213" t="s">
        <v>338</v>
      </c>
      <c r="U213">
        <v>0.46</v>
      </c>
      <c r="V213">
        <v>0.16500000000000001</v>
      </c>
      <c r="W213" t="s">
        <v>399</v>
      </c>
      <c r="Y213" t="s">
        <v>337</v>
      </c>
      <c r="AB213" t="s">
        <v>343</v>
      </c>
      <c r="AC213" t="s">
        <v>342</v>
      </c>
      <c r="AD213" s="34">
        <v>46.302694510000002</v>
      </c>
      <c r="AE213" s="34">
        <v>-84.054857769999998</v>
      </c>
      <c r="AF213" s="18">
        <v>40308.038194444445</v>
      </c>
      <c r="AG213" s="19">
        <v>40307.871527777781</v>
      </c>
      <c r="AH213" t="s">
        <v>161</v>
      </c>
      <c r="AL213" t="s">
        <v>335</v>
      </c>
      <c r="AM213" s="20">
        <v>40304</v>
      </c>
      <c r="AR213" s="39" t="s">
        <v>400</v>
      </c>
      <c r="AS213" s="39"/>
      <c r="AT213" s="39">
        <v>200</v>
      </c>
      <c r="AZ213" t="s">
        <v>108</v>
      </c>
      <c r="BC213" t="s">
        <v>336</v>
      </c>
    </row>
    <row r="214" spans="1:64" x14ac:dyDescent="0.25">
      <c r="A214" t="str">
        <f t="shared" si="3"/>
        <v>A69-9002-2597</v>
      </c>
      <c r="B214" t="s">
        <v>398</v>
      </c>
      <c r="C214" t="s">
        <v>324</v>
      </c>
      <c r="D214" t="s">
        <v>325</v>
      </c>
      <c r="F214">
        <v>2597</v>
      </c>
      <c r="G214" t="s">
        <v>326</v>
      </c>
      <c r="H214" t="s">
        <v>327</v>
      </c>
      <c r="I214" s="20">
        <v>40304</v>
      </c>
      <c r="J214">
        <v>80</v>
      </c>
      <c r="L214" t="s">
        <v>109</v>
      </c>
      <c r="M214" t="s">
        <v>328</v>
      </c>
      <c r="N214" t="s">
        <v>329</v>
      </c>
      <c r="O214" t="s">
        <v>330</v>
      </c>
      <c r="P214" t="s">
        <v>338</v>
      </c>
      <c r="U214">
        <v>0.52</v>
      </c>
      <c r="V214">
        <v>0.26</v>
      </c>
      <c r="W214" t="s">
        <v>399</v>
      </c>
      <c r="Y214" t="s">
        <v>337</v>
      </c>
      <c r="AB214" t="s">
        <v>343</v>
      </c>
      <c r="AC214" t="s">
        <v>342</v>
      </c>
      <c r="AD214" s="34">
        <v>46.302694510000002</v>
      </c>
      <c r="AE214" s="34">
        <v>-84.054857769999998</v>
      </c>
      <c r="AF214" s="18">
        <v>40308.038194444445</v>
      </c>
      <c r="AG214" s="19">
        <v>40307.871527777781</v>
      </c>
      <c r="AH214" t="s">
        <v>161</v>
      </c>
      <c r="AL214" t="s">
        <v>335</v>
      </c>
      <c r="AM214" s="20">
        <v>40304</v>
      </c>
      <c r="AR214" s="39" t="s">
        <v>400</v>
      </c>
      <c r="AS214" s="39"/>
      <c r="AT214" s="39">
        <v>200</v>
      </c>
      <c r="AZ214" t="s">
        <v>108</v>
      </c>
      <c r="BC214" t="s">
        <v>336</v>
      </c>
    </row>
    <row r="215" spans="1:64" x14ac:dyDescent="0.25">
      <c r="A215" t="str">
        <f t="shared" si="3"/>
        <v>A69-9002-2598</v>
      </c>
      <c r="B215" t="s">
        <v>398</v>
      </c>
      <c r="C215" t="s">
        <v>324</v>
      </c>
      <c r="D215" t="s">
        <v>325</v>
      </c>
      <c r="F215">
        <v>2598</v>
      </c>
      <c r="G215" t="s">
        <v>326</v>
      </c>
      <c r="H215" t="s">
        <v>327</v>
      </c>
      <c r="I215" s="20">
        <v>40304</v>
      </c>
      <c r="J215">
        <v>80</v>
      </c>
      <c r="L215" t="s">
        <v>109</v>
      </c>
      <c r="M215" t="s">
        <v>328</v>
      </c>
      <c r="N215" t="s">
        <v>329</v>
      </c>
      <c r="O215" t="s">
        <v>330</v>
      </c>
      <c r="P215" t="s">
        <v>338</v>
      </c>
      <c r="U215">
        <v>0.54</v>
      </c>
      <c r="V215">
        <v>0.28499999999999998</v>
      </c>
      <c r="W215" t="s">
        <v>399</v>
      </c>
      <c r="Y215" t="s">
        <v>337</v>
      </c>
      <c r="AB215" t="s">
        <v>343</v>
      </c>
      <c r="AC215" t="s">
        <v>342</v>
      </c>
      <c r="AD215" s="34">
        <v>46.302694510000002</v>
      </c>
      <c r="AE215" s="34">
        <v>-84.054857769999998</v>
      </c>
      <c r="AF215" s="18">
        <v>40308.038194444445</v>
      </c>
      <c r="AG215" s="19">
        <v>40307.871527777781</v>
      </c>
      <c r="AH215" t="s">
        <v>161</v>
      </c>
      <c r="AL215" t="s">
        <v>335</v>
      </c>
      <c r="AM215" s="20">
        <v>40304</v>
      </c>
      <c r="AR215" s="39" t="s">
        <v>400</v>
      </c>
      <c r="AS215" s="39"/>
      <c r="AT215" s="39">
        <v>200</v>
      </c>
      <c r="AZ215" t="s">
        <v>108</v>
      </c>
      <c r="BC215" t="s">
        <v>163</v>
      </c>
      <c r="BD215" s="20">
        <v>40319</v>
      </c>
      <c r="BF215" s="21" t="s">
        <v>406</v>
      </c>
      <c r="BG215" s="1" t="s">
        <v>123</v>
      </c>
      <c r="BH215" t="s">
        <v>418</v>
      </c>
      <c r="BI215" s="39">
        <v>46.574117000000001</v>
      </c>
      <c r="BJ215" s="39">
        <v>-83.935387000000006</v>
      </c>
      <c r="BK215" t="s">
        <v>404</v>
      </c>
      <c r="BL215" s="39" t="s">
        <v>336</v>
      </c>
    </row>
    <row r="216" spans="1:64" x14ac:dyDescent="0.25">
      <c r="A216" t="str">
        <f t="shared" si="3"/>
        <v>A69-9002-2599</v>
      </c>
      <c r="B216" t="s">
        <v>398</v>
      </c>
      <c r="C216" t="s">
        <v>324</v>
      </c>
      <c r="D216" t="s">
        <v>325</v>
      </c>
      <c r="F216">
        <v>2599</v>
      </c>
      <c r="G216" t="s">
        <v>326</v>
      </c>
      <c r="H216" t="s">
        <v>327</v>
      </c>
      <c r="I216" s="20">
        <v>40304</v>
      </c>
      <c r="J216">
        <v>80</v>
      </c>
      <c r="L216" t="s">
        <v>109</v>
      </c>
      <c r="M216" t="s">
        <v>328</v>
      </c>
      <c r="N216" t="s">
        <v>329</v>
      </c>
      <c r="O216" t="s">
        <v>330</v>
      </c>
      <c r="P216" t="s">
        <v>338</v>
      </c>
      <c r="U216">
        <v>0.5</v>
      </c>
      <c r="V216">
        <v>0.28899999999999998</v>
      </c>
      <c r="W216" t="s">
        <v>399</v>
      </c>
      <c r="Y216" t="s">
        <v>332</v>
      </c>
      <c r="AB216" t="s">
        <v>343</v>
      </c>
      <c r="AC216" t="s">
        <v>342</v>
      </c>
      <c r="AD216" s="34">
        <v>46.302694510000002</v>
      </c>
      <c r="AE216" s="34">
        <v>-84.054857769999998</v>
      </c>
      <c r="AF216" s="18">
        <v>40308.038194444445</v>
      </c>
      <c r="AG216" s="19">
        <v>40307.871527777781</v>
      </c>
      <c r="AH216" t="s">
        <v>161</v>
      </c>
      <c r="AL216" t="s">
        <v>335</v>
      </c>
      <c r="AM216" s="20">
        <v>40304</v>
      </c>
      <c r="AR216" s="39" t="s">
        <v>400</v>
      </c>
      <c r="AS216" s="39"/>
      <c r="AT216" s="39">
        <v>200</v>
      </c>
      <c r="AZ216" t="s">
        <v>108</v>
      </c>
      <c r="BC216" t="s">
        <v>336</v>
      </c>
    </row>
    <row r="217" spans="1:64" x14ac:dyDescent="0.25">
      <c r="A217" t="str">
        <f t="shared" si="3"/>
        <v>A69-9002-2600</v>
      </c>
      <c r="B217" t="s">
        <v>398</v>
      </c>
      <c r="C217" t="s">
        <v>324</v>
      </c>
      <c r="D217" t="s">
        <v>325</v>
      </c>
      <c r="F217">
        <v>2600</v>
      </c>
      <c r="G217" t="s">
        <v>326</v>
      </c>
      <c r="H217" t="s">
        <v>327</v>
      </c>
      <c r="I217" s="20">
        <v>40304</v>
      </c>
      <c r="J217">
        <v>80</v>
      </c>
      <c r="L217" t="s">
        <v>109</v>
      </c>
      <c r="M217" t="s">
        <v>328</v>
      </c>
      <c r="N217" t="s">
        <v>329</v>
      </c>
      <c r="O217" t="s">
        <v>330</v>
      </c>
      <c r="P217" t="s">
        <v>338</v>
      </c>
      <c r="U217">
        <v>0.43</v>
      </c>
      <c r="V217">
        <v>0.23300000000000001</v>
      </c>
      <c r="W217" t="s">
        <v>399</v>
      </c>
      <c r="Y217" t="s">
        <v>337</v>
      </c>
      <c r="AB217" t="s">
        <v>343</v>
      </c>
      <c r="AC217" t="s">
        <v>342</v>
      </c>
      <c r="AD217" s="34">
        <v>46.302694510000002</v>
      </c>
      <c r="AE217" s="34">
        <v>-84.054857769999998</v>
      </c>
      <c r="AF217" s="18">
        <v>40308.038194444445</v>
      </c>
      <c r="AG217" s="19">
        <v>40307.871527777781</v>
      </c>
      <c r="AH217" t="s">
        <v>161</v>
      </c>
      <c r="AL217" t="s">
        <v>335</v>
      </c>
      <c r="AM217" s="20">
        <v>40304</v>
      </c>
      <c r="AR217" s="39" t="s">
        <v>400</v>
      </c>
      <c r="AS217" s="39"/>
      <c r="AT217" s="39">
        <v>200</v>
      </c>
      <c r="AZ217" t="s">
        <v>108</v>
      </c>
      <c r="BC217" t="s">
        <v>336</v>
      </c>
    </row>
    <row r="218" spans="1:64" x14ac:dyDescent="0.25">
      <c r="A218" t="str">
        <f t="shared" si="3"/>
        <v>A69-9002-2601</v>
      </c>
      <c r="B218" t="s">
        <v>398</v>
      </c>
      <c r="C218" t="s">
        <v>324</v>
      </c>
      <c r="D218" t="s">
        <v>325</v>
      </c>
      <c r="F218">
        <v>2601</v>
      </c>
      <c r="G218" t="s">
        <v>326</v>
      </c>
      <c r="H218" t="s">
        <v>327</v>
      </c>
      <c r="I218" s="20">
        <v>40304</v>
      </c>
      <c r="J218">
        <v>80</v>
      </c>
      <c r="L218" t="s">
        <v>109</v>
      </c>
      <c r="M218" t="s">
        <v>328</v>
      </c>
      <c r="N218" t="s">
        <v>329</v>
      </c>
      <c r="O218" t="s">
        <v>330</v>
      </c>
      <c r="P218" t="s">
        <v>338</v>
      </c>
      <c r="U218">
        <v>0.5</v>
      </c>
      <c r="V218">
        <v>0.27</v>
      </c>
      <c r="W218" t="s">
        <v>399</v>
      </c>
      <c r="Y218" t="s">
        <v>332</v>
      </c>
      <c r="AB218" t="s">
        <v>343</v>
      </c>
      <c r="AC218" t="s">
        <v>342</v>
      </c>
      <c r="AD218" s="34">
        <v>46.302694510000002</v>
      </c>
      <c r="AE218" s="34">
        <v>-84.054857769999998</v>
      </c>
      <c r="AF218" s="18">
        <v>40308.038194444445</v>
      </c>
      <c r="AG218" s="19">
        <v>40307.871527777781</v>
      </c>
      <c r="AH218" t="s">
        <v>161</v>
      </c>
      <c r="AL218" t="s">
        <v>335</v>
      </c>
      <c r="AM218" s="20">
        <v>40304</v>
      </c>
      <c r="AR218" s="39" t="s">
        <v>400</v>
      </c>
      <c r="AS218" s="39"/>
      <c r="AT218" s="39">
        <v>200</v>
      </c>
      <c r="AZ218" t="s">
        <v>108</v>
      </c>
      <c r="BC218" t="s">
        <v>336</v>
      </c>
    </row>
    <row r="219" spans="1:64" x14ac:dyDescent="0.25">
      <c r="A219" t="str">
        <f t="shared" si="3"/>
        <v>A69-9002-2602</v>
      </c>
      <c r="B219" t="s">
        <v>398</v>
      </c>
      <c r="C219" t="s">
        <v>324</v>
      </c>
      <c r="D219" t="s">
        <v>325</v>
      </c>
      <c r="F219">
        <v>2602</v>
      </c>
      <c r="G219" t="s">
        <v>326</v>
      </c>
      <c r="H219" t="s">
        <v>327</v>
      </c>
      <c r="I219" s="20">
        <v>40304</v>
      </c>
      <c r="J219">
        <v>80</v>
      </c>
      <c r="L219" t="s">
        <v>109</v>
      </c>
      <c r="M219" t="s">
        <v>328</v>
      </c>
      <c r="N219" t="s">
        <v>329</v>
      </c>
      <c r="O219" t="s">
        <v>330</v>
      </c>
      <c r="P219" t="s">
        <v>338</v>
      </c>
      <c r="U219">
        <v>0.48</v>
      </c>
      <c r="V219">
        <v>0.22500000000000001</v>
      </c>
      <c r="W219" t="s">
        <v>399</v>
      </c>
      <c r="Y219" t="s">
        <v>337</v>
      </c>
      <c r="AB219" t="s">
        <v>343</v>
      </c>
      <c r="AC219" t="s">
        <v>342</v>
      </c>
      <c r="AD219" s="34">
        <v>46.302694510000002</v>
      </c>
      <c r="AE219" s="34">
        <v>-84.054857769999998</v>
      </c>
      <c r="AF219" s="18">
        <v>40308.038194444445</v>
      </c>
      <c r="AG219" s="19">
        <v>40307.871527777781</v>
      </c>
      <c r="AH219" t="s">
        <v>161</v>
      </c>
      <c r="AL219" t="s">
        <v>335</v>
      </c>
      <c r="AM219" s="20">
        <v>40304</v>
      </c>
      <c r="AR219" s="39" t="s">
        <v>400</v>
      </c>
      <c r="AS219" s="39"/>
      <c r="AT219" s="39">
        <v>200</v>
      </c>
      <c r="AZ219" t="s">
        <v>108</v>
      </c>
      <c r="BC219" t="s">
        <v>336</v>
      </c>
    </row>
    <row r="220" spans="1:64" x14ac:dyDescent="0.25">
      <c r="A220" t="str">
        <f t="shared" si="3"/>
        <v>A69-9002-2603</v>
      </c>
      <c r="B220" t="s">
        <v>398</v>
      </c>
      <c r="C220" t="s">
        <v>324</v>
      </c>
      <c r="D220" t="s">
        <v>325</v>
      </c>
      <c r="F220">
        <v>2603</v>
      </c>
      <c r="G220" t="s">
        <v>326</v>
      </c>
      <c r="H220" t="s">
        <v>327</v>
      </c>
      <c r="I220" s="20">
        <v>40304</v>
      </c>
      <c r="J220">
        <v>80</v>
      </c>
      <c r="L220" t="s">
        <v>109</v>
      </c>
      <c r="M220" t="s">
        <v>328</v>
      </c>
      <c r="N220" t="s">
        <v>329</v>
      </c>
      <c r="O220" t="s">
        <v>330</v>
      </c>
      <c r="P220" t="s">
        <v>338</v>
      </c>
      <c r="U220">
        <v>0.56000000000000005</v>
      </c>
      <c r="V220">
        <v>0.35699999999999998</v>
      </c>
      <c r="W220" t="s">
        <v>399</v>
      </c>
      <c r="Y220" t="s">
        <v>332</v>
      </c>
      <c r="AB220" t="s">
        <v>343</v>
      </c>
      <c r="AC220" t="s">
        <v>342</v>
      </c>
      <c r="AD220" s="34">
        <v>46.302694510000002</v>
      </c>
      <c r="AE220" s="34">
        <v>-84.054857769999998</v>
      </c>
      <c r="AF220" s="18">
        <v>40308.038194444445</v>
      </c>
      <c r="AG220" s="19">
        <v>40307.871527777781</v>
      </c>
      <c r="AH220" t="s">
        <v>161</v>
      </c>
      <c r="AL220" t="s">
        <v>335</v>
      </c>
      <c r="AM220" s="20">
        <v>40304</v>
      </c>
      <c r="AR220" s="39" t="s">
        <v>400</v>
      </c>
      <c r="AS220" s="39"/>
      <c r="AT220" s="39">
        <v>200</v>
      </c>
      <c r="AZ220" t="s">
        <v>108</v>
      </c>
      <c r="BC220" t="s">
        <v>336</v>
      </c>
    </row>
    <row r="221" spans="1:64" x14ac:dyDescent="0.25">
      <c r="A221" t="str">
        <f t="shared" si="3"/>
        <v>A69-9002-2604</v>
      </c>
      <c r="B221" t="s">
        <v>398</v>
      </c>
      <c r="C221" t="s">
        <v>324</v>
      </c>
      <c r="D221" t="s">
        <v>325</v>
      </c>
      <c r="F221">
        <v>2604</v>
      </c>
      <c r="G221" t="s">
        <v>326</v>
      </c>
      <c r="H221" t="s">
        <v>327</v>
      </c>
      <c r="I221" s="20">
        <v>40304</v>
      </c>
      <c r="J221">
        <v>80</v>
      </c>
      <c r="L221" t="s">
        <v>109</v>
      </c>
      <c r="M221" t="s">
        <v>328</v>
      </c>
      <c r="N221" t="s">
        <v>329</v>
      </c>
      <c r="O221" t="s">
        <v>330</v>
      </c>
      <c r="P221" t="s">
        <v>338</v>
      </c>
      <c r="U221">
        <v>0.56000000000000005</v>
      </c>
      <c r="V221">
        <v>0.29699999999999999</v>
      </c>
      <c r="W221" t="s">
        <v>399</v>
      </c>
      <c r="Y221" t="s">
        <v>332</v>
      </c>
      <c r="AB221" t="s">
        <v>343</v>
      </c>
      <c r="AC221" t="s">
        <v>342</v>
      </c>
      <c r="AD221" s="34">
        <v>46.302694510000002</v>
      </c>
      <c r="AE221" s="34">
        <v>-84.054857769999998</v>
      </c>
      <c r="AF221" s="18">
        <v>40308.038194444445</v>
      </c>
      <c r="AG221" s="19">
        <v>40307.871527777781</v>
      </c>
      <c r="AH221" t="s">
        <v>161</v>
      </c>
      <c r="AL221" t="s">
        <v>335</v>
      </c>
      <c r="AM221" s="20">
        <v>40304</v>
      </c>
      <c r="AR221" s="39" t="s">
        <v>400</v>
      </c>
      <c r="AS221" s="39"/>
      <c r="AT221" s="39">
        <v>200</v>
      </c>
      <c r="AZ221" t="s">
        <v>108</v>
      </c>
      <c r="BC221" t="s">
        <v>336</v>
      </c>
    </row>
    <row r="222" spans="1:64" x14ac:dyDescent="0.25">
      <c r="A222" t="str">
        <f t="shared" si="3"/>
        <v>A69-9002-2605</v>
      </c>
      <c r="B222" t="s">
        <v>398</v>
      </c>
      <c r="C222" t="s">
        <v>324</v>
      </c>
      <c r="D222" t="s">
        <v>325</v>
      </c>
      <c r="F222">
        <v>2605</v>
      </c>
      <c r="G222" t="s">
        <v>326</v>
      </c>
      <c r="H222" t="s">
        <v>327</v>
      </c>
      <c r="I222" s="20">
        <v>40304</v>
      </c>
      <c r="J222">
        <v>80</v>
      </c>
      <c r="L222" t="s">
        <v>109</v>
      </c>
      <c r="M222" t="s">
        <v>328</v>
      </c>
      <c r="N222" t="s">
        <v>329</v>
      </c>
      <c r="O222" t="s">
        <v>330</v>
      </c>
      <c r="P222" t="s">
        <v>338</v>
      </c>
      <c r="U222">
        <v>0.55000000000000004</v>
      </c>
      <c r="V222">
        <v>0.39400000000000002</v>
      </c>
      <c r="W222" t="s">
        <v>399</v>
      </c>
      <c r="Y222" t="s">
        <v>332</v>
      </c>
      <c r="AB222" t="s">
        <v>343</v>
      </c>
      <c r="AC222" t="s">
        <v>342</v>
      </c>
      <c r="AD222" s="34">
        <v>46.302694510000002</v>
      </c>
      <c r="AE222" s="34">
        <v>-84.054857769999998</v>
      </c>
      <c r="AF222" s="18">
        <v>40308.038194444445</v>
      </c>
      <c r="AG222" s="19">
        <v>40307.871527777781</v>
      </c>
      <c r="AH222" t="s">
        <v>161</v>
      </c>
      <c r="AL222" t="s">
        <v>335</v>
      </c>
      <c r="AM222" s="20">
        <v>40304</v>
      </c>
      <c r="AR222" s="39" t="s">
        <v>400</v>
      </c>
      <c r="AS222" s="39"/>
      <c r="AT222" s="39">
        <v>200</v>
      </c>
      <c r="AZ222" t="s">
        <v>108</v>
      </c>
      <c r="BC222" t="s">
        <v>336</v>
      </c>
    </row>
    <row r="223" spans="1:64" x14ac:dyDescent="0.25">
      <c r="A223" t="str">
        <f t="shared" si="3"/>
        <v>A69-9002-2606</v>
      </c>
      <c r="B223" t="s">
        <v>398</v>
      </c>
      <c r="C223" t="s">
        <v>324</v>
      </c>
      <c r="D223" t="s">
        <v>325</v>
      </c>
      <c r="F223">
        <v>2606</v>
      </c>
      <c r="G223" t="s">
        <v>326</v>
      </c>
      <c r="H223" t="s">
        <v>327</v>
      </c>
      <c r="I223" s="20">
        <v>40304</v>
      </c>
      <c r="J223">
        <v>80</v>
      </c>
      <c r="L223" t="s">
        <v>109</v>
      </c>
      <c r="M223" t="s">
        <v>328</v>
      </c>
      <c r="N223" t="s">
        <v>329</v>
      </c>
      <c r="O223" t="s">
        <v>330</v>
      </c>
      <c r="P223" t="s">
        <v>338</v>
      </c>
      <c r="U223">
        <v>0.52</v>
      </c>
      <c r="V223">
        <v>0.28199999999999997</v>
      </c>
      <c r="W223" t="s">
        <v>399</v>
      </c>
      <c r="Y223" t="s">
        <v>332</v>
      </c>
      <c r="AB223" t="s">
        <v>343</v>
      </c>
      <c r="AC223" t="s">
        <v>342</v>
      </c>
      <c r="AD223" s="34">
        <v>46.302694510000002</v>
      </c>
      <c r="AE223" s="34">
        <v>-84.054857769999998</v>
      </c>
      <c r="AF223" s="18">
        <v>40308.038194444445</v>
      </c>
      <c r="AG223" s="19">
        <v>40307.871527777781</v>
      </c>
      <c r="AH223" t="s">
        <v>161</v>
      </c>
      <c r="AL223" t="s">
        <v>335</v>
      </c>
      <c r="AM223" s="20">
        <v>40304</v>
      </c>
      <c r="AR223" s="39" t="s">
        <v>400</v>
      </c>
      <c r="AS223" s="39"/>
      <c r="AT223" s="39">
        <v>200</v>
      </c>
      <c r="AZ223" t="s">
        <v>108</v>
      </c>
      <c r="BC223" t="s">
        <v>336</v>
      </c>
    </row>
    <row r="224" spans="1:64" x14ac:dyDescent="0.25">
      <c r="A224" t="str">
        <f t="shared" si="3"/>
        <v>A69-9002-2607</v>
      </c>
      <c r="B224" t="s">
        <v>398</v>
      </c>
      <c r="C224" t="s">
        <v>324</v>
      </c>
      <c r="D224" t="s">
        <v>325</v>
      </c>
      <c r="F224">
        <v>2607</v>
      </c>
      <c r="G224" t="s">
        <v>326</v>
      </c>
      <c r="H224" t="s">
        <v>327</v>
      </c>
      <c r="I224" s="20">
        <v>40304</v>
      </c>
      <c r="J224">
        <v>80</v>
      </c>
      <c r="L224" t="s">
        <v>109</v>
      </c>
      <c r="M224" t="s">
        <v>328</v>
      </c>
      <c r="N224" t="s">
        <v>329</v>
      </c>
      <c r="O224" t="s">
        <v>330</v>
      </c>
      <c r="P224" t="s">
        <v>338</v>
      </c>
      <c r="U224">
        <v>0.48</v>
      </c>
      <c r="V224">
        <v>0.22500000000000001</v>
      </c>
      <c r="W224" t="s">
        <v>399</v>
      </c>
      <c r="Y224" t="s">
        <v>337</v>
      </c>
      <c r="AB224" t="s">
        <v>343</v>
      </c>
      <c r="AC224" t="s">
        <v>342</v>
      </c>
      <c r="AD224" s="34">
        <v>46.302694510000002</v>
      </c>
      <c r="AE224" s="34">
        <v>-84.054857769999998</v>
      </c>
      <c r="AF224" s="18">
        <v>40308.038194444445</v>
      </c>
      <c r="AG224" s="19">
        <v>40307.871527777781</v>
      </c>
      <c r="AH224" t="s">
        <v>161</v>
      </c>
      <c r="AL224" t="s">
        <v>335</v>
      </c>
      <c r="AM224" s="20">
        <v>40304</v>
      </c>
      <c r="AR224" s="39" t="s">
        <v>400</v>
      </c>
      <c r="AS224" s="39"/>
      <c r="AT224" s="39">
        <v>200</v>
      </c>
      <c r="AZ224" t="s">
        <v>108</v>
      </c>
      <c r="BC224" t="s">
        <v>336</v>
      </c>
    </row>
    <row r="225" spans="1:64" x14ac:dyDescent="0.25">
      <c r="A225" t="str">
        <f t="shared" si="3"/>
        <v>A69-9002-2608</v>
      </c>
      <c r="B225" t="s">
        <v>398</v>
      </c>
      <c r="C225" t="s">
        <v>324</v>
      </c>
      <c r="D225" t="s">
        <v>325</v>
      </c>
      <c r="F225">
        <v>2608</v>
      </c>
      <c r="G225" t="s">
        <v>326</v>
      </c>
      <c r="H225" t="s">
        <v>327</v>
      </c>
      <c r="I225" s="20">
        <v>40304</v>
      </c>
      <c r="J225">
        <v>80</v>
      </c>
      <c r="L225" t="s">
        <v>109</v>
      </c>
      <c r="M225" t="s">
        <v>328</v>
      </c>
      <c r="N225" t="s">
        <v>329</v>
      </c>
      <c r="O225" t="s">
        <v>330</v>
      </c>
      <c r="P225" t="s">
        <v>338</v>
      </c>
      <c r="U225">
        <v>0.5</v>
      </c>
      <c r="V225">
        <v>0.28000000000000003</v>
      </c>
      <c r="W225" t="s">
        <v>399</v>
      </c>
      <c r="Y225" t="s">
        <v>332</v>
      </c>
      <c r="AB225" t="s">
        <v>343</v>
      </c>
      <c r="AC225" t="s">
        <v>342</v>
      </c>
      <c r="AD225" s="34">
        <v>46.302694510000002</v>
      </c>
      <c r="AE225" s="34">
        <v>-84.054857769999998</v>
      </c>
      <c r="AF225" s="18">
        <v>40308.038194444445</v>
      </c>
      <c r="AG225" s="19">
        <v>40307.871527777781</v>
      </c>
      <c r="AH225" t="s">
        <v>161</v>
      </c>
      <c r="AL225" t="s">
        <v>335</v>
      </c>
      <c r="AM225" s="20">
        <v>40304</v>
      </c>
      <c r="AR225" s="39" t="s">
        <v>400</v>
      </c>
      <c r="AS225" s="39"/>
      <c r="AT225" s="39">
        <v>200</v>
      </c>
      <c r="AZ225" t="s">
        <v>108</v>
      </c>
      <c r="BC225" t="s">
        <v>336</v>
      </c>
    </row>
    <row r="226" spans="1:64" x14ac:dyDescent="0.25">
      <c r="A226" t="str">
        <f t="shared" si="3"/>
        <v>A69-9002-2609</v>
      </c>
      <c r="B226" t="s">
        <v>398</v>
      </c>
      <c r="C226" t="s">
        <v>324</v>
      </c>
      <c r="D226" t="s">
        <v>325</v>
      </c>
      <c r="F226">
        <v>2609</v>
      </c>
      <c r="G226" t="s">
        <v>326</v>
      </c>
      <c r="H226" t="s">
        <v>327</v>
      </c>
      <c r="I226" s="20">
        <v>40304</v>
      </c>
      <c r="J226">
        <v>80</v>
      </c>
      <c r="L226" t="s">
        <v>109</v>
      </c>
      <c r="M226" t="s">
        <v>328</v>
      </c>
      <c r="N226" t="s">
        <v>329</v>
      </c>
      <c r="O226" t="s">
        <v>330</v>
      </c>
      <c r="P226" t="s">
        <v>338</v>
      </c>
      <c r="U226">
        <v>0.52</v>
      </c>
      <c r="V226">
        <v>0.26600000000000001</v>
      </c>
      <c r="W226" t="s">
        <v>399</v>
      </c>
      <c r="Y226" t="s">
        <v>337</v>
      </c>
      <c r="AB226" t="s">
        <v>343</v>
      </c>
      <c r="AC226" t="s">
        <v>342</v>
      </c>
      <c r="AD226" s="34">
        <v>46.302694510000002</v>
      </c>
      <c r="AE226" s="34">
        <v>-84.054857769999998</v>
      </c>
      <c r="AF226" s="18">
        <v>40308.038194444445</v>
      </c>
      <c r="AG226" s="19">
        <v>40307.871527777781</v>
      </c>
      <c r="AH226" t="s">
        <v>161</v>
      </c>
      <c r="AL226" t="s">
        <v>335</v>
      </c>
      <c r="AM226" s="20">
        <v>40304</v>
      </c>
      <c r="AR226" s="39" t="s">
        <v>400</v>
      </c>
      <c r="AS226" s="39"/>
      <c r="AT226" s="39">
        <v>200</v>
      </c>
      <c r="AZ226" t="s">
        <v>108</v>
      </c>
      <c r="BC226" t="s">
        <v>336</v>
      </c>
    </row>
    <row r="227" spans="1:64" x14ac:dyDescent="0.25">
      <c r="A227" t="str">
        <f t="shared" si="3"/>
        <v>A69-9002-2610</v>
      </c>
      <c r="B227" t="s">
        <v>398</v>
      </c>
      <c r="C227" t="s">
        <v>324</v>
      </c>
      <c r="D227" t="s">
        <v>325</v>
      </c>
      <c r="F227">
        <v>2610</v>
      </c>
      <c r="G227" t="s">
        <v>326</v>
      </c>
      <c r="H227" t="s">
        <v>327</v>
      </c>
      <c r="I227" s="20">
        <v>40304</v>
      </c>
      <c r="J227">
        <v>80</v>
      </c>
      <c r="L227" t="s">
        <v>109</v>
      </c>
      <c r="M227" t="s">
        <v>328</v>
      </c>
      <c r="N227" t="s">
        <v>329</v>
      </c>
      <c r="O227" t="s">
        <v>330</v>
      </c>
      <c r="P227" t="s">
        <v>338</v>
      </c>
      <c r="U227">
        <v>0.49</v>
      </c>
      <c r="V227">
        <v>0.23499999999999999</v>
      </c>
      <c r="W227" t="s">
        <v>399</v>
      </c>
      <c r="Y227" t="s">
        <v>332</v>
      </c>
      <c r="AB227" t="s">
        <v>343</v>
      </c>
      <c r="AC227" t="s">
        <v>342</v>
      </c>
      <c r="AD227" s="34">
        <v>46.302694510000002</v>
      </c>
      <c r="AE227" s="34">
        <v>-84.054857769999998</v>
      </c>
      <c r="AF227" s="18">
        <v>40308.038194444445</v>
      </c>
      <c r="AG227" s="19">
        <v>40307.871527777781</v>
      </c>
      <c r="AH227" t="s">
        <v>161</v>
      </c>
      <c r="AL227" t="s">
        <v>335</v>
      </c>
      <c r="AM227" s="20">
        <v>40304</v>
      </c>
      <c r="AR227" s="39" t="s">
        <v>400</v>
      </c>
      <c r="AS227" s="39"/>
      <c r="AT227" s="39">
        <v>200</v>
      </c>
      <c r="AZ227" t="s">
        <v>108</v>
      </c>
      <c r="BC227" t="s">
        <v>336</v>
      </c>
    </row>
    <row r="228" spans="1:64" x14ac:dyDescent="0.25">
      <c r="A228" t="str">
        <f t="shared" si="3"/>
        <v>A69-9002-2611</v>
      </c>
      <c r="B228" t="s">
        <v>398</v>
      </c>
      <c r="C228" t="s">
        <v>324</v>
      </c>
      <c r="D228" t="s">
        <v>325</v>
      </c>
      <c r="F228">
        <v>2611</v>
      </c>
      <c r="G228" t="s">
        <v>326</v>
      </c>
      <c r="H228" t="s">
        <v>327</v>
      </c>
      <c r="I228" s="20">
        <v>40304</v>
      </c>
      <c r="J228">
        <v>80</v>
      </c>
      <c r="L228" t="s">
        <v>109</v>
      </c>
      <c r="M228" t="s">
        <v>328</v>
      </c>
      <c r="N228" t="s">
        <v>329</v>
      </c>
      <c r="O228" t="s">
        <v>330</v>
      </c>
      <c r="P228" t="s">
        <v>338</v>
      </c>
      <c r="U228">
        <v>0.54</v>
      </c>
      <c r="V228">
        <v>0.32500000000000001</v>
      </c>
      <c r="W228" t="s">
        <v>399</v>
      </c>
      <c r="Y228" t="s">
        <v>332</v>
      </c>
      <c r="AB228" t="s">
        <v>343</v>
      </c>
      <c r="AC228" t="s">
        <v>342</v>
      </c>
      <c r="AD228" s="34">
        <v>46.302694510000002</v>
      </c>
      <c r="AE228" s="34">
        <v>-84.054857769999998</v>
      </c>
      <c r="AF228" s="18">
        <v>40308.038194444445</v>
      </c>
      <c r="AG228" s="19">
        <v>40307.871527777781</v>
      </c>
      <c r="AH228" t="s">
        <v>161</v>
      </c>
      <c r="AL228" t="s">
        <v>335</v>
      </c>
      <c r="AM228" s="20">
        <v>40304</v>
      </c>
      <c r="AR228" s="39" t="s">
        <v>400</v>
      </c>
      <c r="AS228" s="39"/>
      <c r="AT228" s="39">
        <v>200</v>
      </c>
      <c r="AZ228" t="s">
        <v>108</v>
      </c>
      <c r="BC228" t="s">
        <v>336</v>
      </c>
    </row>
    <row r="229" spans="1:64" x14ac:dyDescent="0.25">
      <c r="A229" t="str">
        <f t="shared" si="3"/>
        <v>A69-9002-2612</v>
      </c>
      <c r="B229" t="s">
        <v>398</v>
      </c>
      <c r="C229" t="s">
        <v>324</v>
      </c>
      <c r="D229" t="s">
        <v>325</v>
      </c>
      <c r="F229">
        <v>2612</v>
      </c>
      <c r="G229" t="s">
        <v>326</v>
      </c>
      <c r="H229" t="s">
        <v>327</v>
      </c>
      <c r="I229" s="20">
        <v>40304</v>
      </c>
      <c r="J229">
        <v>80</v>
      </c>
      <c r="L229" t="s">
        <v>109</v>
      </c>
      <c r="M229" t="s">
        <v>328</v>
      </c>
      <c r="N229" t="s">
        <v>329</v>
      </c>
      <c r="O229" t="s">
        <v>330</v>
      </c>
      <c r="P229" t="s">
        <v>338</v>
      </c>
      <c r="U229">
        <v>0.53</v>
      </c>
      <c r="V229">
        <v>0.26300000000000001</v>
      </c>
      <c r="W229" t="s">
        <v>399</v>
      </c>
      <c r="Y229" t="s">
        <v>332</v>
      </c>
      <c r="AB229" t="s">
        <v>343</v>
      </c>
      <c r="AC229" t="s">
        <v>342</v>
      </c>
      <c r="AD229" s="34">
        <v>46.302694510000002</v>
      </c>
      <c r="AE229" s="34">
        <v>-84.054857769999998</v>
      </c>
      <c r="AF229" s="18">
        <v>40308.038194444445</v>
      </c>
      <c r="AG229" s="19">
        <v>40307.871527777781</v>
      </c>
      <c r="AH229" t="s">
        <v>161</v>
      </c>
      <c r="AL229" t="s">
        <v>335</v>
      </c>
      <c r="AM229" s="20">
        <v>40304</v>
      </c>
      <c r="AR229" s="39" t="s">
        <v>400</v>
      </c>
      <c r="AS229" s="39"/>
      <c r="AT229" s="39">
        <v>200</v>
      </c>
      <c r="AZ229" t="s">
        <v>108</v>
      </c>
      <c r="BC229" t="s">
        <v>336</v>
      </c>
    </row>
    <row r="230" spans="1:64" x14ac:dyDescent="0.25">
      <c r="A230" t="str">
        <f t="shared" si="3"/>
        <v>A69-9002-2613</v>
      </c>
      <c r="B230" t="s">
        <v>398</v>
      </c>
      <c r="C230" t="s">
        <v>324</v>
      </c>
      <c r="D230" t="s">
        <v>325</v>
      </c>
      <c r="F230">
        <v>2613</v>
      </c>
      <c r="G230" t="s">
        <v>326</v>
      </c>
      <c r="H230" t="s">
        <v>327</v>
      </c>
      <c r="I230" s="20">
        <v>40304</v>
      </c>
      <c r="J230">
        <v>80</v>
      </c>
      <c r="L230" t="s">
        <v>109</v>
      </c>
      <c r="M230" t="s">
        <v>328</v>
      </c>
      <c r="N230" t="s">
        <v>329</v>
      </c>
      <c r="O230" t="s">
        <v>330</v>
      </c>
      <c r="P230" t="s">
        <v>338</v>
      </c>
      <c r="U230">
        <v>0.5</v>
      </c>
      <c r="V230">
        <v>0.254</v>
      </c>
      <c r="W230" t="s">
        <v>399</v>
      </c>
      <c r="Y230" t="s">
        <v>332</v>
      </c>
      <c r="AB230" t="s">
        <v>343</v>
      </c>
      <c r="AC230" t="s">
        <v>342</v>
      </c>
      <c r="AD230" s="34">
        <v>46.302694510000002</v>
      </c>
      <c r="AE230" s="34">
        <v>-84.054857769999998</v>
      </c>
      <c r="AF230" s="18">
        <v>40308.038194444445</v>
      </c>
      <c r="AG230" s="19">
        <v>40307.871527777781</v>
      </c>
      <c r="AH230" t="s">
        <v>161</v>
      </c>
      <c r="AL230" t="s">
        <v>335</v>
      </c>
      <c r="AM230" s="20">
        <v>40304</v>
      </c>
      <c r="AR230" s="39" t="s">
        <v>400</v>
      </c>
      <c r="AS230" s="39"/>
      <c r="AT230" s="39">
        <v>200</v>
      </c>
      <c r="AZ230" t="s">
        <v>108</v>
      </c>
      <c r="BC230" t="s">
        <v>336</v>
      </c>
    </row>
    <row r="231" spans="1:64" x14ac:dyDescent="0.25">
      <c r="A231" t="str">
        <f t="shared" si="3"/>
        <v>A69-9002-2529</v>
      </c>
      <c r="B231" t="s">
        <v>398</v>
      </c>
      <c r="C231" t="s">
        <v>324</v>
      </c>
      <c r="D231" t="s">
        <v>325</v>
      </c>
      <c r="F231">
        <v>2529</v>
      </c>
      <c r="G231" t="s">
        <v>326</v>
      </c>
      <c r="H231" t="s">
        <v>327</v>
      </c>
      <c r="I231" s="20">
        <v>40305</v>
      </c>
      <c r="J231">
        <v>80</v>
      </c>
      <c r="L231" t="s">
        <v>109</v>
      </c>
      <c r="M231" t="s">
        <v>328</v>
      </c>
      <c r="N231" t="s">
        <v>329</v>
      </c>
      <c r="O231" t="s">
        <v>330</v>
      </c>
      <c r="P231" t="s">
        <v>338</v>
      </c>
      <c r="U231">
        <v>0.46</v>
      </c>
      <c r="V231">
        <v>0.21</v>
      </c>
      <c r="W231" t="s">
        <v>399</v>
      </c>
      <c r="Y231" t="s">
        <v>337</v>
      </c>
      <c r="AB231" t="s">
        <v>343</v>
      </c>
      <c r="AC231" t="s">
        <v>342</v>
      </c>
      <c r="AD231" s="34">
        <v>46.302694510000002</v>
      </c>
      <c r="AE231" s="34">
        <v>-84.054857769999998</v>
      </c>
      <c r="AF231" s="18">
        <v>40308.038194444445</v>
      </c>
      <c r="AG231" s="19">
        <v>40307.871527777781</v>
      </c>
      <c r="AH231" t="s">
        <v>161</v>
      </c>
      <c r="AL231" t="s">
        <v>335</v>
      </c>
      <c r="AM231" s="20">
        <v>40305</v>
      </c>
      <c r="AR231" s="39" t="s">
        <v>400</v>
      </c>
      <c r="AS231" s="39"/>
      <c r="AT231" s="39">
        <v>200</v>
      </c>
      <c r="AZ231" t="s">
        <v>108</v>
      </c>
      <c r="BC231" t="s">
        <v>336</v>
      </c>
    </row>
    <row r="232" spans="1:64" x14ac:dyDescent="0.25">
      <c r="A232" t="str">
        <f t="shared" si="3"/>
        <v>A69-9002-2427</v>
      </c>
      <c r="B232" t="s">
        <v>398</v>
      </c>
      <c r="C232" t="s">
        <v>324</v>
      </c>
      <c r="D232" t="s">
        <v>325</v>
      </c>
      <c r="F232">
        <v>2427</v>
      </c>
      <c r="G232" t="s">
        <v>326</v>
      </c>
      <c r="H232" t="s">
        <v>327</v>
      </c>
      <c r="I232" s="20">
        <v>40305</v>
      </c>
      <c r="J232">
        <v>80</v>
      </c>
      <c r="L232" t="s">
        <v>109</v>
      </c>
      <c r="M232" t="s">
        <v>328</v>
      </c>
      <c r="N232" t="s">
        <v>329</v>
      </c>
      <c r="O232" t="s">
        <v>330</v>
      </c>
      <c r="P232" t="s">
        <v>338</v>
      </c>
      <c r="U232">
        <v>0.51</v>
      </c>
      <c r="V232">
        <v>0.26800000000000002</v>
      </c>
      <c r="W232" t="s">
        <v>399</v>
      </c>
      <c r="Y232" t="s">
        <v>337</v>
      </c>
      <c r="AB232" t="s">
        <v>343</v>
      </c>
      <c r="AC232" t="s">
        <v>342</v>
      </c>
      <c r="AD232" s="34">
        <v>46.302694510000002</v>
      </c>
      <c r="AE232" s="34">
        <v>-84.054857769999998</v>
      </c>
      <c r="AF232" s="18">
        <v>40308.038194444445</v>
      </c>
      <c r="AG232" s="19">
        <v>40307.871527777781</v>
      </c>
      <c r="AH232" t="s">
        <v>161</v>
      </c>
      <c r="AL232" t="s">
        <v>335</v>
      </c>
      <c r="AM232" s="20">
        <v>40305</v>
      </c>
      <c r="AR232" s="39" t="s">
        <v>400</v>
      </c>
      <c r="AS232" s="39"/>
      <c r="AT232" s="39">
        <v>200</v>
      </c>
      <c r="AZ232" t="s">
        <v>108</v>
      </c>
      <c r="BC232" t="s">
        <v>336</v>
      </c>
    </row>
    <row r="233" spans="1:64" x14ac:dyDescent="0.25">
      <c r="A233" t="str">
        <f t="shared" si="3"/>
        <v>A69-9002-2530</v>
      </c>
      <c r="B233" t="s">
        <v>398</v>
      </c>
      <c r="C233" t="s">
        <v>324</v>
      </c>
      <c r="D233" t="s">
        <v>325</v>
      </c>
      <c r="F233">
        <v>2530</v>
      </c>
      <c r="G233" t="s">
        <v>326</v>
      </c>
      <c r="H233" t="s">
        <v>327</v>
      </c>
      <c r="I233" s="20">
        <v>40305</v>
      </c>
      <c r="J233">
        <v>80</v>
      </c>
      <c r="L233" t="s">
        <v>109</v>
      </c>
      <c r="M233" t="s">
        <v>328</v>
      </c>
      <c r="N233" t="s">
        <v>329</v>
      </c>
      <c r="O233" t="s">
        <v>330</v>
      </c>
      <c r="P233" t="s">
        <v>338</v>
      </c>
      <c r="U233">
        <v>0.48</v>
      </c>
      <c r="V233">
        <v>0.26300000000000001</v>
      </c>
      <c r="W233" t="s">
        <v>399</v>
      </c>
      <c r="Y233" t="s">
        <v>332</v>
      </c>
      <c r="AB233" t="s">
        <v>343</v>
      </c>
      <c r="AC233" t="s">
        <v>342</v>
      </c>
      <c r="AD233" s="34">
        <v>46.302694510000002</v>
      </c>
      <c r="AE233" s="34">
        <v>-84.054857769999998</v>
      </c>
      <c r="AF233" s="18">
        <v>40308.038194444445</v>
      </c>
      <c r="AG233" s="19">
        <v>40307.871527777781</v>
      </c>
      <c r="AH233" t="s">
        <v>161</v>
      </c>
      <c r="AL233" t="s">
        <v>335</v>
      </c>
      <c r="AM233" s="20">
        <v>40305</v>
      </c>
      <c r="AR233" s="39" t="s">
        <v>400</v>
      </c>
      <c r="AS233" s="39"/>
      <c r="AT233" s="39">
        <v>200</v>
      </c>
      <c r="AZ233" t="s">
        <v>108</v>
      </c>
      <c r="BC233" t="s">
        <v>336</v>
      </c>
    </row>
    <row r="234" spans="1:64" x14ac:dyDescent="0.25">
      <c r="A234" t="str">
        <f t="shared" si="3"/>
        <v>A69-9002-2527</v>
      </c>
      <c r="B234" t="s">
        <v>398</v>
      </c>
      <c r="C234" t="s">
        <v>324</v>
      </c>
      <c r="D234" t="s">
        <v>325</v>
      </c>
      <c r="F234">
        <v>2527</v>
      </c>
      <c r="G234" t="s">
        <v>326</v>
      </c>
      <c r="H234" t="s">
        <v>327</v>
      </c>
      <c r="I234" s="20">
        <v>40305</v>
      </c>
      <c r="J234">
        <v>80</v>
      </c>
      <c r="L234" t="s">
        <v>109</v>
      </c>
      <c r="M234" t="s">
        <v>328</v>
      </c>
      <c r="N234" t="s">
        <v>329</v>
      </c>
      <c r="O234" t="s">
        <v>330</v>
      </c>
      <c r="P234" t="s">
        <v>338</v>
      </c>
      <c r="U234">
        <v>0.47</v>
      </c>
      <c r="V234">
        <v>0.22600000000000001</v>
      </c>
      <c r="W234" t="s">
        <v>399</v>
      </c>
      <c r="Y234" t="s">
        <v>337</v>
      </c>
      <c r="AB234" t="s">
        <v>343</v>
      </c>
      <c r="AC234" t="s">
        <v>342</v>
      </c>
      <c r="AD234" s="34">
        <v>46.302694510000002</v>
      </c>
      <c r="AE234" s="34">
        <v>-84.054857769999998</v>
      </c>
      <c r="AF234" s="18">
        <v>40308.038194444445</v>
      </c>
      <c r="AG234" s="19">
        <v>40307.871527777781</v>
      </c>
      <c r="AH234" t="s">
        <v>161</v>
      </c>
      <c r="AL234" t="s">
        <v>335</v>
      </c>
      <c r="AM234" s="20">
        <v>40305</v>
      </c>
      <c r="AR234" s="39" t="s">
        <v>400</v>
      </c>
      <c r="AS234" s="39"/>
      <c r="AT234" s="39">
        <v>200</v>
      </c>
      <c r="AZ234" t="s">
        <v>108</v>
      </c>
      <c r="BC234" t="s">
        <v>336</v>
      </c>
    </row>
    <row r="235" spans="1:64" x14ac:dyDescent="0.25">
      <c r="A235" t="str">
        <f t="shared" si="3"/>
        <v>A69-9002-2524</v>
      </c>
      <c r="B235" t="s">
        <v>398</v>
      </c>
      <c r="C235" t="s">
        <v>324</v>
      </c>
      <c r="D235" t="s">
        <v>325</v>
      </c>
      <c r="F235">
        <v>2524</v>
      </c>
      <c r="G235" t="s">
        <v>326</v>
      </c>
      <c r="H235" t="s">
        <v>327</v>
      </c>
      <c r="I235" s="20">
        <v>40305</v>
      </c>
      <c r="J235">
        <v>80</v>
      </c>
      <c r="L235" t="s">
        <v>109</v>
      </c>
      <c r="M235" t="s">
        <v>328</v>
      </c>
      <c r="N235" t="s">
        <v>329</v>
      </c>
      <c r="O235" t="s">
        <v>330</v>
      </c>
      <c r="P235" t="s">
        <v>338</v>
      </c>
      <c r="U235">
        <v>0.47</v>
      </c>
      <c r="V235">
        <v>0.246</v>
      </c>
      <c r="W235" t="s">
        <v>399</v>
      </c>
      <c r="Y235" t="s">
        <v>332</v>
      </c>
      <c r="AB235" t="s">
        <v>343</v>
      </c>
      <c r="AC235" t="s">
        <v>342</v>
      </c>
      <c r="AD235" s="34">
        <v>46.302694510000002</v>
      </c>
      <c r="AE235" s="34">
        <v>-84.054857769999998</v>
      </c>
      <c r="AF235" s="18">
        <v>40308.038194444445</v>
      </c>
      <c r="AG235" s="19">
        <v>40307.871527777781</v>
      </c>
      <c r="AH235" t="s">
        <v>161</v>
      </c>
      <c r="AL235" t="s">
        <v>335</v>
      </c>
      <c r="AM235" s="20">
        <v>40305</v>
      </c>
      <c r="AR235" s="39" t="s">
        <v>400</v>
      </c>
      <c r="AS235" s="39"/>
      <c r="AT235" s="39">
        <v>200</v>
      </c>
      <c r="AZ235" t="s">
        <v>108</v>
      </c>
      <c r="BC235" t="s">
        <v>336</v>
      </c>
    </row>
    <row r="236" spans="1:64" x14ac:dyDescent="0.25">
      <c r="A236" t="str">
        <f t="shared" si="3"/>
        <v>A69-9002-2521</v>
      </c>
      <c r="B236" t="s">
        <v>398</v>
      </c>
      <c r="C236" t="s">
        <v>324</v>
      </c>
      <c r="D236" t="s">
        <v>325</v>
      </c>
      <c r="F236">
        <v>2521</v>
      </c>
      <c r="G236" t="s">
        <v>326</v>
      </c>
      <c r="H236" t="s">
        <v>327</v>
      </c>
      <c r="I236" s="20">
        <v>40305</v>
      </c>
      <c r="J236">
        <v>80</v>
      </c>
      <c r="L236" t="s">
        <v>109</v>
      </c>
      <c r="M236" t="s">
        <v>328</v>
      </c>
      <c r="N236" t="s">
        <v>329</v>
      </c>
      <c r="O236" t="s">
        <v>330</v>
      </c>
      <c r="P236" t="s">
        <v>338</v>
      </c>
      <c r="U236">
        <v>0.47</v>
      </c>
      <c r="V236">
        <v>0.23499999999999999</v>
      </c>
      <c r="W236" t="s">
        <v>399</v>
      </c>
      <c r="Y236" t="s">
        <v>337</v>
      </c>
      <c r="AB236" t="s">
        <v>343</v>
      </c>
      <c r="AC236" t="s">
        <v>342</v>
      </c>
      <c r="AD236" s="34">
        <v>46.302694510000002</v>
      </c>
      <c r="AE236" s="34">
        <v>-84.054857769999998</v>
      </c>
      <c r="AF236" s="18">
        <v>40308.038194444445</v>
      </c>
      <c r="AG236" s="19">
        <v>40307.871527777781</v>
      </c>
      <c r="AH236" t="s">
        <v>161</v>
      </c>
      <c r="AL236" t="s">
        <v>335</v>
      </c>
      <c r="AM236" s="20">
        <v>40305</v>
      </c>
      <c r="AR236" s="39" t="s">
        <v>400</v>
      </c>
      <c r="AS236" s="39"/>
      <c r="AT236" s="39">
        <v>200</v>
      </c>
      <c r="AZ236" t="s">
        <v>108</v>
      </c>
      <c r="BC236" t="s">
        <v>336</v>
      </c>
    </row>
    <row r="237" spans="1:64" x14ac:dyDescent="0.25">
      <c r="A237" t="str">
        <f t="shared" si="3"/>
        <v>A69-9002-2526</v>
      </c>
      <c r="B237" t="s">
        <v>398</v>
      </c>
      <c r="C237" t="s">
        <v>324</v>
      </c>
      <c r="D237" t="s">
        <v>325</v>
      </c>
      <c r="F237">
        <v>2526</v>
      </c>
      <c r="G237" t="s">
        <v>326</v>
      </c>
      <c r="H237" t="s">
        <v>327</v>
      </c>
      <c r="I237" s="20">
        <v>40305</v>
      </c>
      <c r="J237">
        <v>80</v>
      </c>
      <c r="L237" t="s">
        <v>109</v>
      </c>
      <c r="M237" t="s">
        <v>328</v>
      </c>
      <c r="N237" t="s">
        <v>329</v>
      </c>
      <c r="O237" t="s">
        <v>330</v>
      </c>
      <c r="P237" t="s">
        <v>338</v>
      </c>
      <c r="U237">
        <v>0.55000000000000004</v>
      </c>
      <c r="V237">
        <v>0.34</v>
      </c>
      <c r="W237" t="s">
        <v>399</v>
      </c>
      <c r="Y237" t="s">
        <v>332</v>
      </c>
      <c r="AB237" t="s">
        <v>343</v>
      </c>
      <c r="AC237" t="s">
        <v>342</v>
      </c>
      <c r="AD237" s="34">
        <v>46.302694510000002</v>
      </c>
      <c r="AE237" s="34">
        <v>-84.054857769999998</v>
      </c>
      <c r="AF237" s="18">
        <v>40308.038194444445</v>
      </c>
      <c r="AG237" s="19">
        <v>40307.871527777781</v>
      </c>
      <c r="AH237" t="s">
        <v>161</v>
      </c>
      <c r="AL237" t="s">
        <v>335</v>
      </c>
      <c r="AM237" s="20">
        <v>40305</v>
      </c>
      <c r="AR237" s="39" t="s">
        <v>400</v>
      </c>
      <c r="AS237" s="39"/>
      <c r="AT237" s="39">
        <v>200</v>
      </c>
      <c r="AZ237" t="s">
        <v>108</v>
      </c>
      <c r="BC237" t="s">
        <v>163</v>
      </c>
      <c r="BD237" s="20">
        <v>40334</v>
      </c>
      <c r="BF237" s="21" t="s">
        <v>406</v>
      </c>
      <c r="BG237" s="1" t="s">
        <v>113</v>
      </c>
      <c r="BH237" t="s">
        <v>425</v>
      </c>
      <c r="BI237" s="39">
        <v>46.504829000000001</v>
      </c>
      <c r="BJ237" s="39">
        <v>-84.354651000000004</v>
      </c>
      <c r="BK237" t="s">
        <v>405</v>
      </c>
      <c r="BL237" s="39" t="s">
        <v>336</v>
      </c>
    </row>
    <row r="238" spans="1:64" x14ac:dyDescent="0.25">
      <c r="A238" t="str">
        <f t="shared" si="3"/>
        <v>A69-9002-2528</v>
      </c>
      <c r="B238" t="s">
        <v>398</v>
      </c>
      <c r="C238" t="s">
        <v>324</v>
      </c>
      <c r="D238" t="s">
        <v>325</v>
      </c>
      <c r="F238">
        <v>2528</v>
      </c>
      <c r="G238" t="s">
        <v>326</v>
      </c>
      <c r="H238" t="s">
        <v>327</v>
      </c>
      <c r="I238" s="20">
        <v>40305</v>
      </c>
      <c r="J238">
        <v>80</v>
      </c>
      <c r="L238" t="s">
        <v>109</v>
      </c>
      <c r="M238" t="s">
        <v>328</v>
      </c>
      <c r="N238" t="s">
        <v>329</v>
      </c>
      <c r="O238" t="s">
        <v>330</v>
      </c>
      <c r="P238" t="s">
        <v>338</v>
      </c>
      <c r="U238">
        <v>0.49</v>
      </c>
      <c r="V238">
        <v>0.26500000000000001</v>
      </c>
      <c r="W238" t="s">
        <v>399</v>
      </c>
      <c r="Y238" t="s">
        <v>332</v>
      </c>
      <c r="AB238" t="s">
        <v>343</v>
      </c>
      <c r="AC238" t="s">
        <v>342</v>
      </c>
      <c r="AD238" s="34">
        <v>46.302694510000002</v>
      </c>
      <c r="AE238" s="34">
        <v>-84.054857769999998</v>
      </c>
      <c r="AF238" s="18">
        <v>40308.038194444445</v>
      </c>
      <c r="AG238" s="19">
        <v>40307.871527777781</v>
      </c>
      <c r="AH238" t="s">
        <v>161</v>
      </c>
      <c r="AL238" t="s">
        <v>335</v>
      </c>
      <c r="AM238" s="20">
        <v>40305</v>
      </c>
      <c r="AR238" s="39" t="s">
        <v>400</v>
      </c>
      <c r="AS238" s="39"/>
      <c r="AT238" s="39">
        <v>200</v>
      </c>
      <c r="AZ238" t="s">
        <v>108</v>
      </c>
      <c r="BC238" t="s">
        <v>336</v>
      </c>
    </row>
    <row r="239" spans="1:64" x14ac:dyDescent="0.25">
      <c r="A239" t="str">
        <f t="shared" si="3"/>
        <v>A69-9002-2523</v>
      </c>
      <c r="B239" t="s">
        <v>398</v>
      </c>
      <c r="C239" t="s">
        <v>324</v>
      </c>
      <c r="D239" t="s">
        <v>325</v>
      </c>
      <c r="F239">
        <v>2523</v>
      </c>
      <c r="G239" t="s">
        <v>326</v>
      </c>
      <c r="H239" t="s">
        <v>327</v>
      </c>
      <c r="I239" s="20">
        <v>40305</v>
      </c>
      <c r="J239">
        <v>80</v>
      </c>
      <c r="L239" t="s">
        <v>109</v>
      </c>
      <c r="M239" t="s">
        <v>328</v>
      </c>
      <c r="N239" t="s">
        <v>329</v>
      </c>
      <c r="O239" t="s">
        <v>330</v>
      </c>
      <c r="P239" t="s">
        <v>338</v>
      </c>
      <c r="U239">
        <v>0.51</v>
      </c>
      <c r="V239">
        <v>0.27900000000000003</v>
      </c>
      <c r="W239" t="s">
        <v>399</v>
      </c>
      <c r="Y239" t="s">
        <v>332</v>
      </c>
      <c r="AB239" t="s">
        <v>343</v>
      </c>
      <c r="AC239" t="s">
        <v>342</v>
      </c>
      <c r="AD239" s="34">
        <v>46.302694510000002</v>
      </c>
      <c r="AE239" s="34">
        <v>-84.054857769999998</v>
      </c>
      <c r="AF239" s="18">
        <v>40308.038194444445</v>
      </c>
      <c r="AG239" s="19">
        <v>40307.871527777781</v>
      </c>
      <c r="AH239" t="s">
        <v>161</v>
      </c>
      <c r="AL239" t="s">
        <v>335</v>
      </c>
      <c r="AM239" s="20">
        <v>40305</v>
      </c>
      <c r="AR239" s="39" t="s">
        <v>400</v>
      </c>
      <c r="AS239" s="39"/>
      <c r="AT239" s="39">
        <v>200</v>
      </c>
      <c r="AZ239" t="s">
        <v>108</v>
      </c>
      <c r="BC239" t="s">
        <v>336</v>
      </c>
    </row>
    <row r="240" spans="1:64" x14ac:dyDescent="0.25">
      <c r="A240" t="str">
        <f t="shared" si="3"/>
        <v>A69-9002-2520</v>
      </c>
      <c r="B240" t="s">
        <v>398</v>
      </c>
      <c r="C240" t="s">
        <v>324</v>
      </c>
      <c r="D240" t="s">
        <v>325</v>
      </c>
      <c r="F240">
        <v>2520</v>
      </c>
      <c r="G240" t="s">
        <v>326</v>
      </c>
      <c r="H240" t="s">
        <v>327</v>
      </c>
      <c r="I240" s="20">
        <v>40305</v>
      </c>
      <c r="J240">
        <v>80</v>
      </c>
      <c r="L240" t="s">
        <v>109</v>
      </c>
      <c r="M240" t="s">
        <v>328</v>
      </c>
      <c r="N240" t="s">
        <v>329</v>
      </c>
      <c r="O240" t="s">
        <v>330</v>
      </c>
      <c r="P240" t="s">
        <v>338</v>
      </c>
      <c r="U240">
        <v>0.52</v>
      </c>
      <c r="V240">
        <v>0.27800000000000002</v>
      </c>
      <c r="W240" t="s">
        <v>399</v>
      </c>
      <c r="Y240" t="s">
        <v>337</v>
      </c>
      <c r="AB240" t="s">
        <v>343</v>
      </c>
      <c r="AC240" t="s">
        <v>342</v>
      </c>
      <c r="AD240" s="34">
        <v>46.302694510000002</v>
      </c>
      <c r="AE240" s="34">
        <v>-84.054857769999998</v>
      </c>
      <c r="AF240" s="18">
        <v>40308.038194444445</v>
      </c>
      <c r="AG240" s="19">
        <v>40307.871527777781</v>
      </c>
      <c r="AH240" t="s">
        <v>161</v>
      </c>
      <c r="AL240" t="s">
        <v>335</v>
      </c>
      <c r="AM240" s="20">
        <v>40305</v>
      </c>
      <c r="AR240" s="39" t="s">
        <v>400</v>
      </c>
      <c r="AS240" s="39"/>
      <c r="AT240" s="39">
        <v>200</v>
      </c>
      <c r="AZ240" t="s">
        <v>108</v>
      </c>
      <c r="BC240" t="s">
        <v>336</v>
      </c>
    </row>
    <row r="241" spans="1:55" x14ac:dyDescent="0.25">
      <c r="A241" t="str">
        <f t="shared" si="3"/>
        <v>A69-9002-2525</v>
      </c>
      <c r="B241" t="s">
        <v>398</v>
      </c>
      <c r="C241" t="s">
        <v>324</v>
      </c>
      <c r="D241" t="s">
        <v>325</v>
      </c>
      <c r="F241">
        <v>2525</v>
      </c>
      <c r="G241" t="s">
        <v>326</v>
      </c>
      <c r="H241" t="s">
        <v>327</v>
      </c>
      <c r="I241" s="20">
        <v>40305</v>
      </c>
      <c r="J241">
        <v>80</v>
      </c>
      <c r="L241" t="s">
        <v>109</v>
      </c>
      <c r="M241" t="s">
        <v>328</v>
      </c>
      <c r="N241" t="s">
        <v>329</v>
      </c>
      <c r="O241" t="s">
        <v>330</v>
      </c>
      <c r="P241" t="s">
        <v>338</v>
      </c>
      <c r="U241">
        <v>0.56999999999999995</v>
      </c>
      <c r="V241">
        <v>0.35699999999999998</v>
      </c>
      <c r="W241" t="s">
        <v>399</v>
      </c>
      <c r="Y241" t="s">
        <v>332</v>
      </c>
      <c r="AB241" t="s">
        <v>343</v>
      </c>
      <c r="AC241" t="s">
        <v>342</v>
      </c>
      <c r="AD241" s="34">
        <v>46.302694510000002</v>
      </c>
      <c r="AE241" s="34">
        <v>-84.054857769999998</v>
      </c>
      <c r="AF241" s="18">
        <v>40308.038194444445</v>
      </c>
      <c r="AG241" s="19">
        <v>40307.871527777781</v>
      </c>
      <c r="AH241" t="s">
        <v>161</v>
      </c>
      <c r="AL241" t="s">
        <v>335</v>
      </c>
      <c r="AM241" s="20">
        <v>40305</v>
      </c>
      <c r="AR241" s="39" t="s">
        <v>400</v>
      </c>
      <c r="AS241" s="39"/>
      <c r="AT241" s="39">
        <v>200</v>
      </c>
      <c r="AZ241" t="s">
        <v>108</v>
      </c>
      <c r="BC241" t="s">
        <v>336</v>
      </c>
    </row>
    <row r="242" spans="1:55" x14ac:dyDescent="0.25">
      <c r="A242" t="str">
        <f t="shared" si="3"/>
        <v>A69-9002-2519</v>
      </c>
      <c r="B242" t="s">
        <v>398</v>
      </c>
      <c r="C242" t="s">
        <v>324</v>
      </c>
      <c r="D242" t="s">
        <v>325</v>
      </c>
      <c r="F242">
        <v>2519</v>
      </c>
      <c r="G242" t="s">
        <v>326</v>
      </c>
      <c r="H242" t="s">
        <v>327</v>
      </c>
      <c r="I242" s="20">
        <v>40305</v>
      </c>
      <c r="J242">
        <v>80</v>
      </c>
      <c r="L242" t="s">
        <v>109</v>
      </c>
      <c r="M242" t="s">
        <v>328</v>
      </c>
      <c r="N242" t="s">
        <v>329</v>
      </c>
      <c r="O242" t="s">
        <v>330</v>
      </c>
      <c r="P242" t="s">
        <v>338</v>
      </c>
      <c r="U242">
        <v>0.52</v>
      </c>
      <c r="V242">
        <v>0.29699999999999999</v>
      </c>
      <c r="W242" t="s">
        <v>399</v>
      </c>
      <c r="Y242" t="s">
        <v>337</v>
      </c>
      <c r="AB242" t="s">
        <v>343</v>
      </c>
      <c r="AC242" t="s">
        <v>342</v>
      </c>
      <c r="AD242" s="34">
        <v>46.302694510000002</v>
      </c>
      <c r="AE242" s="34">
        <v>-84.054857769999998</v>
      </c>
      <c r="AF242" s="18">
        <v>40308.038194444445</v>
      </c>
      <c r="AG242" s="19">
        <v>40307.871527777781</v>
      </c>
      <c r="AH242" t="s">
        <v>161</v>
      </c>
      <c r="AL242" t="s">
        <v>335</v>
      </c>
      <c r="AM242" s="20">
        <v>40305</v>
      </c>
      <c r="AR242" s="39" t="s">
        <v>400</v>
      </c>
      <c r="AS242" s="39"/>
      <c r="AT242" s="39">
        <v>200</v>
      </c>
      <c r="AZ242" t="s">
        <v>108</v>
      </c>
      <c r="BC242" t="s">
        <v>336</v>
      </c>
    </row>
    <row r="243" spans="1:55" x14ac:dyDescent="0.25">
      <c r="A243" t="str">
        <f t="shared" si="3"/>
        <v>A69-9002-2522</v>
      </c>
      <c r="B243" t="s">
        <v>398</v>
      </c>
      <c r="C243" t="s">
        <v>324</v>
      </c>
      <c r="D243" t="s">
        <v>325</v>
      </c>
      <c r="F243">
        <v>2522</v>
      </c>
      <c r="G243" t="s">
        <v>326</v>
      </c>
      <c r="H243" t="s">
        <v>327</v>
      </c>
      <c r="I243" s="20">
        <v>40305</v>
      </c>
      <c r="J243">
        <v>80</v>
      </c>
      <c r="L243" t="s">
        <v>109</v>
      </c>
      <c r="M243" t="s">
        <v>328</v>
      </c>
      <c r="N243" t="s">
        <v>329</v>
      </c>
      <c r="O243" t="s">
        <v>330</v>
      </c>
      <c r="P243" t="s">
        <v>338</v>
      </c>
      <c r="U243">
        <v>0.52</v>
      </c>
      <c r="V243">
        <v>0.27200000000000002</v>
      </c>
      <c r="W243" t="s">
        <v>399</v>
      </c>
      <c r="Y243" t="s">
        <v>337</v>
      </c>
      <c r="AB243" t="s">
        <v>343</v>
      </c>
      <c r="AC243" t="s">
        <v>342</v>
      </c>
      <c r="AD243" s="34">
        <v>46.302694510000002</v>
      </c>
      <c r="AE243" s="34">
        <v>-84.054857769999998</v>
      </c>
      <c r="AF243" s="18">
        <v>40308.038194444445</v>
      </c>
      <c r="AG243" s="19">
        <v>40307.871527777781</v>
      </c>
      <c r="AH243" t="s">
        <v>161</v>
      </c>
      <c r="AL243" t="s">
        <v>335</v>
      </c>
      <c r="AM243" s="20">
        <v>40305</v>
      </c>
      <c r="AR243" s="39" t="s">
        <v>400</v>
      </c>
      <c r="AS243" s="39"/>
      <c r="AT243" s="39">
        <v>200</v>
      </c>
      <c r="AZ243" t="s">
        <v>108</v>
      </c>
      <c r="BC243" t="s">
        <v>336</v>
      </c>
    </row>
    <row r="244" spans="1:55" x14ac:dyDescent="0.25">
      <c r="A244" t="str">
        <f t="shared" si="3"/>
        <v>A69-9002-2531</v>
      </c>
      <c r="B244" t="s">
        <v>398</v>
      </c>
      <c r="C244" t="s">
        <v>324</v>
      </c>
      <c r="D244" t="s">
        <v>325</v>
      </c>
      <c r="F244">
        <v>2531</v>
      </c>
      <c r="G244" t="s">
        <v>326</v>
      </c>
      <c r="H244" t="s">
        <v>327</v>
      </c>
      <c r="I244" s="20">
        <v>40305</v>
      </c>
      <c r="J244">
        <v>80</v>
      </c>
      <c r="L244" t="s">
        <v>109</v>
      </c>
      <c r="M244" t="s">
        <v>328</v>
      </c>
      <c r="N244" t="s">
        <v>329</v>
      </c>
      <c r="O244" t="s">
        <v>330</v>
      </c>
      <c r="P244" t="s">
        <v>338</v>
      </c>
      <c r="U244">
        <v>0.52</v>
      </c>
      <c r="V244">
        <v>0.27500000000000002</v>
      </c>
      <c r="W244" t="s">
        <v>399</v>
      </c>
      <c r="Y244" t="s">
        <v>332</v>
      </c>
      <c r="AB244" t="s">
        <v>343</v>
      </c>
      <c r="AC244" t="s">
        <v>342</v>
      </c>
      <c r="AD244" s="34">
        <v>46.302694510000002</v>
      </c>
      <c r="AE244" s="34">
        <v>-84.054857769999998</v>
      </c>
      <c r="AF244" s="18">
        <v>40308.038194444445</v>
      </c>
      <c r="AG244" s="19">
        <v>40307.871527777781</v>
      </c>
      <c r="AH244" t="s">
        <v>161</v>
      </c>
      <c r="AL244" t="s">
        <v>335</v>
      </c>
      <c r="AM244" s="20">
        <v>40305</v>
      </c>
      <c r="AR244" s="39" t="s">
        <v>400</v>
      </c>
      <c r="AS244" s="39"/>
      <c r="AT244" s="39">
        <v>200</v>
      </c>
      <c r="AZ244" t="s">
        <v>108</v>
      </c>
      <c r="BC244" t="s">
        <v>336</v>
      </c>
    </row>
    <row r="245" spans="1:55" x14ac:dyDescent="0.25">
      <c r="A245" t="str">
        <f t="shared" si="3"/>
        <v>A69-9002-2619</v>
      </c>
      <c r="B245" t="s">
        <v>398</v>
      </c>
      <c r="C245" t="s">
        <v>324</v>
      </c>
      <c r="D245" t="s">
        <v>325</v>
      </c>
      <c r="F245">
        <v>2619</v>
      </c>
      <c r="G245" t="s">
        <v>326</v>
      </c>
      <c r="H245" t="s">
        <v>327</v>
      </c>
      <c r="I245" s="20">
        <v>40305</v>
      </c>
      <c r="J245">
        <v>80</v>
      </c>
      <c r="L245" t="s">
        <v>109</v>
      </c>
      <c r="M245" t="s">
        <v>328</v>
      </c>
      <c r="N245" t="s">
        <v>329</v>
      </c>
      <c r="O245" t="s">
        <v>330</v>
      </c>
      <c r="P245" t="s">
        <v>338</v>
      </c>
      <c r="U245">
        <v>0.53</v>
      </c>
      <c r="V245">
        <v>0.28499999999999998</v>
      </c>
      <c r="W245" t="s">
        <v>399</v>
      </c>
      <c r="Y245" t="s">
        <v>337</v>
      </c>
      <c r="AB245" t="s">
        <v>343</v>
      </c>
      <c r="AC245" t="s">
        <v>342</v>
      </c>
      <c r="AD245" s="34">
        <v>46.302694510000002</v>
      </c>
      <c r="AE245" s="34">
        <v>-84.054857769999998</v>
      </c>
      <c r="AF245" s="18">
        <v>40308.038194444445</v>
      </c>
      <c r="AG245" s="19">
        <v>40307.871527777781</v>
      </c>
      <c r="AH245" t="s">
        <v>161</v>
      </c>
      <c r="AL245" t="s">
        <v>335</v>
      </c>
      <c r="AM245" s="20">
        <v>40305</v>
      </c>
      <c r="AR245" s="39" t="s">
        <v>400</v>
      </c>
      <c r="AS245" s="39"/>
      <c r="AT245" s="39">
        <v>200</v>
      </c>
      <c r="AZ245" t="s">
        <v>108</v>
      </c>
      <c r="BC245" t="s">
        <v>336</v>
      </c>
    </row>
    <row r="246" spans="1:55" x14ac:dyDescent="0.25">
      <c r="A246" t="str">
        <f t="shared" si="3"/>
        <v>A69-9002-2426</v>
      </c>
      <c r="B246" t="s">
        <v>398</v>
      </c>
      <c r="C246" t="s">
        <v>324</v>
      </c>
      <c r="D246" t="s">
        <v>325</v>
      </c>
      <c r="F246">
        <v>2426</v>
      </c>
      <c r="G246" t="s">
        <v>326</v>
      </c>
      <c r="H246" t="s">
        <v>327</v>
      </c>
      <c r="I246" s="20">
        <v>40305</v>
      </c>
      <c r="J246">
        <v>80</v>
      </c>
      <c r="L246" t="s">
        <v>109</v>
      </c>
      <c r="M246" t="s">
        <v>328</v>
      </c>
      <c r="N246" t="s">
        <v>329</v>
      </c>
      <c r="O246" t="s">
        <v>330</v>
      </c>
      <c r="P246" t="s">
        <v>338</v>
      </c>
      <c r="U246">
        <v>0.52</v>
      </c>
      <c r="V246">
        <v>0.28399999999999997</v>
      </c>
      <c r="W246" t="s">
        <v>399</v>
      </c>
      <c r="Y246" t="s">
        <v>337</v>
      </c>
      <c r="AB246" t="s">
        <v>343</v>
      </c>
      <c r="AC246" t="s">
        <v>342</v>
      </c>
      <c r="AD246" s="34">
        <v>46.302694510000002</v>
      </c>
      <c r="AE246" s="34">
        <v>-84.054857769999998</v>
      </c>
      <c r="AF246" s="18">
        <v>40308.038194444445</v>
      </c>
      <c r="AG246" s="19">
        <v>40307.871527777781</v>
      </c>
      <c r="AH246" t="s">
        <v>161</v>
      </c>
      <c r="AL246" t="s">
        <v>335</v>
      </c>
      <c r="AM246" s="20">
        <v>40305</v>
      </c>
      <c r="AR246" s="39" t="s">
        <v>400</v>
      </c>
      <c r="AS246" s="39"/>
      <c r="AT246" s="39">
        <v>200</v>
      </c>
      <c r="AZ246" t="s">
        <v>108</v>
      </c>
      <c r="BC246" t="s">
        <v>336</v>
      </c>
    </row>
    <row r="247" spans="1:55" x14ac:dyDescent="0.25">
      <c r="A247" t="str">
        <f t="shared" si="3"/>
        <v>A69-9002-2425</v>
      </c>
      <c r="B247" t="s">
        <v>398</v>
      </c>
      <c r="C247" t="s">
        <v>324</v>
      </c>
      <c r="D247" t="s">
        <v>325</v>
      </c>
      <c r="F247">
        <v>2425</v>
      </c>
      <c r="G247" t="s">
        <v>326</v>
      </c>
      <c r="H247" t="s">
        <v>327</v>
      </c>
      <c r="I247" s="20">
        <v>40305</v>
      </c>
      <c r="J247">
        <v>80</v>
      </c>
      <c r="L247" t="s">
        <v>109</v>
      </c>
      <c r="M247" t="s">
        <v>328</v>
      </c>
      <c r="N247" t="s">
        <v>329</v>
      </c>
      <c r="O247" t="s">
        <v>330</v>
      </c>
      <c r="P247" t="s">
        <v>338</v>
      </c>
      <c r="U247">
        <v>0.47</v>
      </c>
      <c r="V247">
        <v>0.193</v>
      </c>
      <c r="W247" t="s">
        <v>399</v>
      </c>
      <c r="Y247" t="s">
        <v>337</v>
      </c>
      <c r="AB247" t="s">
        <v>343</v>
      </c>
      <c r="AC247" t="s">
        <v>342</v>
      </c>
      <c r="AD247" s="34">
        <v>46.302694510000002</v>
      </c>
      <c r="AE247" s="34">
        <v>-84.054857769999998</v>
      </c>
      <c r="AF247" s="18">
        <v>40308.038194444445</v>
      </c>
      <c r="AG247" s="19">
        <v>40307.871527777781</v>
      </c>
      <c r="AH247" t="s">
        <v>161</v>
      </c>
      <c r="AL247" t="s">
        <v>335</v>
      </c>
      <c r="AM247" s="20">
        <v>40305</v>
      </c>
      <c r="AR247" s="39" t="s">
        <v>400</v>
      </c>
      <c r="AS247" s="39"/>
      <c r="AT247" s="39">
        <v>200</v>
      </c>
      <c r="AZ247" t="s">
        <v>108</v>
      </c>
      <c r="BC247" t="s">
        <v>336</v>
      </c>
    </row>
    <row r="248" spans="1:55" x14ac:dyDescent="0.25">
      <c r="A248" t="str">
        <f t="shared" si="3"/>
        <v>A69-9002-2424</v>
      </c>
      <c r="B248" t="s">
        <v>398</v>
      </c>
      <c r="C248" t="s">
        <v>324</v>
      </c>
      <c r="D248" t="s">
        <v>325</v>
      </c>
      <c r="F248">
        <v>2424</v>
      </c>
      <c r="G248" t="s">
        <v>326</v>
      </c>
      <c r="H248" t="s">
        <v>327</v>
      </c>
      <c r="I248" s="20">
        <v>40305</v>
      </c>
      <c r="J248">
        <v>80</v>
      </c>
      <c r="L248" t="s">
        <v>109</v>
      </c>
      <c r="M248" t="s">
        <v>328</v>
      </c>
      <c r="N248" t="s">
        <v>329</v>
      </c>
      <c r="O248" t="s">
        <v>330</v>
      </c>
      <c r="P248" t="s">
        <v>338</v>
      </c>
      <c r="U248">
        <v>0.48</v>
      </c>
      <c r="V248">
        <v>0.22600000000000001</v>
      </c>
      <c r="W248" t="s">
        <v>399</v>
      </c>
      <c r="Y248" t="s">
        <v>332</v>
      </c>
      <c r="AB248" t="s">
        <v>343</v>
      </c>
      <c r="AC248" t="s">
        <v>342</v>
      </c>
      <c r="AD248" s="34">
        <v>46.302694510000002</v>
      </c>
      <c r="AE248" s="34">
        <v>-84.054857769999998</v>
      </c>
      <c r="AF248" s="18">
        <v>40308.038194444445</v>
      </c>
      <c r="AG248" s="19">
        <v>40307.871527777781</v>
      </c>
      <c r="AH248" t="s">
        <v>161</v>
      </c>
      <c r="AL248" t="s">
        <v>335</v>
      </c>
      <c r="AM248" s="20">
        <v>40305</v>
      </c>
      <c r="AR248" s="39" t="s">
        <v>400</v>
      </c>
      <c r="AS248" s="39"/>
      <c r="AT248" s="39">
        <v>200</v>
      </c>
      <c r="AZ248" t="s">
        <v>108</v>
      </c>
      <c r="BC248" t="s">
        <v>336</v>
      </c>
    </row>
    <row r="249" spans="1:55" x14ac:dyDescent="0.25">
      <c r="A249" t="str">
        <f t="shared" si="3"/>
        <v>A69-9002-2423</v>
      </c>
      <c r="B249" t="s">
        <v>398</v>
      </c>
      <c r="C249" t="s">
        <v>324</v>
      </c>
      <c r="D249" t="s">
        <v>325</v>
      </c>
      <c r="F249">
        <v>2423</v>
      </c>
      <c r="G249" t="s">
        <v>326</v>
      </c>
      <c r="H249" t="s">
        <v>327</v>
      </c>
      <c r="I249" s="20">
        <v>40305</v>
      </c>
      <c r="J249">
        <v>80</v>
      </c>
      <c r="L249" t="s">
        <v>109</v>
      </c>
      <c r="M249" t="s">
        <v>328</v>
      </c>
      <c r="N249" t="s">
        <v>329</v>
      </c>
      <c r="O249" t="s">
        <v>330</v>
      </c>
      <c r="P249" t="s">
        <v>338</v>
      </c>
      <c r="U249">
        <v>0.48</v>
      </c>
      <c r="V249">
        <v>0.27</v>
      </c>
      <c r="W249" t="s">
        <v>399</v>
      </c>
      <c r="Y249" t="s">
        <v>337</v>
      </c>
      <c r="AB249" t="s">
        <v>343</v>
      </c>
      <c r="AC249" t="s">
        <v>342</v>
      </c>
      <c r="AD249" s="34">
        <v>46.302694510000002</v>
      </c>
      <c r="AE249" s="34">
        <v>-84.054857769999998</v>
      </c>
      <c r="AF249" s="18">
        <v>40308.038194444445</v>
      </c>
      <c r="AG249" s="19">
        <v>40307.871527777781</v>
      </c>
      <c r="AH249" t="s">
        <v>161</v>
      </c>
      <c r="AL249" t="s">
        <v>335</v>
      </c>
      <c r="AM249" s="20">
        <v>40305</v>
      </c>
      <c r="AR249" s="39" t="s">
        <v>400</v>
      </c>
      <c r="AS249" s="39"/>
      <c r="AT249" s="39">
        <v>200</v>
      </c>
      <c r="AZ249" t="s">
        <v>108</v>
      </c>
      <c r="BC249" t="s">
        <v>336</v>
      </c>
    </row>
    <row r="250" spans="1:55" x14ac:dyDescent="0.25">
      <c r="A250" t="str">
        <f t="shared" si="3"/>
        <v>A69-9002-2422</v>
      </c>
      <c r="B250" t="s">
        <v>398</v>
      </c>
      <c r="C250" t="s">
        <v>324</v>
      </c>
      <c r="D250" t="s">
        <v>325</v>
      </c>
      <c r="F250">
        <v>2422</v>
      </c>
      <c r="G250" t="s">
        <v>326</v>
      </c>
      <c r="H250" t="s">
        <v>327</v>
      </c>
      <c r="I250" s="20">
        <v>40305</v>
      </c>
      <c r="J250">
        <v>80</v>
      </c>
      <c r="L250" t="s">
        <v>109</v>
      </c>
      <c r="M250" t="s">
        <v>328</v>
      </c>
      <c r="N250" t="s">
        <v>329</v>
      </c>
      <c r="O250" t="s">
        <v>330</v>
      </c>
      <c r="P250" t="s">
        <v>338</v>
      </c>
      <c r="U250">
        <v>0.5</v>
      </c>
      <c r="V250">
        <v>0.23100000000000001</v>
      </c>
      <c r="W250" t="s">
        <v>399</v>
      </c>
      <c r="Y250" t="s">
        <v>337</v>
      </c>
      <c r="AB250" t="s">
        <v>343</v>
      </c>
      <c r="AC250" t="s">
        <v>342</v>
      </c>
      <c r="AD250" s="34">
        <v>46.302694510000002</v>
      </c>
      <c r="AE250" s="34">
        <v>-84.054857769999998</v>
      </c>
      <c r="AF250" s="18">
        <v>40308.038194444445</v>
      </c>
      <c r="AG250" s="19">
        <v>40307.871527777781</v>
      </c>
      <c r="AH250" t="s">
        <v>161</v>
      </c>
      <c r="AL250" t="s">
        <v>335</v>
      </c>
      <c r="AM250" s="20">
        <v>40305</v>
      </c>
      <c r="AR250" s="39" t="s">
        <v>400</v>
      </c>
      <c r="AS250" s="39"/>
      <c r="AT250" s="39">
        <v>200</v>
      </c>
      <c r="AZ250" t="s">
        <v>108</v>
      </c>
      <c r="BC250" t="s">
        <v>336</v>
      </c>
    </row>
    <row r="251" spans="1:55" x14ac:dyDescent="0.25">
      <c r="A251" t="str">
        <f t="shared" si="3"/>
        <v>A69-9002-2421</v>
      </c>
      <c r="B251" t="s">
        <v>398</v>
      </c>
      <c r="C251" t="s">
        <v>324</v>
      </c>
      <c r="D251" t="s">
        <v>325</v>
      </c>
      <c r="F251">
        <v>2421</v>
      </c>
      <c r="G251" t="s">
        <v>326</v>
      </c>
      <c r="H251" t="s">
        <v>327</v>
      </c>
      <c r="I251" s="20">
        <v>40305</v>
      </c>
      <c r="J251">
        <v>80</v>
      </c>
      <c r="L251" t="s">
        <v>109</v>
      </c>
      <c r="M251" t="s">
        <v>328</v>
      </c>
      <c r="N251" t="s">
        <v>329</v>
      </c>
      <c r="O251" t="s">
        <v>330</v>
      </c>
      <c r="P251" t="s">
        <v>338</v>
      </c>
      <c r="U251">
        <v>0.47</v>
      </c>
      <c r="V251">
        <v>0.215</v>
      </c>
      <c r="W251" t="s">
        <v>399</v>
      </c>
      <c r="Y251" t="s">
        <v>337</v>
      </c>
      <c r="AB251" t="s">
        <v>343</v>
      </c>
      <c r="AC251" t="s">
        <v>342</v>
      </c>
      <c r="AD251" s="34">
        <v>46.302694510000002</v>
      </c>
      <c r="AE251" s="34">
        <v>-84.054857769999998</v>
      </c>
      <c r="AF251" s="18">
        <v>40308.038194444445</v>
      </c>
      <c r="AG251" s="19">
        <v>40307.871527777781</v>
      </c>
      <c r="AH251" t="s">
        <v>161</v>
      </c>
      <c r="AL251" t="s">
        <v>335</v>
      </c>
      <c r="AM251" s="20">
        <v>40305</v>
      </c>
      <c r="AR251" s="39" t="s">
        <v>400</v>
      </c>
      <c r="AS251" s="39"/>
      <c r="AT251" s="39">
        <v>200</v>
      </c>
      <c r="AZ251" t="s">
        <v>108</v>
      </c>
      <c r="BC251" t="s">
        <v>336</v>
      </c>
    </row>
    <row r="252" spans="1:55" x14ac:dyDescent="0.25">
      <c r="A252" t="str">
        <f t="shared" si="3"/>
        <v>A69-9002-2532</v>
      </c>
      <c r="B252" t="s">
        <v>398</v>
      </c>
      <c r="C252" t="s">
        <v>324</v>
      </c>
      <c r="D252" t="s">
        <v>325</v>
      </c>
      <c r="F252">
        <v>2532</v>
      </c>
      <c r="G252" t="s">
        <v>326</v>
      </c>
      <c r="H252" t="s">
        <v>327</v>
      </c>
      <c r="I252" s="20">
        <v>40305</v>
      </c>
      <c r="J252">
        <v>80</v>
      </c>
      <c r="L252" t="s">
        <v>109</v>
      </c>
      <c r="M252" t="s">
        <v>328</v>
      </c>
      <c r="N252" t="s">
        <v>329</v>
      </c>
      <c r="O252" t="s">
        <v>330</v>
      </c>
      <c r="P252" t="s">
        <v>338</v>
      </c>
      <c r="U252">
        <v>0.52</v>
      </c>
      <c r="V252">
        <v>0.26600000000000001</v>
      </c>
      <c r="W252" t="s">
        <v>399</v>
      </c>
      <c r="Y252" t="s">
        <v>337</v>
      </c>
      <c r="AB252" t="s">
        <v>343</v>
      </c>
      <c r="AC252" t="s">
        <v>342</v>
      </c>
      <c r="AD252" s="34">
        <v>46.302694510000002</v>
      </c>
      <c r="AE252" s="34">
        <v>-84.054857769999998</v>
      </c>
      <c r="AF252" s="18">
        <v>40308.038194444445</v>
      </c>
      <c r="AG252" s="19">
        <v>40307.871527777781</v>
      </c>
      <c r="AH252" t="s">
        <v>161</v>
      </c>
      <c r="AL252" t="s">
        <v>335</v>
      </c>
      <c r="AM252" s="20">
        <v>40305</v>
      </c>
      <c r="AR252" s="39" t="s">
        <v>400</v>
      </c>
      <c r="AS252" s="39"/>
      <c r="AT252" s="39">
        <v>200</v>
      </c>
      <c r="AZ252" t="s">
        <v>108</v>
      </c>
      <c r="BC252" t="s">
        <v>336</v>
      </c>
    </row>
    <row r="253" spans="1:55" x14ac:dyDescent="0.25">
      <c r="A253" t="str">
        <f t="shared" si="3"/>
        <v>A69-9002-2459</v>
      </c>
      <c r="B253" t="s">
        <v>398</v>
      </c>
      <c r="C253" t="s">
        <v>324</v>
      </c>
      <c r="D253" t="s">
        <v>325</v>
      </c>
      <c r="F253">
        <v>2459</v>
      </c>
      <c r="G253" t="s">
        <v>326</v>
      </c>
      <c r="H253" t="s">
        <v>327</v>
      </c>
      <c r="I253" s="20">
        <v>40322</v>
      </c>
      <c r="J253">
        <v>80</v>
      </c>
      <c r="L253" t="s">
        <v>109</v>
      </c>
      <c r="M253" t="s">
        <v>328</v>
      </c>
      <c r="N253" t="s">
        <v>329</v>
      </c>
      <c r="O253" t="s">
        <v>330</v>
      </c>
      <c r="P253" t="s">
        <v>338</v>
      </c>
      <c r="U253">
        <v>0.48</v>
      </c>
      <c r="V253">
        <v>0.20899999999999999</v>
      </c>
      <c r="W253" t="s">
        <v>399</v>
      </c>
      <c r="Y253" t="s">
        <v>332</v>
      </c>
      <c r="AB253" t="s">
        <v>344</v>
      </c>
      <c r="AC253" t="s">
        <v>342</v>
      </c>
      <c r="AD253" s="34">
        <v>46.303364809999998</v>
      </c>
      <c r="AE253" s="34">
        <v>-84.056769759999995</v>
      </c>
      <c r="AF253" s="18">
        <v>40325.004166666666</v>
      </c>
      <c r="AG253" s="19">
        <v>40324.837500000001</v>
      </c>
      <c r="AH253" t="s">
        <v>161</v>
      </c>
      <c r="AL253" t="s">
        <v>335</v>
      </c>
      <c r="AM253" s="20">
        <v>40322</v>
      </c>
      <c r="AR253" s="39" t="s">
        <v>400</v>
      </c>
      <c r="AS253" s="39"/>
      <c r="AT253" s="39">
        <v>200</v>
      </c>
      <c r="AZ253" t="s">
        <v>108</v>
      </c>
      <c r="BC253" t="s">
        <v>336</v>
      </c>
    </row>
    <row r="254" spans="1:55" x14ac:dyDescent="0.25">
      <c r="A254" t="str">
        <f t="shared" si="3"/>
        <v>A69-9002-2457</v>
      </c>
      <c r="B254" t="s">
        <v>398</v>
      </c>
      <c r="C254" t="s">
        <v>324</v>
      </c>
      <c r="D254" t="s">
        <v>325</v>
      </c>
      <c r="F254">
        <v>2457</v>
      </c>
      <c r="G254" t="s">
        <v>326</v>
      </c>
      <c r="H254" t="s">
        <v>327</v>
      </c>
      <c r="I254" s="20">
        <v>40322</v>
      </c>
      <c r="J254">
        <v>80</v>
      </c>
      <c r="L254" t="s">
        <v>109</v>
      </c>
      <c r="M254" t="s">
        <v>328</v>
      </c>
      <c r="N254" t="s">
        <v>329</v>
      </c>
      <c r="O254" t="s">
        <v>330</v>
      </c>
      <c r="P254" t="s">
        <v>338</v>
      </c>
      <c r="U254">
        <v>0.51</v>
      </c>
      <c r="V254">
        <v>0.27100000000000002</v>
      </c>
      <c r="W254" t="s">
        <v>399</v>
      </c>
      <c r="Y254" t="s">
        <v>332</v>
      </c>
      <c r="AB254" t="s">
        <v>344</v>
      </c>
      <c r="AC254" t="s">
        <v>342</v>
      </c>
      <c r="AD254" s="34">
        <v>46.303364809999998</v>
      </c>
      <c r="AE254" s="34">
        <v>-84.056769759999995</v>
      </c>
      <c r="AF254" s="18">
        <v>40325.004166666666</v>
      </c>
      <c r="AG254" s="19">
        <v>40324.837500000001</v>
      </c>
      <c r="AH254" t="s">
        <v>161</v>
      </c>
      <c r="AL254" t="s">
        <v>335</v>
      </c>
      <c r="AM254" s="20">
        <v>40322</v>
      </c>
      <c r="AR254" s="39" t="s">
        <v>400</v>
      </c>
      <c r="AS254" s="39"/>
      <c r="AT254" s="39">
        <v>200</v>
      </c>
      <c r="AZ254" t="s">
        <v>108</v>
      </c>
      <c r="BC254" t="s">
        <v>336</v>
      </c>
    </row>
    <row r="255" spans="1:55" x14ac:dyDescent="0.25">
      <c r="A255" t="str">
        <f t="shared" si="3"/>
        <v>A69-9002-2458</v>
      </c>
      <c r="B255" t="s">
        <v>398</v>
      </c>
      <c r="C255" t="s">
        <v>324</v>
      </c>
      <c r="D255" t="s">
        <v>325</v>
      </c>
      <c r="F255">
        <v>2458</v>
      </c>
      <c r="G255" t="s">
        <v>326</v>
      </c>
      <c r="H255" t="s">
        <v>327</v>
      </c>
      <c r="I255" s="20">
        <v>40322</v>
      </c>
      <c r="J255">
        <v>80</v>
      </c>
      <c r="L255" t="s">
        <v>109</v>
      </c>
      <c r="M255" t="s">
        <v>328</v>
      </c>
      <c r="N255" t="s">
        <v>329</v>
      </c>
      <c r="O255" t="s">
        <v>330</v>
      </c>
      <c r="P255" t="s">
        <v>338</v>
      </c>
      <c r="U255">
        <v>0.52</v>
      </c>
      <c r="V255">
        <v>0.23499999999999999</v>
      </c>
      <c r="W255" t="s">
        <v>399</v>
      </c>
      <c r="Y255" t="s">
        <v>332</v>
      </c>
      <c r="AB255" t="s">
        <v>344</v>
      </c>
      <c r="AC255" t="s">
        <v>342</v>
      </c>
      <c r="AD255" s="34">
        <v>46.303364809999998</v>
      </c>
      <c r="AE255" s="34">
        <v>-84.056769759999995</v>
      </c>
      <c r="AF255" s="18">
        <v>40325.004166666666</v>
      </c>
      <c r="AG255" s="19">
        <v>40324.837500000001</v>
      </c>
      <c r="AH255" t="s">
        <v>161</v>
      </c>
      <c r="AL255" t="s">
        <v>335</v>
      </c>
      <c r="AM255" s="20">
        <v>40322</v>
      </c>
      <c r="AR255" s="39" t="s">
        <v>400</v>
      </c>
      <c r="AS255" s="39"/>
      <c r="AT255" s="39">
        <v>200</v>
      </c>
      <c r="AZ255" t="s">
        <v>108</v>
      </c>
      <c r="BC255" t="s">
        <v>336</v>
      </c>
    </row>
    <row r="256" spans="1:55" x14ac:dyDescent="0.25">
      <c r="A256" t="str">
        <f t="shared" si="3"/>
        <v>A69-9002-2463</v>
      </c>
      <c r="B256" t="s">
        <v>398</v>
      </c>
      <c r="C256" t="s">
        <v>324</v>
      </c>
      <c r="D256" t="s">
        <v>325</v>
      </c>
      <c r="F256">
        <v>2463</v>
      </c>
      <c r="G256" t="s">
        <v>326</v>
      </c>
      <c r="H256" t="s">
        <v>327</v>
      </c>
      <c r="I256" s="20">
        <v>40322</v>
      </c>
      <c r="J256">
        <v>80</v>
      </c>
      <c r="L256" t="s">
        <v>109</v>
      </c>
      <c r="M256" t="s">
        <v>328</v>
      </c>
      <c r="N256" t="s">
        <v>329</v>
      </c>
      <c r="O256" t="s">
        <v>330</v>
      </c>
      <c r="P256" t="s">
        <v>338</v>
      </c>
      <c r="U256">
        <v>0.49</v>
      </c>
      <c r="V256">
        <v>0.23400000000000001</v>
      </c>
      <c r="W256" t="s">
        <v>399</v>
      </c>
      <c r="Y256" t="s">
        <v>332</v>
      </c>
      <c r="AB256" t="s">
        <v>344</v>
      </c>
      <c r="AC256" t="s">
        <v>342</v>
      </c>
      <c r="AD256" s="34">
        <v>46.303364809999998</v>
      </c>
      <c r="AE256" s="34">
        <v>-84.056769759999995</v>
      </c>
      <c r="AF256" s="18">
        <v>40325.004166666666</v>
      </c>
      <c r="AG256" s="19">
        <v>40324.837500000001</v>
      </c>
      <c r="AH256" t="s">
        <v>161</v>
      </c>
      <c r="AL256" t="s">
        <v>335</v>
      </c>
      <c r="AM256" s="20">
        <v>40322</v>
      </c>
      <c r="AR256" s="39" t="s">
        <v>400</v>
      </c>
      <c r="AS256" s="39"/>
      <c r="AT256" s="39">
        <v>200</v>
      </c>
      <c r="AZ256" t="s">
        <v>108</v>
      </c>
      <c r="BC256" t="s">
        <v>336</v>
      </c>
    </row>
    <row r="257" spans="1:55" x14ac:dyDescent="0.25">
      <c r="A257" t="str">
        <f t="shared" si="3"/>
        <v>A69-9002-2460</v>
      </c>
      <c r="B257" t="s">
        <v>398</v>
      </c>
      <c r="C257" t="s">
        <v>324</v>
      </c>
      <c r="D257" t="s">
        <v>325</v>
      </c>
      <c r="F257">
        <v>2460</v>
      </c>
      <c r="G257" t="s">
        <v>326</v>
      </c>
      <c r="H257" t="s">
        <v>327</v>
      </c>
      <c r="I257" s="20">
        <v>40322</v>
      </c>
      <c r="J257">
        <v>80</v>
      </c>
      <c r="L257" t="s">
        <v>109</v>
      </c>
      <c r="M257" t="s">
        <v>328</v>
      </c>
      <c r="N257" t="s">
        <v>329</v>
      </c>
      <c r="O257" t="s">
        <v>330</v>
      </c>
      <c r="P257" t="s">
        <v>338</v>
      </c>
      <c r="U257">
        <v>0.5</v>
      </c>
      <c r="V257">
        <v>0.253</v>
      </c>
      <c r="W257" t="s">
        <v>399</v>
      </c>
      <c r="Y257" t="s">
        <v>337</v>
      </c>
      <c r="AB257" t="s">
        <v>344</v>
      </c>
      <c r="AC257" t="s">
        <v>342</v>
      </c>
      <c r="AD257" s="34">
        <v>46.303364809999998</v>
      </c>
      <c r="AE257" s="34">
        <v>-84.056769759999995</v>
      </c>
      <c r="AF257" s="18">
        <v>40325.004166666666</v>
      </c>
      <c r="AG257" s="19">
        <v>40324.837500000001</v>
      </c>
      <c r="AH257" t="s">
        <v>161</v>
      </c>
      <c r="AL257" t="s">
        <v>335</v>
      </c>
      <c r="AM257" s="20">
        <v>40322</v>
      </c>
      <c r="AR257" s="39" t="s">
        <v>400</v>
      </c>
      <c r="AS257" s="39"/>
      <c r="AT257" s="39">
        <v>200</v>
      </c>
      <c r="AZ257" t="s">
        <v>108</v>
      </c>
      <c r="BC257" t="s">
        <v>336</v>
      </c>
    </row>
    <row r="258" spans="1:55" x14ac:dyDescent="0.25">
      <c r="A258" t="str">
        <f t="shared" si="3"/>
        <v>A69-9002-2461</v>
      </c>
      <c r="B258" t="s">
        <v>398</v>
      </c>
      <c r="C258" t="s">
        <v>324</v>
      </c>
      <c r="D258" t="s">
        <v>325</v>
      </c>
      <c r="F258">
        <v>2461</v>
      </c>
      <c r="G258" t="s">
        <v>326</v>
      </c>
      <c r="H258" t="s">
        <v>327</v>
      </c>
      <c r="I258" s="20">
        <v>40322</v>
      </c>
      <c r="J258">
        <v>80</v>
      </c>
      <c r="L258" t="s">
        <v>109</v>
      </c>
      <c r="M258" t="s">
        <v>328</v>
      </c>
      <c r="N258" t="s">
        <v>329</v>
      </c>
      <c r="O258" t="s">
        <v>330</v>
      </c>
      <c r="P258" t="s">
        <v>338</v>
      </c>
      <c r="U258">
        <v>0.56999999999999995</v>
      </c>
      <c r="V258">
        <v>0.217</v>
      </c>
      <c r="W258" t="s">
        <v>399</v>
      </c>
      <c r="Y258" t="s">
        <v>332</v>
      </c>
      <c r="AB258" t="s">
        <v>344</v>
      </c>
      <c r="AC258" t="s">
        <v>342</v>
      </c>
      <c r="AD258" s="34">
        <v>46.303364809999998</v>
      </c>
      <c r="AE258" s="34">
        <v>-84.056769759999995</v>
      </c>
      <c r="AF258" s="18">
        <v>40325.004166666666</v>
      </c>
      <c r="AG258" s="19">
        <v>40324.837500000001</v>
      </c>
      <c r="AH258" t="s">
        <v>161</v>
      </c>
      <c r="AL258" t="s">
        <v>335</v>
      </c>
      <c r="AM258" s="20">
        <v>40322</v>
      </c>
      <c r="AR258" s="39" t="s">
        <v>400</v>
      </c>
      <c r="AS258" s="39"/>
      <c r="AT258" s="39">
        <v>200</v>
      </c>
      <c r="AZ258" t="s">
        <v>108</v>
      </c>
      <c r="BC258" t="s">
        <v>336</v>
      </c>
    </row>
    <row r="259" spans="1:55" x14ac:dyDescent="0.25">
      <c r="A259" t="str">
        <f t="shared" si="3"/>
        <v>A69-9002-2462</v>
      </c>
      <c r="B259" t="s">
        <v>398</v>
      </c>
      <c r="C259" t="s">
        <v>324</v>
      </c>
      <c r="D259" t="s">
        <v>325</v>
      </c>
      <c r="F259">
        <v>2462</v>
      </c>
      <c r="G259" t="s">
        <v>326</v>
      </c>
      <c r="H259" t="s">
        <v>327</v>
      </c>
      <c r="I259" s="20">
        <v>40322</v>
      </c>
      <c r="J259">
        <v>80</v>
      </c>
      <c r="L259" t="s">
        <v>109</v>
      </c>
      <c r="M259" t="s">
        <v>328</v>
      </c>
      <c r="N259" t="s">
        <v>329</v>
      </c>
      <c r="O259" t="s">
        <v>330</v>
      </c>
      <c r="P259" t="s">
        <v>338</v>
      </c>
      <c r="U259">
        <v>0.52</v>
      </c>
      <c r="V259">
        <v>0.23499999999999999</v>
      </c>
      <c r="W259" t="s">
        <v>399</v>
      </c>
      <c r="Y259" t="s">
        <v>332</v>
      </c>
      <c r="AB259" t="s">
        <v>344</v>
      </c>
      <c r="AC259" t="s">
        <v>342</v>
      </c>
      <c r="AD259" s="34">
        <v>46.303364809999998</v>
      </c>
      <c r="AE259" s="34">
        <v>-84.056769759999995</v>
      </c>
      <c r="AF259" s="18">
        <v>40325.004166666666</v>
      </c>
      <c r="AG259" s="19">
        <v>40324.837500000001</v>
      </c>
      <c r="AH259" t="s">
        <v>161</v>
      </c>
      <c r="AL259" t="s">
        <v>335</v>
      </c>
      <c r="AM259" s="20">
        <v>40322</v>
      </c>
      <c r="AR259" s="39" t="s">
        <v>400</v>
      </c>
      <c r="AS259" s="39"/>
      <c r="AT259" s="39">
        <v>200</v>
      </c>
      <c r="AZ259" t="s">
        <v>108</v>
      </c>
      <c r="BC259" t="s">
        <v>336</v>
      </c>
    </row>
    <row r="260" spans="1:55" x14ac:dyDescent="0.25">
      <c r="A260" t="str">
        <f t="shared" ref="A260:A323" si="4">CONCATENATE(G260,"-",F260)</f>
        <v>A69-9002-2467</v>
      </c>
      <c r="B260" t="s">
        <v>398</v>
      </c>
      <c r="C260" t="s">
        <v>324</v>
      </c>
      <c r="D260" t="s">
        <v>325</v>
      </c>
      <c r="F260">
        <v>2467</v>
      </c>
      <c r="G260" t="s">
        <v>326</v>
      </c>
      <c r="H260" t="s">
        <v>327</v>
      </c>
      <c r="I260" s="20">
        <v>40322</v>
      </c>
      <c r="J260">
        <v>80</v>
      </c>
      <c r="L260" t="s">
        <v>109</v>
      </c>
      <c r="M260" t="s">
        <v>328</v>
      </c>
      <c r="N260" t="s">
        <v>329</v>
      </c>
      <c r="O260" t="s">
        <v>330</v>
      </c>
      <c r="P260" t="s">
        <v>338</v>
      </c>
      <c r="U260">
        <v>0.53</v>
      </c>
      <c r="V260">
        <v>0.26200000000000001</v>
      </c>
      <c r="W260" t="s">
        <v>399</v>
      </c>
      <c r="Y260" t="s">
        <v>332</v>
      </c>
      <c r="AB260" t="s">
        <v>344</v>
      </c>
      <c r="AC260" t="s">
        <v>342</v>
      </c>
      <c r="AD260" s="34">
        <v>46.303364809999998</v>
      </c>
      <c r="AE260" s="34">
        <v>-84.056769759999995</v>
      </c>
      <c r="AF260" s="18">
        <v>40325.004166666666</v>
      </c>
      <c r="AG260" s="19">
        <v>40324.837500000001</v>
      </c>
      <c r="AH260" t="s">
        <v>161</v>
      </c>
      <c r="AL260" t="s">
        <v>335</v>
      </c>
      <c r="AM260" s="20">
        <v>40322</v>
      </c>
      <c r="AR260" s="39" t="s">
        <v>400</v>
      </c>
      <c r="AS260" s="39"/>
      <c r="AT260" s="39">
        <v>200</v>
      </c>
      <c r="AZ260" t="s">
        <v>108</v>
      </c>
      <c r="BC260" t="s">
        <v>336</v>
      </c>
    </row>
    <row r="261" spans="1:55" x14ac:dyDescent="0.25">
      <c r="A261" t="str">
        <f t="shared" si="4"/>
        <v>A69-9002-2468</v>
      </c>
      <c r="B261" t="s">
        <v>398</v>
      </c>
      <c r="C261" t="s">
        <v>324</v>
      </c>
      <c r="D261" t="s">
        <v>325</v>
      </c>
      <c r="F261">
        <v>2468</v>
      </c>
      <c r="G261" t="s">
        <v>326</v>
      </c>
      <c r="H261" t="s">
        <v>327</v>
      </c>
      <c r="I261" s="20">
        <v>40322</v>
      </c>
      <c r="J261">
        <v>80</v>
      </c>
      <c r="L261" t="s">
        <v>109</v>
      </c>
      <c r="M261" t="s">
        <v>328</v>
      </c>
      <c r="N261" t="s">
        <v>329</v>
      </c>
      <c r="O261" t="s">
        <v>330</v>
      </c>
      <c r="P261" t="s">
        <v>338</v>
      </c>
      <c r="U261">
        <v>0.54</v>
      </c>
      <c r="V261">
        <v>0.28299999999999997</v>
      </c>
      <c r="W261" t="s">
        <v>399</v>
      </c>
      <c r="Y261" t="s">
        <v>332</v>
      </c>
      <c r="AB261" t="s">
        <v>344</v>
      </c>
      <c r="AC261" t="s">
        <v>342</v>
      </c>
      <c r="AD261" s="34">
        <v>46.303364809999998</v>
      </c>
      <c r="AE261" s="34">
        <v>-84.056769759999995</v>
      </c>
      <c r="AF261" s="18">
        <v>40325.004166666666</v>
      </c>
      <c r="AG261" s="19">
        <v>40324.837500000001</v>
      </c>
      <c r="AH261" t="s">
        <v>161</v>
      </c>
      <c r="AL261" t="s">
        <v>335</v>
      </c>
      <c r="AM261" s="20">
        <v>40322</v>
      </c>
      <c r="AR261" s="39" t="s">
        <v>400</v>
      </c>
      <c r="AS261" s="39"/>
      <c r="AT261" s="39">
        <v>200</v>
      </c>
      <c r="AZ261" t="s">
        <v>108</v>
      </c>
      <c r="BC261" t="s">
        <v>336</v>
      </c>
    </row>
    <row r="262" spans="1:55" x14ac:dyDescent="0.25">
      <c r="A262" t="str">
        <f t="shared" si="4"/>
        <v>A69-9002-2469</v>
      </c>
      <c r="B262" t="s">
        <v>398</v>
      </c>
      <c r="C262" t="s">
        <v>324</v>
      </c>
      <c r="D262" t="s">
        <v>325</v>
      </c>
      <c r="F262">
        <v>2469</v>
      </c>
      <c r="G262" t="s">
        <v>326</v>
      </c>
      <c r="H262" t="s">
        <v>327</v>
      </c>
      <c r="I262" s="20">
        <v>40322</v>
      </c>
      <c r="J262">
        <v>80</v>
      </c>
      <c r="L262" t="s">
        <v>109</v>
      </c>
      <c r="M262" t="s">
        <v>328</v>
      </c>
      <c r="N262" t="s">
        <v>329</v>
      </c>
      <c r="O262" t="s">
        <v>330</v>
      </c>
      <c r="P262" t="s">
        <v>338</v>
      </c>
      <c r="U262">
        <v>0.5</v>
      </c>
      <c r="V262">
        <v>0.253</v>
      </c>
      <c r="W262" t="s">
        <v>399</v>
      </c>
      <c r="Y262" t="s">
        <v>337</v>
      </c>
      <c r="AB262" t="s">
        <v>344</v>
      </c>
      <c r="AC262" t="s">
        <v>342</v>
      </c>
      <c r="AD262" s="34">
        <v>46.303364809999998</v>
      </c>
      <c r="AE262" s="34">
        <v>-84.056769759999995</v>
      </c>
      <c r="AF262" s="18">
        <v>40325.004166666666</v>
      </c>
      <c r="AG262" s="19">
        <v>40324.837500000001</v>
      </c>
      <c r="AH262" t="s">
        <v>161</v>
      </c>
      <c r="AL262" t="s">
        <v>335</v>
      </c>
      <c r="AM262" s="20">
        <v>40322</v>
      </c>
      <c r="AR262" s="39" t="s">
        <v>400</v>
      </c>
      <c r="AS262" s="39"/>
      <c r="AT262" s="39">
        <v>200</v>
      </c>
      <c r="AZ262" t="s">
        <v>108</v>
      </c>
      <c r="BC262" t="s">
        <v>336</v>
      </c>
    </row>
    <row r="263" spans="1:55" x14ac:dyDescent="0.25">
      <c r="A263" t="str">
        <f t="shared" si="4"/>
        <v>A69-9002-2470</v>
      </c>
      <c r="B263" t="s">
        <v>398</v>
      </c>
      <c r="C263" t="s">
        <v>324</v>
      </c>
      <c r="D263" t="s">
        <v>325</v>
      </c>
      <c r="F263">
        <v>2470</v>
      </c>
      <c r="G263" t="s">
        <v>326</v>
      </c>
      <c r="H263" t="s">
        <v>327</v>
      </c>
      <c r="I263" s="20">
        <v>40322</v>
      </c>
      <c r="J263">
        <v>80</v>
      </c>
      <c r="L263" t="s">
        <v>109</v>
      </c>
      <c r="M263" t="s">
        <v>328</v>
      </c>
      <c r="N263" t="s">
        <v>329</v>
      </c>
      <c r="O263" t="s">
        <v>330</v>
      </c>
      <c r="P263" t="s">
        <v>338</v>
      </c>
      <c r="U263">
        <v>0.5</v>
      </c>
      <c r="V263">
        <v>0.23899999999999999</v>
      </c>
      <c r="W263" t="s">
        <v>399</v>
      </c>
      <c r="Y263" t="s">
        <v>332</v>
      </c>
      <c r="AB263" t="s">
        <v>344</v>
      </c>
      <c r="AC263" t="s">
        <v>342</v>
      </c>
      <c r="AD263" s="34">
        <v>46.303364809999998</v>
      </c>
      <c r="AE263" s="34">
        <v>-84.056769759999995</v>
      </c>
      <c r="AF263" s="18">
        <v>40325.004166666666</v>
      </c>
      <c r="AG263" s="19">
        <v>40324.837500000001</v>
      </c>
      <c r="AH263" t="s">
        <v>161</v>
      </c>
      <c r="AL263" t="s">
        <v>335</v>
      </c>
      <c r="AM263" s="20">
        <v>40322</v>
      </c>
      <c r="AR263" s="39" t="s">
        <v>400</v>
      </c>
      <c r="AS263" s="39"/>
      <c r="AT263" s="39">
        <v>200</v>
      </c>
      <c r="AZ263" t="s">
        <v>108</v>
      </c>
      <c r="BC263" t="s">
        <v>336</v>
      </c>
    </row>
    <row r="264" spans="1:55" x14ac:dyDescent="0.25">
      <c r="A264" t="str">
        <f t="shared" si="4"/>
        <v>A69-9002-2536</v>
      </c>
      <c r="B264" t="s">
        <v>398</v>
      </c>
      <c r="C264" t="s">
        <v>324</v>
      </c>
      <c r="D264" t="s">
        <v>325</v>
      </c>
      <c r="F264">
        <v>2536</v>
      </c>
      <c r="G264" t="s">
        <v>326</v>
      </c>
      <c r="H264" t="s">
        <v>327</v>
      </c>
      <c r="I264" s="20">
        <v>40322</v>
      </c>
      <c r="J264">
        <v>80</v>
      </c>
      <c r="L264" t="s">
        <v>109</v>
      </c>
      <c r="M264" t="s">
        <v>328</v>
      </c>
      <c r="N264" t="s">
        <v>329</v>
      </c>
      <c r="O264" t="s">
        <v>330</v>
      </c>
      <c r="P264" t="s">
        <v>338</v>
      </c>
      <c r="U264">
        <v>0.52</v>
      </c>
      <c r="V264">
        <v>0.29399999999999998</v>
      </c>
      <c r="W264" t="s">
        <v>399</v>
      </c>
      <c r="Y264" t="s">
        <v>332</v>
      </c>
      <c r="AB264" t="s">
        <v>344</v>
      </c>
      <c r="AC264" t="s">
        <v>342</v>
      </c>
      <c r="AD264" s="34">
        <v>46.303364809999998</v>
      </c>
      <c r="AE264" s="34">
        <v>-84.056769759999995</v>
      </c>
      <c r="AF264" s="18">
        <v>40325.004166666666</v>
      </c>
      <c r="AG264" s="19">
        <v>40324.837500000001</v>
      </c>
      <c r="AH264" t="s">
        <v>161</v>
      </c>
      <c r="AL264" t="s">
        <v>335</v>
      </c>
      <c r="AM264" s="20">
        <v>40322</v>
      </c>
      <c r="AR264" s="39" t="s">
        <v>400</v>
      </c>
      <c r="AS264" s="39"/>
      <c r="AT264" s="39">
        <v>200</v>
      </c>
      <c r="AZ264" t="s">
        <v>108</v>
      </c>
      <c r="BC264" t="s">
        <v>336</v>
      </c>
    </row>
    <row r="265" spans="1:55" x14ac:dyDescent="0.25">
      <c r="A265" t="str">
        <f t="shared" si="4"/>
        <v>A69-9002-2535</v>
      </c>
      <c r="B265" t="s">
        <v>398</v>
      </c>
      <c r="C265" t="s">
        <v>324</v>
      </c>
      <c r="D265" t="s">
        <v>325</v>
      </c>
      <c r="F265">
        <v>2535</v>
      </c>
      <c r="G265" t="s">
        <v>326</v>
      </c>
      <c r="H265" t="s">
        <v>327</v>
      </c>
      <c r="I265" s="20">
        <v>40322</v>
      </c>
      <c r="J265">
        <v>80</v>
      </c>
      <c r="L265" t="s">
        <v>109</v>
      </c>
      <c r="M265" t="s">
        <v>328</v>
      </c>
      <c r="N265" t="s">
        <v>329</v>
      </c>
      <c r="O265" t="s">
        <v>330</v>
      </c>
      <c r="P265" t="s">
        <v>338</v>
      </c>
      <c r="U265">
        <v>0.51</v>
      </c>
      <c r="V265">
        <v>0.27</v>
      </c>
      <c r="W265" t="s">
        <v>399</v>
      </c>
      <c r="Y265" t="s">
        <v>332</v>
      </c>
      <c r="AB265" t="s">
        <v>344</v>
      </c>
      <c r="AC265" t="s">
        <v>342</v>
      </c>
      <c r="AD265" s="34">
        <v>46.303364809999998</v>
      </c>
      <c r="AE265" s="34">
        <v>-84.056769759999995</v>
      </c>
      <c r="AF265" s="18">
        <v>40325.004166666666</v>
      </c>
      <c r="AG265" s="19">
        <v>40324.837500000001</v>
      </c>
      <c r="AH265" t="s">
        <v>161</v>
      </c>
      <c r="AL265" t="s">
        <v>335</v>
      </c>
      <c r="AM265" s="20">
        <v>40322</v>
      </c>
      <c r="AR265" s="39" t="s">
        <v>400</v>
      </c>
      <c r="AS265" s="39"/>
      <c r="AT265" s="39">
        <v>200</v>
      </c>
      <c r="AZ265" t="s">
        <v>108</v>
      </c>
      <c r="BC265" t="s">
        <v>336</v>
      </c>
    </row>
    <row r="266" spans="1:55" x14ac:dyDescent="0.25">
      <c r="A266" t="str">
        <f t="shared" si="4"/>
        <v>A69-9002-2534</v>
      </c>
      <c r="B266" t="s">
        <v>398</v>
      </c>
      <c r="C266" t="s">
        <v>324</v>
      </c>
      <c r="D266" t="s">
        <v>325</v>
      </c>
      <c r="F266">
        <v>2534</v>
      </c>
      <c r="G266" t="s">
        <v>326</v>
      </c>
      <c r="H266" t="s">
        <v>327</v>
      </c>
      <c r="I266" s="20">
        <v>40322</v>
      </c>
      <c r="J266">
        <v>80</v>
      </c>
      <c r="L266" t="s">
        <v>109</v>
      </c>
      <c r="M266" t="s">
        <v>328</v>
      </c>
      <c r="N266" t="s">
        <v>329</v>
      </c>
      <c r="O266" t="s">
        <v>330</v>
      </c>
      <c r="P266" t="s">
        <v>338</v>
      </c>
      <c r="U266">
        <v>0.46</v>
      </c>
      <c r="V266">
        <v>0.191</v>
      </c>
      <c r="W266" t="s">
        <v>399</v>
      </c>
      <c r="Y266" t="s">
        <v>337</v>
      </c>
      <c r="AB266" t="s">
        <v>344</v>
      </c>
      <c r="AC266" t="s">
        <v>342</v>
      </c>
      <c r="AD266" s="34">
        <v>46.303364809999998</v>
      </c>
      <c r="AE266" s="34">
        <v>-84.056769759999995</v>
      </c>
      <c r="AF266" s="18">
        <v>40325.004166666666</v>
      </c>
      <c r="AG266" s="19">
        <v>40324.837500000001</v>
      </c>
      <c r="AH266" t="s">
        <v>161</v>
      </c>
      <c r="AL266" t="s">
        <v>335</v>
      </c>
      <c r="AM266" s="20">
        <v>40322</v>
      </c>
      <c r="AR266" s="39" t="s">
        <v>400</v>
      </c>
      <c r="AS266" s="39"/>
      <c r="AT266" s="39">
        <v>200</v>
      </c>
      <c r="AZ266" t="s">
        <v>108</v>
      </c>
      <c r="BC266" t="s">
        <v>336</v>
      </c>
    </row>
    <row r="267" spans="1:55" x14ac:dyDescent="0.25">
      <c r="A267" t="str">
        <f t="shared" si="4"/>
        <v>A69-9002-2533</v>
      </c>
      <c r="B267" t="s">
        <v>398</v>
      </c>
      <c r="C267" t="s">
        <v>324</v>
      </c>
      <c r="D267" t="s">
        <v>325</v>
      </c>
      <c r="F267">
        <v>2533</v>
      </c>
      <c r="G267" t="s">
        <v>326</v>
      </c>
      <c r="H267" t="s">
        <v>327</v>
      </c>
      <c r="I267" s="20">
        <v>40322</v>
      </c>
      <c r="J267">
        <v>80</v>
      </c>
      <c r="L267" t="s">
        <v>109</v>
      </c>
      <c r="M267" t="s">
        <v>328</v>
      </c>
      <c r="N267" t="s">
        <v>329</v>
      </c>
      <c r="O267" t="s">
        <v>330</v>
      </c>
      <c r="P267" t="s">
        <v>338</v>
      </c>
      <c r="U267">
        <v>0.51</v>
      </c>
      <c r="V267">
        <v>0.27800000000000002</v>
      </c>
      <c r="W267" t="s">
        <v>399</v>
      </c>
      <c r="Y267" t="s">
        <v>332</v>
      </c>
      <c r="AB267" t="s">
        <v>344</v>
      </c>
      <c r="AC267" t="s">
        <v>342</v>
      </c>
      <c r="AD267" s="34">
        <v>46.303364809999998</v>
      </c>
      <c r="AE267" s="34">
        <v>-84.056769759999995</v>
      </c>
      <c r="AF267" s="18">
        <v>40325.004166666666</v>
      </c>
      <c r="AG267" s="19">
        <v>40324.837500000001</v>
      </c>
      <c r="AH267" t="s">
        <v>161</v>
      </c>
      <c r="AL267" t="s">
        <v>335</v>
      </c>
      <c r="AM267" s="20">
        <v>40322</v>
      </c>
      <c r="AR267" s="39" t="s">
        <v>400</v>
      </c>
      <c r="AS267" s="39"/>
      <c r="AT267" s="39">
        <v>200</v>
      </c>
      <c r="AZ267" t="s">
        <v>108</v>
      </c>
      <c r="BC267" t="s">
        <v>336</v>
      </c>
    </row>
    <row r="268" spans="1:55" x14ac:dyDescent="0.25">
      <c r="A268" t="str">
        <f t="shared" si="4"/>
        <v>A69-9002-2539</v>
      </c>
      <c r="B268" t="s">
        <v>398</v>
      </c>
      <c r="C268" t="s">
        <v>324</v>
      </c>
      <c r="D268" t="s">
        <v>325</v>
      </c>
      <c r="F268">
        <v>2539</v>
      </c>
      <c r="G268" t="s">
        <v>326</v>
      </c>
      <c r="H268" t="s">
        <v>327</v>
      </c>
      <c r="I268" s="20">
        <v>40322</v>
      </c>
      <c r="J268">
        <v>80</v>
      </c>
      <c r="L268" t="s">
        <v>109</v>
      </c>
      <c r="M268" t="s">
        <v>328</v>
      </c>
      <c r="N268" t="s">
        <v>329</v>
      </c>
      <c r="O268" t="s">
        <v>330</v>
      </c>
      <c r="P268" t="s">
        <v>338</v>
      </c>
      <c r="U268">
        <v>0.55000000000000004</v>
      </c>
      <c r="V268">
        <v>0.32400000000000001</v>
      </c>
      <c r="W268" t="s">
        <v>399</v>
      </c>
      <c r="Y268" t="s">
        <v>332</v>
      </c>
      <c r="AB268" t="s">
        <v>344</v>
      </c>
      <c r="AC268" t="s">
        <v>342</v>
      </c>
      <c r="AD268" s="34">
        <v>46.303364809999998</v>
      </c>
      <c r="AE268" s="34">
        <v>-84.056769759999995</v>
      </c>
      <c r="AF268" s="18">
        <v>40325.004166666666</v>
      </c>
      <c r="AG268" s="19">
        <v>40324.837500000001</v>
      </c>
      <c r="AH268" t="s">
        <v>161</v>
      </c>
      <c r="AL268" t="s">
        <v>335</v>
      </c>
      <c r="AM268" s="20">
        <v>40322</v>
      </c>
      <c r="AR268" s="39" t="s">
        <v>400</v>
      </c>
      <c r="AS268" s="39"/>
      <c r="AT268" s="39">
        <v>200</v>
      </c>
      <c r="AZ268" t="s">
        <v>108</v>
      </c>
      <c r="BC268" t="s">
        <v>336</v>
      </c>
    </row>
    <row r="269" spans="1:55" x14ac:dyDescent="0.25">
      <c r="A269" t="str">
        <f t="shared" si="4"/>
        <v>A69-9002-2538</v>
      </c>
      <c r="B269" t="s">
        <v>398</v>
      </c>
      <c r="C269" t="s">
        <v>324</v>
      </c>
      <c r="D269" t="s">
        <v>325</v>
      </c>
      <c r="F269">
        <v>2538</v>
      </c>
      <c r="G269" t="s">
        <v>326</v>
      </c>
      <c r="H269" t="s">
        <v>327</v>
      </c>
      <c r="I269" s="20">
        <v>40322</v>
      </c>
      <c r="J269">
        <v>80</v>
      </c>
      <c r="L269" t="s">
        <v>109</v>
      </c>
      <c r="M269" t="s">
        <v>328</v>
      </c>
      <c r="N269" t="s">
        <v>329</v>
      </c>
      <c r="O269" t="s">
        <v>330</v>
      </c>
      <c r="P269" t="s">
        <v>338</v>
      </c>
      <c r="U269">
        <v>0.53</v>
      </c>
      <c r="V269">
        <v>0.312</v>
      </c>
      <c r="W269" t="s">
        <v>399</v>
      </c>
      <c r="Y269" t="s">
        <v>332</v>
      </c>
      <c r="AB269" t="s">
        <v>344</v>
      </c>
      <c r="AC269" t="s">
        <v>342</v>
      </c>
      <c r="AD269" s="34">
        <v>46.303364809999998</v>
      </c>
      <c r="AE269" s="34">
        <v>-84.056769759999995</v>
      </c>
      <c r="AF269" s="18">
        <v>40325.004166666666</v>
      </c>
      <c r="AG269" s="19">
        <v>40324.837500000001</v>
      </c>
      <c r="AH269" t="s">
        <v>161</v>
      </c>
      <c r="AL269" t="s">
        <v>335</v>
      </c>
      <c r="AM269" s="20">
        <v>40322</v>
      </c>
      <c r="AR269" s="39" t="s">
        <v>400</v>
      </c>
      <c r="AS269" s="39"/>
      <c r="AT269" s="39">
        <v>200</v>
      </c>
      <c r="AZ269" t="s">
        <v>108</v>
      </c>
      <c r="BC269" t="s">
        <v>336</v>
      </c>
    </row>
    <row r="270" spans="1:55" x14ac:dyDescent="0.25">
      <c r="A270" t="str">
        <f t="shared" si="4"/>
        <v>A69-9002-2537</v>
      </c>
      <c r="B270" t="s">
        <v>398</v>
      </c>
      <c r="C270" t="s">
        <v>324</v>
      </c>
      <c r="D270" t="s">
        <v>325</v>
      </c>
      <c r="F270">
        <v>2537</v>
      </c>
      <c r="G270" t="s">
        <v>326</v>
      </c>
      <c r="H270" t="s">
        <v>327</v>
      </c>
      <c r="I270" s="20">
        <v>40322</v>
      </c>
      <c r="J270">
        <v>80</v>
      </c>
      <c r="L270" t="s">
        <v>109</v>
      </c>
      <c r="M270" t="s">
        <v>328</v>
      </c>
      <c r="N270" t="s">
        <v>329</v>
      </c>
      <c r="O270" t="s">
        <v>330</v>
      </c>
      <c r="P270" t="s">
        <v>338</v>
      </c>
      <c r="U270">
        <v>0.48</v>
      </c>
      <c r="V270">
        <v>0.23499999999999999</v>
      </c>
      <c r="W270" t="s">
        <v>399</v>
      </c>
      <c r="Y270" t="s">
        <v>332</v>
      </c>
      <c r="AB270" t="s">
        <v>344</v>
      </c>
      <c r="AC270" t="s">
        <v>342</v>
      </c>
      <c r="AD270" s="34">
        <v>46.303364809999998</v>
      </c>
      <c r="AE270" s="34">
        <v>-84.056769759999995</v>
      </c>
      <c r="AF270" s="18">
        <v>40325.004166666666</v>
      </c>
      <c r="AG270" s="19">
        <v>40324.837500000001</v>
      </c>
      <c r="AH270" t="s">
        <v>161</v>
      </c>
      <c r="AL270" t="s">
        <v>335</v>
      </c>
      <c r="AM270" s="20">
        <v>40322</v>
      </c>
      <c r="AR270" s="39" t="s">
        <v>400</v>
      </c>
      <c r="AS270" s="39"/>
      <c r="AT270" s="39">
        <v>200</v>
      </c>
      <c r="AZ270" t="s">
        <v>108</v>
      </c>
      <c r="BC270" t="s">
        <v>336</v>
      </c>
    </row>
    <row r="271" spans="1:55" x14ac:dyDescent="0.25">
      <c r="A271" t="str">
        <f t="shared" si="4"/>
        <v>A69-9002-2542</v>
      </c>
      <c r="B271" t="s">
        <v>398</v>
      </c>
      <c r="C271" t="s">
        <v>324</v>
      </c>
      <c r="D271" t="s">
        <v>325</v>
      </c>
      <c r="F271">
        <v>2542</v>
      </c>
      <c r="G271" t="s">
        <v>326</v>
      </c>
      <c r="H271" t="s">
        <v>327</v>
      </c>
      <c r="I271" s="20">
        <v>40322</v>
      </c>
      <c r="J271">
        <v>80</v>
      </c>
      <c r="L271" t="s">
        <v>109</v>
      </c>
      <c r="M271" t="s">
        <v>328</v>
      </c>
      <c r="N271" t="s">
        <v>329</v>
      </c>
      <c r="O271" t="s">
        <v>330</v>
      </c>
      <c r="P271" t="s">
        <v>338</v>
      </c>
      <c r="U271">
        <v>0.52</v>
      </c>
      <c r="V271">
        <v>0.29499999999999998</v>
      </c>
      <c r="W271" t="s">
        <v>399</v>
      </c>
      <c r="Y271" t="s">
        <v>337</v>
      </c>
      <c r="AB271" t="s">
        <v>344</v>
      </c>
      <c r="AC271" t="s">
        <v>342</v>
      </c>
      <c r="AD271" s="34">
        <v>46.303364809999998</v>
      </c>
      <c r="AE271" s="34">
        <v>-84.056769759999995</v>
      </c>
      <c r="AF271" s="18">
        <v>40325.004166666666</v>
      </c>
      <c r="AG271" s="19">
        <v>40324.837500000001</v>
      </c>
      <c r="AH271" t="s">
        <v>161</v>
      </c>
      <c r="AL271" t="s">
        <v>335</v>
      </c>
      <c r="AM271" s="20">
        <v>40322</v>
      </c>
      <c r="AR271" s="39" t="s">
        <v>400</v>
      </c>
      <c r="AS271" s="39"/>
      <c r="AT271" s="39">
        <v>200</v>
      </c>
      <c r="AZ271" t="s">
        <v>108</v>
      </c>
      <c r="BC271" t="s">
        <v>336</v>
      </c>
    </row>
    <row r="272" spans="1:55" x14ac:dyDescent="0.25">
      <c r="A272" t="str">
        <f t="shared" si="4"/>
        <v>A69-9002-2541</v>
      </c>
      <c r="B272" t="s">
        <v>398</v>
      </c>
      <c r="C272" t="s">
        <v>324</v>
      </c>
      <c r="D272" t="s">
        <v>325</v>
      </c>
      <c r="F272">
        <v>2541</v>
      </c>
      <c r="G272" t="s">
        <v>326</v>
      </c>
      <c r="H272" t="s">
        <v>327</v>
      </c>
      <c r="I272" s="20">
        <v>40322</v>
      </c>
      <c r="J272">
        <v>80</v>
      </c>
      <c r="L272" t="s">
        <v>109</v>
      </c>
      <c r="M272" t="s">
        <v>328</v>
      </c>
      <c r="N272" t="s">
        <v>329</v>
      </c>
      <c r="O272" t="s">
        <v>330</v>
      </c>
      <c r="P272" t="s">
        <v>338</v>
      </c>
      <c r="U272">
        <v>0.54</v>
      </c>
      <c r="V272">
        <v>0.28000000000000003</v>
      </c>
      <c r="W272" t="s">
        <v>399</v>
      </c>
      <c r="Y272" t="s">
        <v>332</v>
      </c>
      <c r="AB272" t="s">
        <v>344</v>
      </c>
      <c r="AC272" t="s">
        <v>342</v>
      </c>
      <c r="AD272" s="34">
        <v>46.303364809999998</v>
      </c>
      <c r="AE272" s="34">
        <v>-84.056769759999995</v>
      </c>
      <c r="AF272" s="18">
        <v>40325.004166666666</v>
      </c>
      <c r="AG272" s="19">
        <v>40324.837500000001</v>
      </c>
      <c r="AH272" t="s">
        <v>161</v>
      </c>
      <c r="AL272" t="s">
        <v>335</v>
      </c>
      <c r="AM272" s="20">
        <v>40322</v>
      </c>
      <c r="AR272" s="39" t="s">
        <v>400</v>
      </c>
      <c r="AS272" s="39"/>
      <c r="AT272" s="39">
        <v>200</v>
      </c>
      <c r="AZ272" t="s">
        <v>108</v>
      </c>
      <c r="BC272" t="s">
        <v>336</v>
      </c>
    </row>
    <row r="273" spans="1:55" x14ac:dyDescent="0.25">
      <c r="A273" t="str">
        <f t="shared" si="4"/>
        <v>A69-9002-2540</v>
      </c>
      <c r="B273" t="s">
        <v>398</v>
      </c>
      <c r="C273" t="s">
        <v>324</v>
      </c>
      <c r="D273" t="s">
        <v>325</v>
      </c>
      <c r="F273">
        <v>2540</v>
      </c>
      <c r="G273" t="s">
        <v>326</v>
      </c>
      <c r="H273" t="s">
        <v>327</v>
      </c>
      <c r="I273" s="20">
        <v>40322</v>
      </c>
      <c r="J273">
        <v>80</v>
      </c>
      <c r="L273" t="s">
        <v>109</v>
      </c>
      <c r="M273" t="s">
        <v>328</v>
      </c>
      <c r="N273" t="s">
        <v>329</v>
      </c>
      <c r="O273" t="s">
        <v>330</v>
      </c>
      <c r="P273" t="s">
        <v>338</v>
      </c>
      <c r="U273">
        <v>0.53</v>
      </c>
      <c r="V273">
        <v>0.26</v>
      </c>
      <c r="W273" t="s">
        <v>399</v>
      </c>
      <c r="Y273" t="s">
        <v>332</v>
      </c>
      <c r="AB273" t="s">
        <v>344</v>
      </c>
      <c r="AC273" t="s">
        <v>342</v>
      </c>
      <c r="AD273" s="34">
        <v>46.303364809999998</v>
      </c>
      <c r="AE273" s="34">
        <v>-84.056769759999995</v>
      </c>
      <c r="AF273" s="18">
        <v>40325.004166666666</v>
      </c>
      <c r="AG273" s="19">
        <v>40324.837500000001</v>
      </c>
      <c r="AH273" t="s">
        <v>161</v>
      </c>
      <c r="AL273" t="s">
        <v>335</v>
      </c>
      <c r="AM273" s="20">
        <v>40322</v>
      </c>
      <c r="AR273" s="39" t="s">
        <v>400</v>
      </c>
      <c r="AS273" s="39"/>
      <c r="AT273" s="39">
        <v>200</v>
      </c>
      <c r="AZ273" t="s">
        <v>108</v>
      </c>
      <c r="BC273" t="s">
        <v>336</v>
      </c>
    </row>
    <row r="274" spans="1:55" x14ac:dyDescent="0.25">
      <c r="A274" t="str">
        <f t="shared" si="4"/>
        <v>A69-9002-2435</v>
      </c>
      <c r="B274" t="s">
        <v>398</v>
      </c>
      <c r="C274" t="s">
        <v>324</v>
      </c>
      <c r="D274" t="s">
        <v>325</v>
      </c>
      <c r="F274">
        <v>2435</v>
      </c>
      <c r="G274" t="s">
        <v>326</v>
      </c>
      <c r="H274" t="s">
        <v>327</v>
      </c>
      <c r="I274" s="20">
        <v>40322</v>
      </c>
      <c r="J274">
        <v>80</v>
      </c>
      <c r="L274" t="s">
        <v>109</v>
      </c>
      <c r="M274" t="s">
        <v>328</v>
      </c>
      <c r="N274" t="s">
        <v>329</v>
      </c>
      <c r="O274" t="s">
        <v>330</v>
      </c>
      <c r="P274" t="s">
        <v>338</v>
      </c>
      <c r="U274">
        <v>0.5</v>
      </c>
      <c r="V274">
        <v>0.252</v>
      </c>
      <c r="W274" t="s">
        <v>399</v>
      </c>
      <c r="Y274" t="s">
        <v>337</v>
      </c>
      <c r="AB274" t="s">
        <v>344</v>
      </c>
      <c r="AC274" t="s">
        <v>342</v>
      </c>
      <c r="AD274" s="34">
        <v>46.303364809999998</v>
      </c>
      <c r="AE274" s="34">
        <v>-84.056769759999995</v>
      </c>
      <c r="AF274" s="18">
        <v>40325.004166666666</v>
      </c>
      <c r="AG274" s="19">
        <v>40324.837500000001</v>
      </c>
      <c r="AH274" t="s">
        <v>161</v>
      </c>
      <c r="AL274" t="s">
        <v>335</v>
      </c>
      <c r="AM274" s="20">
        <v>40322</v>
      </c>
      <c r="AR274" s="39" t="s">
        <v>400</v>
      </c>
      <c r="AS274" s="39"/>
      <c r="AT274" s="39">
        <v>200</v>
      </c>
      <c r="AZ274" t="s">
        <v>108</v>
      </c>
      <c r="BC274" t="s">
        <v>336</v>
      </c>
    </row>
    <row r="275" spans="1:55" x14ac:dyDescent="0.25">
      <c r="A275" t="str">
        <f t="shared" si="4"/>
        <v>A69-9002-2430</v>
      </c>
      <c r="B275" t="s">
        <v>398</v>
      </c>
      <c r="C275" t="s">
        <v>324</v>
      </c>
      <c r="D275" t="s">
        <v>325</v>
      </c>
      <c r="F275">
        <v>2430</v>
      </c>
      <c r="G275" t="s">
        <v>326</v>
      </c>
      <c r="H275" t="s">
        <v>327</v>
      </c>
      <c r="I275" s="20">
        <v>40322</v>
      </c>
      <c r="J275">
        <v>80</v>
      </c>
      <c r="L275" t="s">
        <v>109</v>
      </c>
      <c r="M275" t="s">
        <v>328</v>
      </c>
      <c r="N275" t="s">
        <v>329</v>
      </c>
      <c r="O275" t="s">
        <v>330</v>
      </c>
      <c r="P275" t="s">
        <v>338</v>
      </c>
      <c r="U275">
        <v>0.49</v>
      </c>
      <c r="V275">
        <v>0.22</v>
      </c>
      <c r="W275" t="s">
        <v>399</v>
      </c>
      <c r="Y275" t="s">
        <v>337</v>
      </c>
      <c r="AB275" t="s">
        <v>344</v>
      </c>
      <c r="AC275" t="s">
        <v>342</v>
      </c>
      <c r="AD275" s="34">
        <v>46.303364809999998</v>
      </c>
      <c r="AE275" s="34">
        <v>-84.056769759999995</v>
      </c>
      <c r="AF275" s="18">
        <v>40325.004166666666</v>
      </c>
      <c r="AG275" s="19">
        <v>40324.837500000001</v>
      </c>
      <c r="AH275" t="s">
        <v>161</v>
      </c>
      <c r="AL275" t="s">
        <v>335</v>
      </c>
      <c r="AM275" s="20">
        <v>40322</v>
      </c>
      <c r="AR275" s="39" t="s">
        <v>400</v>
      </c>
      <c r="AS275" s="39"/>
      <c r="AT275" s="39">
        <v>200</v>
      </c>
      <c r="AZ275" t="s">
        <v>108</v>
      </c>
      <c r="BC275" t="s">
        <v>336</v>
      </c>
    </row>
    <row r="276" spans="1:55" x14ac:dyDescent="0.25">
      <c r="A276" t="str">
        <f t="shared" si="4"/>
        <v>A69-9002-2448</v>
      </c>
      <c r="B276" t="s">
        <v>398</v>
      </c>
      <c r="C276" t="s">
        <v>324</v>
      </c>
      <c r="D276" t="s">
        <v>325</v>
      </c>
      <c r="F276">
        <v>2448</v>
      </c>
      <c r="G276" t="s">
        <v>326</v>
      </c>
      <c r="H276" t="s">
        <v>327</v>
      </c>
      <c r="I276" s="20">
        <v>40322</v>
      </c>
      <c r="J276">
        <v>80</v>
      </c>
      <c r="L276" t="s">
        <v>109</v>
      </c>
      <c r="M276" t="s">
        <v>328</v>
      </c>
      <c r="N276" t="s">
        <v>329</v>
      </c>
      <c r="O276" t="s">
        <v>330</v>
      </c>
      <c r="P276" t="s">
        <v>338</v>
      </c>
      <c r="U276">
        <v>0.53</v>
      </c>
      <c r="V276">
        <v>0.21199999999999999</v>
      </c>
      <c r="W276" t="s">
        <v>399</v>
      </c>
      <c r="Y276" t="s">
        <v>337</v>
      </c>
      <c r="AB276" t="s">
        <v>344</v>
      </c>
      <c r="AC276" t="s">
        <v>342</v>
      </c>
      <c r="AD276" s="34">
        <v>46.303364809999998</v>
      </c>
      <c r="AE276" s="34">
        <v>-84.056769759999995</v>
      </c>
      <c r="AF276" s="18">
        <v>40325.004166666666</v>
      </c>
      <c r="AG276" s="19">
        <v>40324.837500000001</v>
      </c>
      <c r="AH276" t="s">
        <v>161</v>
      </c>
      <c r="AL276" t="s">
        <v>335</v>
      </c>
      <c r="AM276" s="20">
        <v>40322</v>
      </c>
      <c r="AR276" s="39" t="s">
        <v>400</v>
      </c>
      <c r="AS276" s="39"/>
      <c r="AT276" s="39">
        <v>200</v>
      </c>
      <c r="AZ276" t="s">
        <v>108</v>
      </c>
      <c r="BC276" t="s">
        <v>336</v>
      </c>
    </row>
    <row r="277" spans="1:55" x14ac:dyDescent="0.25">
      <c r="A277" t="str">
        <f t="shared" si="4"/>
        <v>A69-9002-2444</v>
      </c>
      <c r="B277" t="s">
        <v>398</v>
      </c>
      <c r="C277" t="s">
        <v>324</v>
      </c>
      <c r="D277" t="s">
        <v>325</v>
      </c>
      <c r="F277">
        <v>2444</v>
      </c>
      <c r="G277" t="s">
        <v>326</v>
      </c>
      <c r="H277" t="s">
        <v>327</v>
      </c>
      <c r="I277" s="20">
        <v>40322</v>
      </c>
      <c r="J277">
        <v>80</v>
      </c>
      <c r="L277" t="s">
        <v>109</v>
      </c>
      <c r="M277" t="s">
        <v>328</v>
      </c>
      <c r="N277" t="s">
        <v>329</v>
      </c>
      <c r="O277" t="s">
        <v>330</v>
      </c>
      <c r="P277" t="s">
        <v>338</v>
      </c>
      <c r="U277">
        <v>0.44</v>
      </c>
      <c r="V277">
        <v>0.17</v>
      </c>
      <c r="W277" t="s">
        <v>399</v>
      </c>
      <c r="Y277" t="s">
        <v>337</v>
      </c>
      <c r="AB277" t="s">
        <v>344</v>
      </c>
      <c r="AC277" t="s">
        <v>342</v>
      </c>
      <c r="AD277" s="34">
        <v>46.303364809999998</v>
      </c>
      <c r="AE277" s="34">
        <v>-84.056769759999995</v>
      </c>
      <c r="AF277" s="18">
        <v>40325.004166666666</v>
      </c>
      <c r="AG277" s="19">
        <v>40324.837500000001</v>
      </c>
      <c r="AH277" t="s">
        <v>161</v>
      </c>
      <c r="AL277" t="s">
        <v>335</v>
      </c>
      <c r="AM277" s="20">
        <v>40322</v>
      </c>
      <c r="AR277" s="39" t="s">
        <v>400</v>
      </c>
      <c r="AS277" s="39"/>
      <c r="AT277" s="39">
        <v>200</v>
      </c>
      <c r="AZ277" t="s">
        <v>108</v>
      </c>
      <c r="BC277" t="s">
        <v>336</v>
      </c>
    </row>
    <row r="278" spans="1:55" x14ac:dyDescent="0.25">
      <c r="A278" t="str">
        <f t="shared" si="4"/>
        <v>A69-9002-2431</v>
      </c>
      <c r="B278" t="s">
        <v>398</v>
      </c>
      <c r="C278" t="s">
        <v>324</v>
      </c>
      <c r="D278" t="s">
        <v>325</v>
      </c>
      <c r="F278">
        <v>2431</v>
      </c>
      <c r="G278" t="s">
        <v>326</v>
      </c>
      <c r="H278" t="s">
        <v>327</v>
      </c>
      <c r="I278" s="20">
        <v>40322</v>
      </c>
      <c r="J278">
        <v>80</v>
      </c>
      <c r="L278" t="s">
        <v>109</v>
      </c>
      <c r="M278" t="s">
        <v>328</v>
      </c>
      <c r="N278" t="s">
        <v>329</v>
      </c>
      <c r="O278" t="s">
        <v>330</v>
      </c>
      <c r="P278" t="s">
        <v>338</v>
      </c>
      <c r="U278">
        <v>0.54</v>
      </c>
      <c r="V278">
        <v>0.252</v>
      </c>
      <c r="W278" t="s">
        <v>399</v>
      </c>
      <c r="Y278" t="s">
        <v>337</v>
      </c>
      <c r="AB278" t="s">
        <v>344</v>
      </c>
      <c r="AC278" t="s">
        <v>342</v>
      </c>
      <c r="AD278" s="34">
        <v>46.303364809999998</v>
      </c>
      <c r="AE278" s="34">
        <v>-84.056769759999995</v>
      </c>
      <c r="AF278" s="18">
        <v>40325.004166666666</v>
      </c>
      <c r="AG278" s="19">
        <v>40324.837500000001</v>
      </c>
      <c r="AH278" t="s">
        <v>161</v>
      </c>
      <c r="AL278" t="s">
        <v>335</v>
      </c>
      <c r="AM278" s="20">
        <v>40322</v>
      </c>
      <c r="AR278" s="39" t="s">
        <v>400</v>
      </c>
      <c r="AS278" s="39"/>
      <c r="AT278" s="39">
        <v>200</v>
      </c>
      <c r="AZ278" t="s">
        <v>108</v>
      </c>
      <c r="BC278" t="s">
        <v>336</v>
      </c>
    </row>
    <row r="279" spans="1:55" x14ac:dyDescent="0.25">
      <c r="A279" t="str">
        <f t="shared" si="4"/>
        <v>A69-9002-2433</v>
      </c>
      <c r="B279" t="s">
        <v>398</v>
      </c>
      <c r="C279" t="s">
        <v>324</v>
      </c>
      <c r="D279" t="s">
        <v>325</v>
      </c>
      <c r="F279">
        <v>2433</v>
      </c>
      <c r="G279" t="s">
        <v>326</v>
      </c>
      <c r="H279" t="s">
        <v>327</v>
      </c>
      <c r="I279" s="20">
        <v>40322</v>
      </c>
      <c r="J279">
        <v>80</v>
      </c>
      <c r="L279" t="s">
        <v>109</v>
      </c>
      <c r="M279" t="s">
        <v>328</v>
      </c>
      <c r="N279" t="s">
        <v>329</v>
      </c>
      <c r="O279" t="s">
        <v>330</v>
      </c>
      <c r="P279" t="s">
        <v>338</v>
      </c>
      <c r="U279">
        <v>0.46</v>
      </c>
      <c r="V279">
        <v>0.19900000000000001</v>
      </c>
      <c r="W279" t="s">
        <v>399</v>
      </c>
      <c r="Y279" t="s">
        <v>337</v>
      </c>
      <c r="AB279" t="s">
        <v>344</v>
      </c>
      <c r="AC279" t="s">
        <v>342</v>
      </c>
      <c r="AD279" s="34">
        <v>46.303364809999998</v>
      </c>
      <c r="AE279" s="34">
        <v>-84.056769759999995</v>
      </c>
      <c r="AF279" s="18">
        <v>40325.004166666666</v>
      </c>
      <c r="AG279" s="19">
        <v>40324.837500000001</v>
      </c>
      <c r="AH279" t="s">
        <v>161</v>
      </c>
      <c r="AL279" t="s">
        <v>335</v>
      </c>
      <c r="AM279" s="20">
        <v>40322</v>
      </c>
      <c r="AR279" s="39" t="s">
        <v>400</v>
      </c>
      <c r="AS279" s="39"/>
      <c r="AT279" s="39">
        <v>200</v>
      </c>
      <c r="AZ279" t="s">
        <v>108</v>
      </c>
      <c r="BC279" t="s">
        <v>336</v>
      </c>
    </row>
    <row r="280" spans="1:55" x14ac:dyDescent="0.25">
      <c r="A280" t="str">
        <f t="shared" si="4"/>
        <v>A69-9002-2440</v>
      </c>
      <c r="B280" t="s">
        <v>398</v>
      </c>
      <c r="C280" t="s">
        <v>324</v>
      </c>
      <c r="D280" t="s">
        <v>325</v>
      </c>
      <c r="F280">
        <v>2440</v>
      </c>
      <c r="G280" t="s">
        <v>326</v>
      </c>
      <c r="H280" t="s">
        <v>327</v>
      </c>
      <c r="I280" s="20">
        <v>40322</v>
      </c>
      <c r="J280">
        <v>80</v>
      </c>
      <c r="L280" t="s">
        <v>109</v>
      </c>
      <c r="M280" t="s">
        <v>328</v>
      </c>
      <c r="N280" t="s">
        <v>329</v>
      </c>
      <c r="O280" t="s">
        <v>330</v>
      </c>
      <c r="P280" t="s">
        <v>338</v>
      </c>
      <c r="U280">
        <v>0.45</v>
      </c>
      <c r="V280">
        <v>0.20499999999999999</v>
      </c>
      <c r="W280" t="s">
        <v>399</v>
      </c>
      <c r="Y280" t="s">
        <v>337</v>
      </c>
      <c r="AB280" t="s">
        <v>344</v>
      </c>
      <c r="AC280" t="s">
        <v>342</v>
      </c>
      <c r="AD280" s="34">
        <v>46.303364809999998</v>
      </c>
      <c r="AE280" s="34">
        <v>-84.056769759999995</v>
      </c>
      <c r="AF280" s="18">
        <v>40325.004166666666</v>
      </c>
      <c r="AG280" s="19">
        <v>40324.837500000001</v>
      </c>
      <c r="AH280" t="s">
        <v>161</v>
      </c>
      <c r="AL280" t="s">
        <v>335</v>
      </c>
      <c r="AM280" s="20">
        <v>40322</v>
      </c>
      <c r="AR280" s="39" t="s">
        <v>400</v>
      </c>
      <c r="AS280" s="39"/>
      <c r="AT280" s="39">
        <v>200</v>
      </c>
      <c r="AZ280" t="s">
        <v>108</v>
      </c>
      <c r="BC280" t="s">
        <v>336</v>
      </c>
    </row>
    <row r="281" spans="1:55" x14ac:dyDescent="0.25">
      <c r="A281" t="str">
        <f t="shared" si="4"/>
        <v>A69-9002-2428</v>
      </c>
      <c r="B281" t="s">
        <v>398</v>
      </c>
      <c r="C281" t="s">
        <v>324</v>
      </c>
      <c r="D281" t="s">
        <v>325</v>
      </c>
      <c r="F281">
        <v>2428</v>
      </c>
      <c r="G281" t="s">
        <v>326</v>
      </c>
      <c r="H281" t="s">
        <v>327</v>
      </c>
      <c r="I281" s="20">
        <v>40322</v>
      </c>
      <c r="J281">
        <v>80</v>
      </c>
      <c r="L281" t="s">
        <v>109</v>
      </c>
      <c r="M281" t="s">
        <v>328</v>
      </c>
      <c r="N281" t="s">
        <v>329</v>
      </c>
      <c r="O281" t="s">
        <v>330</v>
      </c>
      <c r="P281" t="s">
        <v>338</v>
      </c>
      <c r="U281">
        <v>0.49</v>
      </c>
      <c r="V281">
        <v>0.24</v>
      </c>
      <c r="W281" t="s">
        <v>399</v>
      </c>
      <c r="Y281" t="s">
        <v>337</v>
      </c>
      <c r="AB281" t="s">
        <v>344</v>
      </c>
      <c r="AC281" t="s">
        <v>342</v>
      </c>
      <c r="AD281" s="34">
        <v>46.303364809999998</v>
      </c>
      <c r="AE281" s="34">
        <v>-84.056769759999995</v>
      </c>
      <c r="AF281" s="18">
        <v>40325.004166666666</v>
      </c>
      <c r="AG281" s="19">
        <v>40324.837500000001</v>
      </c>
      <c r="AH281" t="s">
        <v>161</v>
      </c>
      <c r="AL281" t="s">
        <v>335</v>
      </c>
      <c r="AM281" s="20">
        <v>40322</v>
      </c>
      <c r="AR281" s="39" t="s">
        <v>400</v>
      </c>
      <c r="AS281" s="39"/>
      <c r="AT281" s="39">
        <v>200</v>
      </c>
      <c r="AZ281" t="s">
        <v>108</v>
      </c>
      <c r="BC281" t="s">
        <v>336</v>
      </c>
    </row>
    <row r="282" spans="1:55" x14ac:dyDescent="0.25">
      <c r="A282" t="str">
        <f t="shared" si="4"/>
        <v>A69-9002-2446</v>
      </c>
      <c r="B282" t="s">
        <v>398</v>
      </c>
      <c r="C282" t="s">
        <v>324</v>
      </c>
      <c r="D282" t="s">
        <v>325</v>
      </c>
      <c r="F282">
        <v>2446</v>
      </c>
      <c r="G282" t="s">
        <v>326</v>
      </c>
      <c r="H282" t="s">
        <v>327</v>
      </c>
      <c r="I282" s="20">
        <v>40322</v>
      </c>
      <c r="J282">
        <v>80</v>
      </c>
      <c r="L282" t="s">
        <v>109</v>
      </c>
      <c r="M282" t="s">
        <v>328</v>
      </c>
      <c r="N282" t="s">
        <v>329</v>
      </c>
      <c r="O282" t="s">
        <v>330</v>
      </c>
      <c r="P282" t="s">
        <v>338</v>
      </c>
      <c r="U282">
        <v>0.48</v>
      </c>
      <c r="V282">
        <v>0.216</v>
      </c>
      <c r="W282" t="s">
        <v>399</v>
      </c>
      <c r="Y282" t="s">
        <v>337</v>
      </c>
      <c r="AB282" t="s">
        <v>344</v>
      </c>
      <c r="AC282" t="s">
        <v>342</v>
      </c>
      <c r="AD282" s="34">
        <v>46.303364809999998</v>
      </c>
      <c r="AE282" s="34">
        <v>-84.056769759999995</v>
      </c>
      <c r="AF282" s="18">
        <v>40325.004166666666</v>
      </c>
      <c r="AG282" s="19">
        <v>40324.837500000001</v>
      </c>
      <c r="AH282" t="s">
        <v>161</v>
      </c>
      <c r="AL282" t="s">
        <v>335</v>
      </c>
      <c r="AM282" s="20">
        <v>40322</v>
      </c>
      <c r="AR282" s="39" t="s">
        <v>400</v>
      </c>
      <c r="AS282" s="39"/>
      <c r="AT282" s="39">
        <v>200</v>
      </c>
      <c r="AZ282" t="s">
        <v>108</v>
      </c>
      <c r="BC282" t="s">
        <v>336</v>
      </c>
    </row>
    <row r="283" spans="1:55" x14ac:dyDescent="0.25">
      <c r="A283" t="str">
        <f t="shared" si="4"/>
        <v>A69-9002-2445</v>
      </c>
      <c r="B283" t="s">
        <v>398</v>
      </c>
      <c r="C283" t="s">
        <v>324</v>
      </c>
      <c r="D283" t="s">
        <v>325</v>
      </c>
      <c r="F283">
        <v>2445</v>
      </c>
      <c r="G283" t="s">
        <v>326</v>
      </c>
      <c r="H283" t="s">
        <v>327</v>
      </c>
      <c r="I283" s="20">
        <v>40322</v>
      </c>
      <c r="J283">
        <v>80</v>
      </c>
      <c r="L283" t="s">
        <v>109</v>
      </c>
      <c r="M283" t="s">
        <v>328</v>
      </c>
      <c r="N283" t="s">
        <v>329</v>
      </c>
      <c r="O283" t="s">
        <v>330</v>
      </c>
      <c r="P283" t="s">
        <v>338</v>
      </c>
      <c r="U283">
        <v>0.47</v>
      </c>
      <c r="V283">
        <v>0.24399999999999999</v>
      </c>
      <c r="W283" t="s">
        <v>399</v>
      </c>
      <c r="Y283" t="s">
        <v>337</v>
      </c>
      <c r="AB283" t="s">
        <v>344</v>
      </c>
      <c r="AC283" t="s">
        <v>342</v>
      </c>
      <c r="AD283" s="34">
        <v>46.303364809999998</v>
      </c>
      <c r="AE283" s="34">
        <v>-84.056769759999995</v>
      </c>
      <c r="AF283" s="18">
        <v>40325.004166666666</v>
      </c>
      <c r="AG283" s="19">
        <v>40324.837500000001</v>
      </c>
      <c r="AH283" t="s">
        <v>161</v>
      </c>
      <c r="AL283" t="s">
        <v>335</v>
      </c>
      <c r="AM283" s="20">
        <v>40322</v>
      </c>
      <c r="AR283" s="39" t="s">
        <v>400</v>
      </c>
      <c r="AS283" s="39"/>
      <c r="AT283" s="39">
        <v>200</v>
      </c>
      <c r="AZ283" t="s">
        <v>108</v>
      </c>
      <c r="BC283" t="s">
        <v>336</v>
      </c>
    </row>
    <row r="284" spans="1:55" x14ac:dyDescent="0.25">
      <c r="A284" t="str">
        <f t="shared" si="4"/>
        <v>A69-9002-2436</v>
      </c>
      <c r="B284" t="s">
        <v>398</v>
      </c>
      <c r="C284" t="s">
        <v>324</v>
      </c>
      <c r="D284" t="s">
        <v>325</v>
      </c>
      <c r="F284">
        <v>2436</v>
      </c>
      <c r="G284" t="s">
        <v>326</v>
      </c>
      <c r="H284" t="s">
        <v>327</v>
      </c>
      <c r="I284" s="20">
        <v>40322</v>
      </c>
      <c r="J284">
        <v>80</v>
      </c>
      <c r="L284" t="s">
        <v>109</v>
      </c>
      <c r="M284" t="s">
        <v>328</v>
      </c>
      <c r="N284" t="s">
        <v>329</v>
      </c>
      <c r="O284" t="s">
        <v>330</v>
      </c>
      <c r="P284" t="s">
        <v>338</v>
      </c>
      <c r="U284">
        <v>0.45</v>
      </c>
      <c r="V284">
        <v>0.191</v>
      </c>
      <c r="W284" t="s">
        <v>399</v>
      </c>
      <c r="Y284" t="s">
        <v>337</v>
      </c>
      <c r="AB284" t="s">
        <v>344</v>
      </c>
      <c r="AC284" t="s">
        <v>342</v>
      </c>
      <c r="AD284" s="34">
        <v>46.303364809999998</v>
      </c>
      <c r="AE284" s="34">
        <v>-84.056769759999995</v>
      </c>
      <c r="AF284" s="18">
        <v>40325.004166666666</v>
      </c>
      <c r="AG284" s="19">
        <v>40324.837500000001</v>
      </c>
      <c r="AH284" t="s">
        <v>161</v>
      </c>
      <c r="AL284" t="s">
        <v>335</v>
      </c>
      <c r="AM284" s="20">
        <v>40322</v>
      </c>
      <c r="AR284" s="39" t="s">
        <v>400</v>
      </c>
      <c r="AS284" s="39"/>
      <c r="AT284" s="39">
        <v>200</v>
      </c>
      <c r="AZ284" t="s">
        <v>108</v>
      </c>
      <c r="BC284" t="s">
        <v>336</v>
      </c>
    </row>
    <row r="285" spans="1:55" x14ac:dyDescent="0.25">
      <c r="A285" t="str">
        <f t="shared" si="4"/>
        <v>A69-9002-2447</v>
      </c>
      <c r="B285" t="s">
        <v>398</v>
      </c>
      <c r="C285" t="s">
        <v>324</v>
      </c>
      <c r="D285" t="s">
        <v>325</v>
      </c>
      <c r="F285">
        <v>2447</v>
      </c>
      <c r="G285" t="s">
        <v>326</v>
      </c>
      <c r="H285" t="s">
        <v>327</v>
      </c>
      <c r="I285" s="20">
        <v>40322</v>
      </c>
      <c r="J285">
        <v>80</v>
      </c>
      <c r="L285" t="s">
        <v>109</v>
      </c>
      <c r="M285" t="s">
        <v>328</v>
      </c>
      <c r="N285" t="s">
        <v>329</v>
      </c>
      <c r="O285" t="s">
        <v>330</v>
      </c>
      <c r="P285" t="s">
        <v>338</v>
      </c>
      <c r="U285">
        <v>0.49</v>
      </c>
      <c r="V285">
        <v>0.22600000000000001</v>
      </c>
      <c r="W285" t="s">
        <v>399</v>
      </c>
      <c r="Y285" t="s">
        <v>332</v>
      </c>
      <c r="AB285" t="s">
        <v>344</v>
      </c>
      <c r="AC285" t="s">
        <v>342</v>
      </c>
      <c r="AD285" s="34">
        <v>46.303364809999998</v>
      </c>
      <c r="AE285" s="34">
        <v>-84.056769759999995</v>
      </c>
      <c r="AF285" s="18">
        <v>40325.004166666666</v>
      </c>
      <c r="AG285" s="19">
        <v>40324.837500000001</v>
      </c>
      <c r="AH285" t="s">
        <v>161</v>
      </c>
      <c r="AL285" t="s">
        <v>335</v>
      </c>
      <c r="AM285" s="20">
        <v>40322</v>
      </c>
      <c r="AR285" s="39" t="s">
        <v>400</v>
      </c>
      <c r="AS285" s="39"/>
      <c r="AT285" s="39">
        <v>200</v>
      </c>
      <c r="AZ285" t="s">
        <v>108</v>
      </c>
      <c r="BC285" t="s">
        <v>336</v>
      </c>
    </row>
    <row r="286" spans="1:55" x14ac:dyDescent="0.25">
      <c r="A286" t="str">
        <f t="shared" si="4"/>
        <v>A69-9002-2442</v>
      </c>
      <c r="B286" t="s">
        <v>398</v>
      </c>
      <c r="C286" t="s">
        <v>324</v>
      </c>
      <c r="D286" t="s">
        <v>325</v>
      </c>
      <c r="F286">
        <v>2442</v>
      </c>
      <c r="G286" t="s">
        <v>326</v>
      </c>
      <c r="H286" t="s">
        <v>327</v>
      </c>
      <c r="I286" s="20">
        <v>40322</v>
      </c>
      <c r="J286">
        <v>80</v>
      </c>
      <c r="L286" t="s">
        <v>109</v>
      </c>
      <c r="M286" t="s">
        <v>328</v>
      </c>
      <c r="N286" t="s">
        <v>329</v>
      </c>
      <c r="O286" t="s">
        <v>330</v>
      </c>
      <c r="P286" t="s">
        <v>338</v>
      </c>
      <c r="U286">
        <v>0.47</v>
      </c>
      <c r="V286">
        <v>0.20100000000000001</v>
      </c>
      <c r="W286" t="s">
        <v>399</v>
      </c>
      <c r="Y286" t="s">
        <v>337</v>
      </c>
      <c r="AB286" t="s">
        <v>344</v>
      </c>
      <c r="AC286" t="s">
        <v>342</v>
      </c>
      <c r="AD286" s="34">
        <v>46.303364809999998</v>
      </c>
      <c r="AE286" s="34">
        <v>-84.056769759999995</v>
      </c>
      <c r="AF286" s="18">
        <v>40325.004166666666</v>
      </c>
      <c r="AG286" s="19">
        <v>40324.837500000001</v>
      </c>
      <c r="AH286" t="s">
        <v>161</v>
      </c>
      <c r="AL286" t="s">
        <v>335</v>
      </c>
      <c r="AM286" s="20">
        <v>40322</v>
      </c>
      <c r="AR286" s="39" t="s">
        <v>400</v>
      </c>
      <c r="AS286" s="39"/>
      <c r="AT286" s="39">
        <v>200</v>
      </c>
      <c r="AZ286" t="s">
        <v>108</v>
      </c>
      <c r="BC286" t="s">
        <v>336</v>
      </c>
    </row>
    <row r="287" spans="1:55" x14ac:dyDescent="0.25">
      <c r="A287" t="str">
        <f t="shared" si="4"/>
        <v>A69-9002-2441</v>
      </c>
      <c r="B287" t="s">
        <v>398</v>
      </c>
      <c r="C287" t="s">
        <v>324</v>
      </c>
      <c r="D287" t="s">
        <v>325</v>
      </c>
      <c r="F287">
        <v>2441</v>
      </c>
      <c r="G287" t="s">
        <v>326</v>
      </c>
      <c r="H287" t="s">
        <v>327</v>
      </c>
      <c r="I287" s="20">
        <v>40322</v>
      </c>
      <c r="J287">
        <v>80</v>
      </c>
      <c r="L287" t="s">
        <v>109</v>
      </c>
      <c r="M287" t="s">
        <v>328</v>
      </c>
      <c r="N287" t="s">
        <v>329</v>
      </c>
      <c r="O287" t="s">
        <v>330</v>
      </c>
      <c r="P287" t="s">
        <v>338</v>
      </c>
      <c r="U287">
        <v>0.54</v>
      </c>
      <c r="V287">
        <v>0.27600000000000002</v>
      </c>
      <c r="W287" t="s">
        <v>399</v>
      </c>
      <c r="Y287" t="s">
        <v>332</v>
      </c>
      <c r="AB287" t="s">
        <v>344</v>
      </c>
      <c r="AC287" t="s">
        <v>342</v>
      </c>
      <c r="AD287" s="34">
        <v>46.303364809999998</v>
      </c>
      <c r="AE287" s="34">
        <v>-84.056769759999995</v>
      </c>
      <c r="AF287" s="18">
        <v>40325.004166666666</v>
      </c>
      <c r="AG287" s="19">
        <v>40324.837500000001</v>
      </c>
      <c r="AH287" t="s">
        <v>161</v>
      </c>
      <c r="AL287" t="s">
        <v>335</v>
      </c>
      <c r="AM287" s="20">
        <v>40322</v>
      </c>
      <c r="AR287" s="39" t="s">
        <v>400</v>
      </c>
      <c r="AS287" s="39"/>
      <c r="AT287" s="39">
        <v>200</v>
      </c>
      <c r="AZ287" t="s">
        <v>108</v>
      </c>
      <c r="BC287" t="s">
        <v>336</v>
      </c>
    </row>
    <row r="288" spans="1:55" x14ac:dyDescent="0.25">
      <c r="A288" t="str">
        <f t="shared" si="4"/>
        <v>A69-9002-2432</v>
      </c>
      <c r="B288" t="s">
        <v>398</v>
      </c>
      <c r="C288" t="s">
        <v>324</v>
      </c>
      <c r="D288" t="s">
        <v>325</v>
      </c>
      <c r="F288">
        <v>2432</v>
      </c>
      <c r="G288" t="s">
        <v>326</v>
      </c>
      <c r="H288" t="s">
        <v>327</v>
      </c>
      <c r="I288" s="20">
        <v>40322</v>
      </c>
      <c r="J288">
        <v>80</v>
      </c>
      <c r="L288" t="s">
        <v>109</v>
      </c>
      <c r="M288" t="s">
        <v>328</v>
      </c>
      <c r="N288" t="s">
        <v>329</v>
      </c>
      <c r="O288" t="s">
        <v>330</v>
      </c>
      <c r="P288" t="s">
        <v>338</v>
      </c>
      <c r="U288">
        <v>0.56000000000000005</v>
      </c>
      <c r="V288">
        <v>0.34100000000000003</v>
      </c>
      <c r="W288" t="s">
        <v>399</v>
      </c>
      <c r="Y288" t="s">
        <v>332</v>
      </c>
      <c r="AB288" t="s">
        <v>344</v>
      </c>
      <c r="AC288" t="s">
        <v>342</v>
      </c>
      <c r="AD288" s="34">
        <v>46.303364809999998</v>
      </c>
      <c r="AE288" s="34">
        <v>-84.056769759999995</v>
      </c>
      <c r="AF288" s="18">
        <v>40325.004166666666</v>
      </c>
      <c r="AG288" s="19">
        <v>40324.837500000001</v>
      </c>
      <c r="AH288" t="s">
        <v>161</v>
      </c>
      <c r="AL288" t="s">
        <v>335</v>
      </c>
      <c r="AM288" s="20">
        <v>40322</v>
      </c>
      <c r="AR288" s="39" t="s">
        <v>400</v>
      </c>
      <c r="AS288" s="39"/>
      <c r="AT288" s="39">
        <v>200</v>
      </c>
      <c r="AZ288" t="s">
        <v>108</v>
      </c>
      <c r="BC288" t="s">
        <v>336</v>
      </c>
    </row>
    <row r="289" spans="1:55" x14ac:dyDescent="0.25">
      <c r="A289" t="str">
        <f t="shared" si="4"/>
        <v>A69-9002-2443</v>
      </c>
      <c r="B289" t="s">
        <v>398</v>
      </c>
      <c r="C289" t="s">
        <v>324</v>
      </c>
      <c r="D289" t="s">
        <v>325</v>
      </c>
      <c r="F289">
        <v>2443</v>
      </c>
      <c r="G289" t="s">
        <v>326</v>
      </c>
      <c r="H289" t="s">
        <v>327</v>
      </c>
      <c r="I289" s="20">
        <v>40322</v>
      </c>
      <c r="J289">
        <v>80</v>
      </c>
      <c r="L289" t="s">
        <v>109</v>
      </c>
      <c r="M289" t="s">
        <v>328</v>
      </c>
      <c r="N289" t="s">
        <v>329</v>
      </c>
      <c r="O289" t="s">
        <v>330</v>
      </c>
      <c r="P289" t="s">
        <v>338</v>
      </c>
      <c r="U289">
        <v>0.5</v>
      </c>
      <c r="V289">
        <v>0.24099999999999999</v>
      </c>
      <c r="W289" t="s">
        <v>399</v>
      </c>
      <c r="Y289" t="s">
        <v>337</v>
      </c>
      <c r="AB289" t="s">
        <v>344</v>
      </c>
      <c r="AC289" t="s">
        <v>342</v>
      </c>
      <c r="AD289" s="34">
        <v>46.303364809999998</v>
      </c>
      <c r="AE289" s="34">
        <v>-84.056769759999995</v>
      </c>
      <c r="AF289" s="18">
        <v>40325.004166666666</v>
      </c>
      <c r="AG289" s="19">
        <v>40324.837500000001</v>
      </c>
      <c r="AH289" t="s">
        <v>161</v>
      </c>
      <c r="AL289" t="s">
        <v>335</v>
      </c>
      <c r="AM289" s="20">
        <v>40322</v>
      </c>
      <c r="AR289" s="39" t="s">
        <v>400</v>
      </c>
      <c r="AS289" s="39"/>
      <c r="AT289" s="39">
        <v>200</v>
      </c>
      <c r="AZ289" t="s">
        <v>108</v>
      </c>
      <c r="BC289" t="s">
        <v>336</v>
      </c>
    </row>
    <row r="290" spans="1:55" x14ac:dyDescent="0.25">
      <c r="A290" t="str">
        <f t="shared" si="4"/>
        <v>A69-9002-2438</v>
      </c>
      <c r="B290" t="s">
        <v>398</v>
      </c>
      <c r="C290" t="s">
        <v>324</v>
      </c>
      <c r="D290" t="s">
        <v>325</v>
      </c>
      <c r="F290">
        <v>2438</v>
      </c>
      <c r="G290" t="s">
        <v>326</v>
      </c>
      <c r="H290" t="s">
        <v>327</v>
      </c>
      <c r="I290" s="20">
        <v>40322</v>
      </c>
      <c r="J290">
        <v>80</v>
      </c>
      <c r="L290" t="s">
        <v>109</v>
      </c>
      <c r="M290" t="s">
        <v>328</v>
      </c>
      <c r="N290" t="s">
        <v>329</v>
      </c>
      <c r="O290" t="s">
        <v>330</v>
      </c>
      <c r="P290" t="s">
        <v>338</v>
      </c>
      <c r="U290">
        <v>0.45</v>
      </c>
      <c r="V290">
        <v>0.21</v>
      </c>
      <c r="W290" t="s">
        <v>399</v>
      </c>
      <c r="Y290" t="s">
        <v>337</v>
      </c>
      <c r="AB290" t="s">
        <v>344</v>
      </c>
      <c r="AC290" t="s">
        <v>342</v>
      </c>
      <c r="AD290" s="34">
        <v>46.303364809999998</v>
      </c>
      <c r="AE290" s="34">
        <v>-84.056769759999995</v>
      </c>
      <c r="AF290" s="18">
        <v>40325.004166666666</v>
      </c>
      <c r="AG290" s="19">
        <v>40324.837500000001</v>
      </c>
      <c r="AH290" t="s">
        <v>161</v>
      </c>
      <c r="AL290" t="s">
        <v>335</v>
      </c>
      <c r="AM290" s="20">
        <v>40322</v>
      </c>
      <c r="AR290" s="39" t="s">
        <v>400</v>
      </c>
      <c r="AS290" s="39"/>
      <c r="AT290" s="39">
        <v>200</v>
      </c>
      <c r="AZ290" t="s">
        <v>108</v>
      </c>
      <c r="BC290" t="s">
        <v>336</v>
      </c>
    </row>
    <row r="291" spans="1:55" x14ac:dyDescent="0.25">
      <c r="A291" t="str">
        <f t="shared" si="4"/>
        <v>A69-9002-2437</v>
      </c>
      <c r="B291" t="s">
        <v>398</v>
      </c>
      <c r="C291" t="s">
        <v>324</v>
      </c>
      <c r="D291" t="s">
        <v>325</v>
      </c>
      <c r="F291">
        <v>2437</v>
      </c>
      <c r="G291" t="s">
        <v>326</v>
      </c>
      <c r="H291" t="s">
        <v>327</v>
      </c>
      <c r="I291" s="20">
        <v>40322</v>
      </c>
      <c r="J291">
        <v>80</v>
      </c>
      <c r="L291" t="s">
        <v>109</v>
      </c>
      <c r="M291" t="s">
        <v>328</v>
      </c>
      <c r="N291" t="s">
        <v>329</v>
      </c>
      <c r="O291" t="s">
        <v>330</v>
      </c>
      <c r="P291" t="s">
        <v>338</v>
      </c>
      <c r="U291">
        <v>0.48</v>
      </c>
      <c r="V291">
        <v>0.223</v>
      </c>
      <c r="W291" t="s">
        <v>399</v>
      </c>
      <c r="Y291" t="s">
        <v>337</v>
      </c>
      <c r="AB291" t="s">
        <v>344</v>
      </c>
      <c r="AC291" t="s">
        <v>342</v>
      </c>
      <c r="AD291" s="34">
        <v>46.303364809999998</v>
      </c>
      <c r="AE291" s="34">
        <v>-84.056769759999995</v>
      </c>
      <c r="AF291" s="18">
        <v>40325.004166666666</v>
      </c>
      <c r="AG291" s="19">
        <v>40324.837500000001</v>
      </c>
      <c r="AH291" t="s">
        <v>161</v>
      </c>
      <c r="AL291" t="s">
        <v>335</v>
      </c>
      <c r="AM291" s="20">
        <v>40322</v>
      </c>
      <c r="AR291" s="39" t="s">
        <v>400</v>
      </c>
      <c r="AS291" s="39"/>
      <c r="AT291" s="39">
        <v>200</v>
      </c>
      <c r="AZ291" t="s">
        <v>108</v>
      </c>
      <c r="BC291" t="s">
        <v>336</v>
      </c>
    </row>
    <row r="292" spans="1:55" x14ac:dyDescent="0.25">
      <c r="A292" t="str">
        <f t="shared" si="4"/>
        <v>A69-9002-2439</v>
      </c>
      <c r="B292" t="s">
        <v>398</v>
      </c>
      <c r="C292" t="s">
        <v>324</v>
      </c>
      <c r="D292" t="s">
        <v>325</v>
      </c>
      <c r="F292">
        <v>2439</v>
      </c>
      <c r="G292" t="s">
        <v>326</v>
      </c>
      <c r="H292" t="s">
        <v>327</v>
      </c>
      <c r="I292" s="20">
        <v>40322</v>
      </c>
      <c r="J292">
        <v>80</v>
      </c>
      <c r="L292" t="s">
        <v>109</v>
      </c>
      <c r="M292" t="s">
        <v>328</v>
      </c>
      <c r="N292" t="s">
        <v>329</v>
      </c>
      <c r="O292" t="s">
        <v>330</v>
      </c>
      <c r="P292" t="s">
        <v>338</v>
      </c>
      <c r="U292">
        <v>0.47</v>
      </c>
      <c r="V292">
        <v>0.191</v>
      </c>
      <c r="W292" t="s">
        <v>399</v>
      </c>
      <c r="Y292" t="s">
        <v>337</v>
      </c>
      <c r="AB292" t="s">
        <v>344</v>
      </c>
      <c r="AC292" t="s">
        <v>342</v>
      </c>
      <c r="AD292" s="34">
        <v>46.303364809999998</v>
      </c>
      <c r="AE292" s="34">
        <v>-84.056769759999995</v>
      </c>
      <c r="AF292" s="18">
        <v>40325.004166666666</v>
      </c>
      <c r="AG292" s="19">
        <v>40324.837500000001</v>
      </c>
      <c r="AH292" t="s">
        <v>161</v>
      </c>
      <c r="AL292" t="s">
        <v>335</v>
      </c>
      <c r="AM292" s="20">
        <v>40322</v>
      </c>
      <c r="AR292" s="39" t="s">
        <v>400</v>
      </c>
      <c r="AS292" s="39"/>
      <c r="AT292" s="39">
        <v>200</v>
      </c>
      <c r="AZ292" t="s">
        <v>108</v>
      </c>
      <c r="BC292" t="s">
        <v>336</v>
      </c>
    </row>
    <row r="293" spans="1:55" x14ac:dyDescent="0.25">
      <c r="A293" t="str">
        <f t="shared" si="4"/>
        <v>A69-9002-2434</v>
      </c>
      <c r="B293" t="s">
        <v>398</v>
      </c>
      <c r="C293" t="s">
        <v>324</v>
      </c>
      <c r="D293" t="s">
        <v>325</v>
      </c>
      <c r="F293">
        <v>2434</v>
      </c>
      <c r="G293" t="s">
        <v>326</v>
      </c>
      <c r="H293" t="s">
        <v>327</v>
      </c>
      <c r="I293" s="20">
        <v>40322</v>
      </c>
      <c r="J293">
        <v>80</v>
      </c>
      <c r="L293" t="s">
        <v>109</v>
      </c>
      <c r="M293" t="s">
        <v>328</v>
      </c>
      <c r="N293" t="s">
        <v>329</v>
      </c>
      <c r="O293" t="s">
        <v>330</v>
      </c>
      <c r="P293" t="s">
        <v>338</v>
      </c>
      <c r="U293">
        <v>0.56000000000000005</v>
      </c>
      <c r="V293">
        <v>0.23200000000000001</v>
      </c>
      <c r="W293" t="s">
        <v>399</v>
      </c>
      <c r="Y293" t="s">
        <v>337</v>
      </c>
      <c r="AB293" t="s">
        <v>344</v>
      </c>
      <c r="AC293" t="s">
        <v>342</v>
      </c>
      <c r="AD293" s="34">
        <v>46.303364809999998</v>
      </c>
      <c r="AE293" s="34">
        <v>-84.056769759999995</v>
      </c>
      <c r="AF293" s="18">
        <v>40325.004166666666</v>
      </c>
      <c r="AG293" s="19">
        <v>40324.837500000001</v>
      </c>
      <c r="AH293" t="s">
        <v>161</v>
      </c>
      <c r="AL293" t="s">
        <v>335</v>
      </c>
      <c r="AM293" s="20">
        <v>40322</v>
      </c>
      <c r="AR293" s="39" t="s">
        <v>400</v>
      </c>
      <c r="AS293" s="39"/>
      <c r="AT293" s="39">
        <v>200</v>
      </c>
      <c r="AZ293" t="s">
        <v>108</v>
      </c>
      <c r="BC293" t="s">
        <v>336</v>
      </c>
    </row>
    <row r="294" spans="1:55" x14ac:dyDescent="0.25">
      <c r="A294" t="str">
        <f t="shared" si="4"/>
        <v>A69-9002-2614</v>
      </c>
      <c r="B294" t="s">
        <v>398</v>
      </c>
      <c r="C294" t="s">
        <v>324</v>
      </c>
      <c r="D294" t="s">
        <v>325</v>
      </c>
      <c r="F294">
        <v>2614</v>
      </c>
      <c r="G294" t="s">
        <v>326</v>
      </c>
      <c r="H294" t="s">
        <v>327</v>
      </c>
      <c r="I294" s="20">
        <v>40322</v>
      </c>
      <c r="J294">
        <v>80</v>
      </c>
      <c r="L294" t="s">
        <v>109</v>
      </c>
      <c r="M294" t="s">
        <v>328</v>
      </c>
      <c r="N294" t="s">
        <v>329</v>
      </c>
      <c r="O294" t="s">
        <v>330</v>
      </c>
      <c r="P294" t="s">
        <v>338</v>
      </c>
      <c r="U294">
        <v>0.42</v>
      </c>
      <c r="V294">
        <v>0.17</v>
      </c>
      <c r="W294" t="s">
        <v>399</v>
      </c>
      <c r="Y294" t="s">
        <v>337</v>
      </c>
      <c r="AB294" t="s">
        <v>344</v>
      </c>
      <c r="AC294" t="s">
        <v>342</v>
      </c>
      <c r="AD294" s="34">
        <v>46.303364809999998</v>
      </c>
      <c r="AE294" s="34">
        <v>-84.056769759999995</v>
      </c>
      <c r="AF294" s="18">
        <v>40325.004166666666</v>
      </c>
      <c r="AG294" s="19">
        <v>40324.837500000001</v>
      </c>
      <c r="AH294" t="s">
        <v>161</v>
      </c>
      <c r="AL294" t="s">
        <v>335</v>
      </c>
      <c r="AM294" s="20">
        <v>40322</v>
      </c>
      <c r="AR294" s="39" t="s">
        <v>400</v>
      </c>
      <c r="AS294" s="39"/>
      <c r="AT294" s="39">
        <v>200</v>
      </c>
      <c r="AZ294" t="s">
        <v>108</v>
      </c>
      <c r="BC294" t="s">
        <v>336</v>
      </c>
    </row>
    <row r="295" spans="1:55" x14ac:dyDescent="0.25">
      <c r="A295" t="str">
        <f t="shared" si="4"/>
        <v>A69-9002-2620</v>
      </c>
      <c r="B295" t="s">
        <v>398</v>
      </c>
      <c r="C295" t="s">
        <v>324</v>
      </c>
      <c r="D295" t="s">
        <v>325</v>
      </c>
      <c r="F295">
        <v>2620</v>
      </c>
      <c r="G295" t="s">
        <v>326</v>
      </c>
      <c r="H295" t="s">
        <v>327</v>
      </c>
      <c r="I295" s="20">
        <v>40322</v>
      </c>
      <c r="J295">
        <v>80</v>
      </c>
      <c r="L295" t="s">
        <v>109</v>
      </c>
      <c r="M295" t="s">
        <v>328</v>
      </c>
      <c r="N295" t="s">
        <v>329</v>
      </c>
      <c r="O295" t="s">
        <v>330</v>
      </c>
      <c r="P295" t="s">
        <v>338</v>
      </c>
      <c r="U295">
        <v>0.49</v>
      </c>
      <c r="V295">
        <v>0.24</v>
      </c>
      <c r="W295" t="s">
        <v>399</v>
      </c>
      <c r="Y295" t="s">
        <v>337</v>
      </c>
      <c r="AB295" t="s">
        <v>344</v>
      </c>
      <c r="AC295" t="s">
        <v>342</v>
      </c>
      <c r="AD295" s="34">
        <v>46.303364809999998</v>
      </c>
      <c r="AE295" s="34">
        <v>-84.056769759999995</v>
      </c>
      <c r="AF295" s="18">
        <v>40325.004166666666</v>
      </c>
      <c r="AG295" s="19">
        <v>40324.837500000001</v>
      </c>
      <c r="AH295" t="s">
        <v>161</v>
      </c>
      <c r="AL295" t="s">
        <v>335</v>
      </c>
      <c r="AM295" s="20">
        <v>40322</v>
      </c>
      <c r="AR295" s="39" t="s">
        <v>400</v>
      </c>
      <c r="AS295" s="39"/>
      <c r="AT295" s="39">
        <v>200</v>
      </c>
      <c r="AZ295" t="s">
        <v>108</v>
      </c>
      <c r="BC295" t="s">
        <v>336</v>
      </c>
    </row>
    <row r="296" spans="1:55" x14ac:dyDescent="0.25">
      <c r="A296" t="str">
        <f t="shared" si="4"/>
        <v>A69-9002-2429</v>
      </c>
      <c r="B296" t="s">
        <v>398</v>
      </c>
      <c r="C296" t="s">
        <v>324</v>
      </c>
      <c r="D296" t="s">
        <v>325</v>
      </c>
      <c r="F296">
        <v>2429</v>
      </c>
      <c r="G296" t="s">
        <v>326</v>
      </c>
      <c r="H296" t="s">
        <v>327</v>
      </c>
      <c r="I296" s="20">
        <v>40322</v>
      </c>
      <c r="J296">
        <v>80</v>
      </c>
      <c r="L296" t="s">
        <v>109</v>
      </c>
      <c r="M296" t="s">
        <v>328</v>
      </c>
      <c r="N296" t="s">
        <v>329</v>
      </c>
      <c r="O296" t="s">
        <v>330</v>
      </c>
      <c r="P296" t="s">
        <v>338</v>
      </c>
      <c r="U296">
        <v>0.53</v>
      </c>
      <c r="V296">
        <v>0.318</v>
      </c>
      <c r="W296" t="s">
        <v>399</v>
      </c>
      <c r="Y296" t="s">
        <v>337</v>
      </c>
      <c r="AB296" t="s">
        <v>344</v>
      </c>
      <c r="AC296" t="s">
        <v>342</v>
      </c>
      <c r="AD296" s="34">
        <v>46.303364809999998</v>
      </c>
      <c r="AE296" s="34">
        <v>-84.056769759999995</v>
      </c>
      <c r="AF296" s="18">
        <v>40325.004166666666</v>
      </c>
      <c r="AG296" s="19">
        <v>40324.837500000001</v>
      </c>
      <c r="AH296" t="s">
        <v>161</v>
      </c>
      <c r="AL296" t="s">
        <v>335</v>
      </c>
      <c r="AM296" s="20">
        <v>40322</v>
      </c>
      <c r="AR296" s="39" t="s">
        <v>400</v>
      </c>
      <c r="AS296" s="39"/>
      <c r="AT296" s="39">
        <v>200</v>
      </c>
      <c r="AZ296" t="s">
        <v>108</v>
      </c>
      <c r="BC296" t="s">
        <v>336</v>
      </c>
    </row>
    <row r="297" spans="1:55" x14ac:dyDescent="0.25">
      <c r="A297" t="str">
        <f t="shared" si="4"/>
        <v>A69-9002-2464</v>
      </c>
      <c r="B297" t="s">
        <v>398</v>
      </c>
      <c r="C297" t="s">
        <v>324</v>
      </c>
      <c r="D297" t="s">
        <v>325</v>
      </c>
      <c r="F297">
        <v>2464</v>
      </c>
      <c r="G297" t="s">
        <v>326</v>
      </c>
      <c r="H297" t="s">
        <v>327</v>
      </c>
      <c r="I297" s="20">
        <v>40322</v>
      </c>
      <c r="J297">
        <v>80</v>
      </c>
      <c r="L297" t="s">
        <v>109</v>
      </c>
      <c r="M297" t="s">
        <v>328</v>
      </c>
      <c r="N297" t="s">
        <v>329</v>
      </c>
      <c r="O297" t="s">
        <v>330</v>
      </c>
      <c r="P297" t="s">
        <v>338</v>
      </c>
      <c r="U297">
        <v>0.47</v>
      </c>
      <c r="V297">
        <v>0.221</v>
      </c>
      <c r="W297" t="s">
        <v>399</v>
      </c>
      <c r="Y297" t="s">
        <v>332</v>
      </c>
      <c r="AB297" t="s">
        <v>344</v>
      </c>
      <c r="AC297" t="s">
        <v>342</v>
      </c>
      <c r="AD297" s="34">
        <v>46.303364809999998</v>
      </c>
      <c r="AE297" s="34">
        <v>-84.056769759999995</v>
      </c>
      <c r="AF297" s="18">
        <v>40325.004166666666</v>
      </c>
      <c r="AG297" s="19">
        <v>40324.837500000001</v>
      </c>
      <c r="AH297" t="s">
        <v>161</v>
      </c>
      <c r="AL297" t="s">
        <v>335</v>
      </c>
      <c r="AM297" s="20">
        <v>40322</v>
      </c>
      <c r="AR297" s="39" t="s">
        <v>400</v>
      </c>
      <c r="AS297" s="39"/>
      <c r="AT297" s="39">
        <v>200</v>
      </c>
      <c r="AZ297" t="s">
        <v>108</v>
      </c>
      <c r="BC297" t="s">
        <v>336</v>
      </c>
    </row>
    <row r="298" spans="1:55" x14ac:dyDescent="0.25">
      <c r="A298" t="str">
        <f t="shared" si="4"/>
        <v>A69-9002-2465</v>
      </c>
      <c r="B298" t="s">
        <v>398</v>
      </c>
      <c r="C298" t="s">
        <v>324</v>
      </c>
      <c r="D298" t="s">
        <v>325</v>
      </c>
      <c r="F298">
        <v>2465</v>
      </c>
      <c r="G298" t="s">
        <v>326</v>
      </c>
      <c r="H298" t="s">
        <v>327</v>
      </c>
      <c r="I298" s="20">
        <v>40322</v>
      </c>
      <c r="J298">
        <v>80</v>
      </c>
      <c r="L298" t="s">
        <v>109</v>
      </c>
      <c r="M298" t="s">
        <v>328</v>
      </c>
      <c r="N298" t="s">
        <v>329</v>
      </c>
      <c r="O298" t="s">
        <v>330</v>
      </c>
      <c r="P298" t="s">
        <v>338</v>
      </c>
      <c r="U298">
        <v>0.5</v>
      </c>
      <c r="V298">
        <v>0.218</v>
      </c>
      <c r="W298" t="s">
        <v>399</v>
      </c>
      <c r="Y298" t="s">
        <v>337</v>
      </c>
      <c r="AB298" t="s">
        <v>344</v>
      </c>
      <c r="AC298" t="s">
        <v>342</v>
      </c>
      <c r="AD298" s="34">
        <v>46.303364809999998</v>
      </c>
      <c r="AE298" s="34">
        <v>-84.056769759999995</v>
      </c>
      <c r="AF298" s="18">
        <v>40325.004166666666</v>
      </c>
      <c r="AG298" s="19">
        <v>40324.837500000001</v>
      </c>
      <c r="AH298" t="s">
        <v>161</v>
      </c>
      <c r="AL298" t="s">
        <v>335</v>
      </c>
      <c r="AM298" s="20">
        <v>40322</v>
      </c>
      <c r="AR298" s="39" t="s">
        <v>400</v>
      </c>
      <c r="AS298" s="39"/>
      <c r="AT298" s="39">
        <v>200</v>
      </c>
      <c r="AZ298" t="s">
        <v>108</v>
      </c>
      <c r="BC298" t="s">
        <v>336</v>
      </c>
    </row>
    <row r="299" spans="1:55" x14ac:dyDescent="0.25">
      <c r="A299" t="str">
        <f t="shared" si="4"/>
        <v>A69-9002-2466</v>
      </c>
      <c r="B299" t="s">
        <v>398</v>
      </c>
      <c r="C299" t="s">
        <v>324</v>
      </c>
      <c r="D299" t="s">
        <v>325</v>
      </c>
      <c r="F299">
        <v>2466</v>
      </c>
      <c r="G299" t="s">
        <v>326</v>
      </c>
      <c r="H299" t="s">
        <v>327</v>
      </c>
      <c r="I299" s="20">
        <v>40322</v>
      </c>
      <c r="J299">
        <v>80</v>
      </c>
      <c r="L299" t="s">
        <v>109</v>
      </c>
      <c r="M299" t="s">
        <v>328</v>
      </c>
      <c r="N299" t="s">
        <v>329</v>
      </c>
      <c r="O299" t="s">
        <v>330</v>
      </c>
      <c r="P299" t="s">
        <v>338</v>
      </c>
      <c r="U299">
        <v>0.49</v>
      </c>
      <c r="V299">
        <v>0.20599999999999999</v>
      </c>
      <c r="W299" t="s">
        <v>399</v>
      </c>
      <c r="Y299" t="s">
        <v>332</v>
      </c>
      <c r="AB299" t="s">
        <v>344</v>
      </c>
      <c r="AC299" t="s">
        <v>342</v>
      </c>
      <c r="AD299" s="34">
        <v>46.303364809999998</v>
      </c>
      <c r="AE299" s="34">
        <v>-84.056769759999995</v>
      </c>
      <c r="AF299" s="18">
        <v>40325.004166666666</v>
      </c>
      <c r="AG299" s="19">
        <v>40324.837500000001</v>
      </c>
      <c r="AH299" t="s">
        <v>161</v>
      </c>
      <c r="AL299" t="s">
        <v>335</v>
      </c>
      <c r="AM299" s="20">
        <v>40322</v>
      </c>
      <c r="AR299" s="39" t="s">
        <v>400</v>
      </c>
      <c r="AS299" s="39"/>
      <c r="AT299" s="39">
        <v>200</v>
      </c>
      <c r="AZ299" t="s">
        <v>108</v>
      </c>
      <c r="BC299" t="s">
        <v>336</v>
      </c>
    </row>
    <row r="300" spans="1:55" x14ac:dyDescent="0.25">
      <c r="A300" t="str">
        <f t="shared" si="4"/>
        <v>A69-9002-2478</v>
      </c>
      <c r="B300" t="s">
        <v>398</v>
      </c>
      <c r="C300" t="s">
        <v>324</v>
      </c>
      <c r="D300" t="s">
        <v>325</v>
      </c>
      <c r="F300">
        <v>2478</v>
      </c>
      <c r="G300" t="s">
        <v>326</v>
      </c>
      <c r="H300" t="s">
        <v>327</v>
      </c>
      <c r="I300" s="20">
        <v>40322</v>
      </c>
      <c r="J300">
        <v>80</v>
      </c>
      <c r="L300" t="s">
        <v>109</v>
      </c>
      <c r="M300" t="s">
        <v>328</v>
      </c>
      <c r="N300" t="s">
        <v>329</v>
      </c>
      <c r="O300" t="s">
        <v>330</v>
      </c>
      <c r="P300" t="s">
        <v>338</v>
      </c>
      <c r="U300">
        <v>0.49</v>
      </c>
      <c r="V300">
        <v>0.23100000000000001</v>
      </c>
      <c r="W300" t="s">
        <v>399</v>
      </c>
      <c r="Y300" t="s">
        <v>332</v>
      </c>
      <c r="AB300" t="s">
        <v>344</v>
      </c>
      <c r="AC300" t="s">
        <v>342</v>
      </c>
      <c r="AD300" s="34">
        <v>46.303364809999998</v>
      </c>
      <c r="AE300" s="34">
        <v>-84.056769759999995</v>
      </c>
      <c r="AF300" s="18">
        <v>40325.004166666666</v>
      </c>
      <c r="AG300" s="19">
        <v>40324.837500000001</v>
      </c>
      <c r="AH300" t="s">
        <v>161</v>
      </c>
      <c r="AL300" t="s">
        <v>335</v>
      </c>
      <c r="AM300" s="20">
        <v>40322</v>
      </c>
      <c r="AR300" s="39" t="s">
        <v>400</v>
      </c>
      <c r="AS300" s="39"/>
      <c r="AT300" s="39">
        <v>200</v>
      </c>
      <c r="AZ300" t="s">
        <v>108</v>
      </c>
      <c r="BC300" t="s">
        <v>336</v>
      </c>
    </row>
    <row r="301" spans="1:55" x14ac:dyDescent="0.25">
      <c r="A301" t="str">
        <f t="shared" si="4"/>
        <v>A69-9002-2479</v>
      </c>
      <c r="B301" t="s">
        <v>398</v>
      </c>
      <c r="C301" t="s">
        <v>324</v>
      </c>
      <c r="D301" t="s">
        <v>325</v>
      </c>
      <c r="F301">
        <v>2479</v>
      </c>
      <c r="G301" t="s">
        <v>326</v>
      </c>
      <c r="H301" t="s">
        <v>327</v>
      </c>
      <c r="I301" s="20">
        <v>40322</v>
      </c>
      <c r="J301">
        <v>80</v>
      </c>
      <c r="L301" t="s">
        <v>109</v>
      </c>
      <c r="M301" t="s">
        <v>328</v>
      </c>
      <c r="N301" t="s">
        <v>329</v>
      </c>
      <c r="O301" t="s">
        <v>330</v>
      </c>
      <c r="P301" t="s">
        <v>338</v>
      </c>
      <c r="U301">
        <v>0.48</v>
      </c>
      <c r="V301">
        <v>0.217</v>
      </c>
      <c r="W301" t="s">
        <v>399</v>
      </c>
      <c r="Y301" t="s">
        <v>332</v>
      </c>
      <c r="AB301" t="s">
        <v>344</v>
      </c>
      <c r="AC301" t="s">
        <v>342</v>
      </c>
      <c r="AD301" s="34">
        <v>46.303364809999998</v>
      </c>
      <c r="AE301" s="34">
        <v>-84.056769759999995</v>
      </c>
      <c r="AF301" s="18">
        <v>40325.004166666666</v>
      </c>
      <c r="AG301" s="19">
        <v>40324.837500000001</v>
      </c>
      <c r="AH301" t="s">
        <v>161</v>
      </c>
      <c r="AL301" t="s">
        <v>335</v>
      </c>
      <c r="AM301" s="20">
        <v>40322</v>
      </c>
      <c r="AR301" s="39" t="s">
        <v>400</v>
      </c>
      <c r="AS301" s="39"/>
      <c r="AT301" s="39">
        <v>200</v>
      </c>
      <c r="AZ301" t="s">
        <v>108</v>
      </c>
      <c r="BC301" t="s">
        <v>336</v>
      </c>
    </row>
    <row r="302" spans="1:55" x14ac:dyDescent="0.25">
      <c r="A302" t="str">
        <f t="shared" si="4"/>
        <v>A69-9002-2480</v>
      </c>
      <c r="B302" t="s">
        <v>398</v>
      </c>
      <c r="C302" t="s">
        <v>324</v>
      </c>
      <c r="D302" t="s">
        <v>325</v>
      </c>
      <c r="F302">
        <v>2480</v>
      </c>
      <c r="G302" t="s">
        <v>326</v>
      </c>
      <c r="H302" t="s">
        <v>327</v>
      </c>
      <c r="I302" s="20">
        <v>40322</v>
      </c>
      <c r="J302">
        <v>80</v>
      </c>
      <c r="L302" t="s">
        <v>109</v>
      </c>
      <c r="M302" t="s">
        <v>328</v>
      </c>
      <c r="N302" t="s">
        <v>329</v>
      </c>
      <c r="O302" t="s">
        <v>330</v>
      </c>
      <c r="P302" t="s">
        <v>338</v>
      </c>
      <c r="U302">
        <v>0.49</v>
      </c>
      <c r="V302">
        <v>0.23400000000000001</v>
      </c>
      <c r="W302" t="s">
        <v>399</v>
      </c>
      <c r="Y302" t="s">
        <v>332</v>
      </c>
      <c r="AB302" t="s">
        <v>344</v>
      </c>
      <c r="AC302" t="s">
        <v>342</v>
      </c>
      <c r="AD302" s="34">
        <v>46.303364809999998</v>
      </c>
      <c r="AE302" s="34">
        <v>-84.056769759999995</v>
      </c>
      <c r="AF302" s="18">
        <v>40325.004166666666</v>
      </c>
      <c r="AG302" s="19">
        <v>40324.837500000001</v>
      </c>
      <c r="AH302" t="s">
        <v>161</v>
      </c>
      <c r="AL302" t="s">
        <v>335</v>
      </c>
      <c r="AM302" s="20">
        <v>40322</v>
      </c>
      <c r="AR302" s="39" t="s">
        <v>400</v>
      </c>
      <c r="AS302" s="39"/>
      <c r="AT302" s="39">
        <v>200</v>
      </c>
      <c r="AZ302" t="s">
        <v>108</v>
      </c>
      <c r="BC302" t="s">
        <v>336</v>
      </c>
    </row>
    <row r="303" spans="1:55" x14ac:dyDescent="0.25">
      <c r="A303" t="str">
        <f t="shared" si="4"/>
        <v>A69-1601-1067</v>
      </c>
      <c r="B303" t="s">
        <v>398</v>
      </c>
      <c r="C303" t="s">
        <v>324</v>
      </c>
      <c r="D303" t="s">
        <v>345</v>
      </c>
      <c r="F303">
        <v>1067</v>
      </c>
      <c r="G303" t="s">
        <v>346</v>
      </c>
      <c r="H303" t="s">
        <v>327</v>
      </c>
      <c r="I303" s="20">
        <v>40680</v>
      </c>
      <c r="J303">
        <v>101</v>
      </c>
      <c r="L303" t="s">
        <v>109</v>
      </c>
      <c r="M303" t="s">
        <v>328</v>
      </c>
      <c r="N303" t="s">
        <v>329</v>
      </c>
      <c r="O303" t="s">
        <v>330</v>
      </c>
      <c r="P303" t="s">
        <v>331</v>
      </c>
      <c r="U303">
        <v>0.5</v>
      </c>
      <c r="V303">
        <v>0.28299999999999997</v>
      </c>
      <c r="W303" t="s">
        <v>399</v>
      </c>
      <c r="Y303" t="s">
        <v>332</v>
      </c>
      <c r="AB303" t="s">
        <v>339</v>
      </c>
      <c r="AC303" t="s">
        <v>334</v>
      </c>
      <c r="AD303" s="34">
        <v>46.171861669999998</v>
      </c>
      <c r="AE303" s="34">
        <v>-84.078114999999997</v>
      </c>
      <c r="AF303" s="18">
        <v>40683.069444444445</v>
      </c>
      <c r="AG303" s="19">
        <v>40682.902777777781</v>
      </c>
      <c r="AH303" t="s">
        <v>161</v>
      </c>
      <c r="AL303" t="s">
        <v>335</v>
      </c>
      <c r="AM303" s="20">
        <v>40680</v>
      </c>
      <c r="AR303" s="39" t="s">
        <v>400</v>
      </c>
      <c r="AS303" s="39"/>
      <c r="AT303" s="39">
        <v>200</v>
      </c>
      <c r="AZ303" t="s">
        <v>108</v>
      </c>
      <c r="BC303" t="s">
        <v>336</v>
      </c>
    </row>
    <row r="304" spans="1:55" x14ac:dyDescent="0.25">
      <c r="A304" t="str">
        <f t="shared" si="4"/>
        <v>A69-1601-1068</v>
      </c>
      <c r="B304" t="s">
        <v>398</v>
      </c>
      <c r="C304" t="s">
        <v>324</v>
      </c>
      <c r="D304" t="s">
        <v>345</v>
      </c>
      <c r="F304">
        <v>1068</v>
      </c>
      <c r="G304" t="s">
        <v>346</v>
      </c>
      <c r="H304" t="s">
        <v>327</v>
      </c>
      <c r="I304" s="20">
        <v>40680</v>
      </c>
      <c r="J304">
        <v>101</v>
      </c>
      <c r="L304" t="s">
        <v>109</v>
      </c>
      <c r="M304" t="s">
        <v>328</v>
      </c>
      <c r="N304" t="s">
        <v>329</v>
      </c>
      <c r="O304" t="s">
        <v>330</v>
      </c>
      <c r="P304" t="s">
        <v>331</v>
      </c>
      <c r="U304">
        <v>0.51</v>
      </c>
      <c r="V304">
        <v>0.25800000000000001</v>
      </c>
      <c r="W304" t="s">
        <v>399</v>
      </c>
      <c r="Y304" t="s">
        <v>332</v>
      </c>
      <c r="AB304" t="s">
        <v>339</v>
      </c>
      <c r="AC304" t="s">
        <v>334</v>
      </c>
      <c r="AD304" s="34">
        <v>46.171861669999998</v>
      </c>
      <c r="AE304" s="34">
        <v>-84.078114999999997</v>
      </c>
      <c r="AF304" s="18">
        <v>40683.069444444445</v>
      </c>
      <c r="AG304" s="19">
        <v>40682.902777777781</v>
      </c>
      <c r="AH304" t="s">
        <v>161</v>
      </c>
      <c r="AL304" t="s">
        <v>335</v>
      </c>
      <c r="AM304" s="20">
        <v>40680</v>
      </c>
      <c r="AR304" s="39" t="s">
        <v>400</v>
      </c>
      <c r="AS304" s="39"/>
      <c r="AT304" s="39">
        <v>200</v>
      </c>
      <c r="AZ304" t="s">
        <v>108</v>
      </c>
      <c r="BC304" t="s">
        <v>336</v>
      </c>
    </row>
    <row r="305" spans="1:72" x14ac:dyDescent="0.25">
      <c r="A305" t="str">
        <f t="shared" si="4"/>
        <v>A69-1601-1069</v>
      </c>
      <c r="B305" t="s">
        <v>398</v>
      </c>
      <c r="C305" t="s">
        <v>324</v>
      </c>
      <c r="D305" t="s">
        <v>345</v>
      </c>
      <c r="F305">
        <v>1069</v>
      </c>
      <c r="G305" t="s">
        <v>346</v>
      </c>
      <c r="H305" t="s">
        <v>327</v>
      </c>
      <c r="I305" s="20">
        <v>40680</v>
      </c>
      <c r="J305">
        <v>101</v>
      </c>
      <c r="L305" t="s">
        <v>109</v>
      </c>
      <c r="M305" t="s">
        <v>328</v>
      </c>
      <c r="N305" t="s">
        <v>329</v>
      </c>
      <c r="O305" t="s">
        <v>330</v>
      </c>
      <c r="P305" t="s">
        <v>331</v>
      </c>
      <c r="U305">
        <v>0.5</v>
      </c>
      <c r="V305">
        <v>0.255</v>
      </c>
      <c r="W305" t="s">
        <v>399</v>
      </c>
      <c r="Y305" t="s">
        <v>332</v>
      </c>
      <c r="AB305" t="s">
        <v>339</v>
      </c>
      <c r="AC305" t="s">
        <v>334</v>
      </c>
      <c r="AD305" s="34">
        <v>46.171861669999998</v>
      </c>
      <c r="AE305" s="34">
        <v>-84.078114999999997</v>
      </c>
      <c r="AF305" s="18">
        <v>40683.069444444445</v>
      </c>
      <c r="AG305" s="19">
        <v>40682.902777777781</v>
      </c>
      <c r="AH305" t="s">
        <v>161</v>
      </c>
      <c r="AL305" t="s">
        <v>335</v>
      </c>
      <c r="AM305" s="20">
        <v>40680</v>
      </c>
      <c r="AR305" s="39" t="s">
        <v>400</v>
      </c>
      <c r="AS305" s="39"/>
      <c r="AT305" s="39">
        <v>200</v>
      </c>
      <c r="AZ305" t="s">
        <v>108</v>
      </c>
      <c r="BC305" t="s">
        <v>336</v>
      </c>
    </row>
    <row r="306" spans="1:72" x14ac:dyDescent="0.25">
      <c r="A306" t="str">
        <f t="shared" si="4"/>
        <v>A69-1601-1070</v>
      </c>
      <c r="B306" t="s">
        <v>398</v>
      </c>
      <c r="C306" t="s">
        <v>324</v>
      </c>
      <c r="D306" t="s">
        <v>345</v>
      </c>
      <c r="F306">
        <v>1070</v>
      </c>
      <c r="G306" t="s">
        <v>346</v>
      </c>
      <c r="H306" t="s">
        <v>327</v>
      </c>
      <c r="I306" s="20">
        <v>40680</v>
      </c>
      <c r="J306">
        <v>101</v>
      </c>
      <c r="L306" t="s">
        <v>109</v>
      </c>
      <c r="M306" t="s">
        <v>328</v>
      </c>
      <c r="N306" t="s">
        <v>329</v>
      </c>
      <c r="O306" t="s">
        <v>330</v>
      </c>
      <c r="P306" t="s">
        <v>331</v>
      </c>
      <c r="U306">
        <v>0.53</v>
      </c>
      <c r="V306">
        <v>0.27600000000000002</v>
      </c>
      <c r="W306" t="s">
        <v>399</v>
      </c>
      <c r="Y306" t="s">
        <v>332</v>
      </c>
      <c r="AB306" t="s">
        <v>339</v>
      </c>
      <c r="AC306" t="s">
        <v>334</v>
      </c>
      <c r="AD306" s="34">
        <v>46.171861669999998</v>
      </c>
      <c r="AE306" s="34">
        <v>-84.078114999999997</v>
      </c>
      <c r="AF306" s="18">
        <v>40683.069444444445</v>
      </c>
      <c r="AG306" s="19">
        <v>40682.902777777781</v>
      </c>
      <c r="AH306" t="s">
        <v>161</v>
      </c>
      <c r="AL306" t="s">
        <v>335</v>
      </c>
      <c r="AM306" s="20">
        <v>40680</v>
      </c>
      <c r="AR306" s="39" t="s">
        <v>400</v>
      </c>
      <c r="AS306" s="39"/>
      <c r="AT306" s="39">
        <v>200</v>
      </c>
      <c r="AZ306" t="s">
        <v>108</v>
      </c>
      <c r="BC306" t="s">
        <v>336</v>
      </c>
    </row>
    <row r="307" spans="1:72" x14ac:dyDescent="0.25">
      <c r="A307" t="str">
        <f t="shared" si="4"/>
        <v>A69-1601-1071</v>
      </c>
      <c r="B307" t="s">
        <v>398</v>
      </c>
      <c r="C307" t="s">
        <v>324</v>
      </c>
      <c r="D307" t="s">
        <v>345</v>
      </c>
      <c r="F307">
        <v>1071</v>
      </c>
      <c r="G307" t="s">
        <v>346</v>
      </c>
      <c r="H307" t="s">
        <v>327</v>
      </c>
      <c r="I307" s="20">
        <v>40686</v>
      </c>
      <c r="J307">
        <v>101</v>
      </c>
      <c r="L307" t="s">
        <v>109</v>
      </c>
      <c r="M307" t="s">
        <v>328</v>
      </c>
      <c r="N307" t="s">
        <v>329</v>
      </c>
      <c r="O307" t="s">
        <v>330</v>
      </c>
      <c r="P307" t="s">
        <v>331</v>
      </c>
      <c r="U307">
        <v>0.49</v>
      </c>
      <c r="V307">
        <v>0.253</v>
      </c>
      <c r="W307" t="s">
        <v>399</v>
      </c>
      <c r="Y307" t="s">
        <v>337</v>
      </c>
      <c r="AB307" t="s">
        <v>344</v>
      </c>
      <c r="AC307" t="s">
        <v>342</v>
      </c>
      <c r="AD307" s="34">
        <v>46.307445000000001</v>
      </c>
      <c r="AE307" s="34">
        <v>-84.307389999999998</v>
      </c>
      <c r="AF307" s="18">
        <v>40688.935416666667</v>
      </c>
      <c r="AG307" s="19">
        <v>40688.768750000003</v>
      </c>
      <c r="AH307" t="s">
        <v>161</v>
      </c>
      <c r="AL307" t="s">
        <v>335</v>
      </c>
      <c r="AM307" s="20">
        <v>40686</v>
      </c>
      <c r="AR307" s="39" t="s">
        <v>400</v>
      </c>
      <c r="AS307" s="39"/>
      <c r="AT307" s="39">
        <v>200</v>
      </c>
      <c r="AZ307" t="s">
        <v>108</v>
      </c>
      <c r="BC307" t="s">
        <v>336</v>
      </c>
    </row>
    <row r="308" spans="1:72" x14ac:dyDescent="0.25">
      <c r="A308" t="str">
        <f t="shared" si="4"/>
        <v>A69-1601-1072</v>
      </c>
      <c r="B308" t="s">
        <v>398</v>
      </c>
      <c r="C308" t="s">
        <v>324</v>
      </c>
      <c r="D308" t="s">
        <v>345</v>
      </c>
      <c r="F308">
        <v>1072</v>
      </c>
      <c r="G308" t="s">
        <v>346</v>
      </c>
      <c r="H308" t="s">
        <v>327</v>
      </c>
      <c r="I308" s="20">
        <v>40686</v>
      </c>
      <c r="J308">
        <v>101</v>
      </c>
      <c r="L308" t="s">
        <v>109</v>
      </c>
      <c r="M308" t="s">
        <v>328</v>
      </c>
      <c r="N308" t="s">
        <v>329</v>
      </c>
      <c r="O308" t="s">
        <v>330</v>
      </c>
      <c r="P308" t="s">
        <v>331</v>
      </c>
      <c r="U308">
        <v>0.52</v>
      </c>
      <c r="V308">
        <v>0.28299999999999997</v>
      </c>
      <c r="W308" t="s">
        <v>399</v>
      </c>
      <c r="Y308" t="s">
        <v>337</v>
      </c>
      <c r="AB308" t="s">
        <v>344</v>
      </c>
      <c r="AC308" t="s">
        <v>342</v>
      </c>
      <c r="AD308" s="34">
        <v>46.307445000000001</v>
      </c>
      <c r="AE308" s="34">
        <v>-84.307389999999998</v>
      </c>
      <c r="AF308" s="18">
        <v>40688.935416666667</v>
      </c>
      <c r="AG308" s="19">
        <v>40688.768750000003</v>
      </c>
      <c r="AH308" t="s">
        <v>161</v>
      </c>
      <c r="AL308" t="s">
        <v>335</v>
      </c>
      <c r="AM308" s="20">
        <v>40686</v>
      </c>
      <c r="AR308" s="39" t="s">
        <v>400</v>
      </c>
      <c r="AS308" s="39"/>
      <c r="AT308" s="39">
        <v>200</v>
      </c>
      <c r="AZ308" t="s">
        <v>108</v>
      </c>
      <c r="BC308" t="s">
        <v>336</v>
      </c>
    </row>
    <row r="309" spans="1:72" x14ac:dyDescent="0.25">
      <c r="A309" t="str">
        <f t="shared" si="4"/>
        <v>A69-1601-1073</v>
      </c>
      <c r="B309" t="s">
        <v>398</v>
      </c>
      <c r="C309" t="s">
        <v>324</v>
      </c>
      <c r="D309" t="s">
        <v>345</v>
      </c>
      <c r="F309">
        <v>1073</v>
      </c>
      <c r="G309" t="s">
        <v>346</v>
      </c>
      <c r="H309" t="s">
        <v>327</v>
      </c>
      <c r="I309" s="20">
        <v>40686</v>
      </c>
      <c r="J309">
        <v>101</v>
      </c>
      <c r="L309" t="s">
        <v>109</v>
      </c>
      <c r="M309" t="s">
        <v>328</v>
      </c>
      <c r="N309" t="s">
        <v>329</v>
      </c>
      <c r="O309" t="s">
        <v>330</v>
      </c>
      <c r="P309" t="s">
        <v>331</v>
      </c>
      <c r="U309">
        <v>0.48</v>
      </c>
      <c r="V309">
        <v>0.26500000000000001</v>
      </c>
      <c r="W309" t="s">
        <v>399</v>
      </c>
      <c r="Y309" t="s">
        <v>337</v>
      </c>
      <c r="AB309" t="s">
        <v>344</v>
      </c>
      <c r="AC309" t="s">
        <v>342</v>
      </c>
      <c r="AD309" s="34">
        <v>46.307445000000001</v>
      </c>
      <c r="AE309" s="34">
        <v>-84.307389999999998</v>
      </c>
      <c r="AF309" s="18">
        <v>40688.935416666667</v>
      </c>
      <c r="AG309" s="19">
        <v>40688.768750000003</v>
      </c>
      <c r="AH309" t="s">
        <v>161</v>
      </c>
      <c r="AL309" t="s">
        <v>335</v>
      </c>
      <c r="AM309" s="20">
        <v>40686</v>
      </c>
      <c r="AR309" s="39" t="s">
        <v>400</v>
      </c>
      <c r="AS309" s="39"/>
      <c r="AT309" s="39">
        <v>200</v>
      </c>
      <c r="AZ309" t="s">
        <v>108</v>
      </c>
      <c r="BC309" t="s">
        <v>336</v>
      </c>
    </row>
    <row r="310" spans="1:72" x14ac:dyDescent="0.25">
      <c r="A310" t="str">
        <f t="shared" si="4"/>
        <v>A69-1601-1074</v>
      </c>
      <c r="B310" t="s">
        <v>398</v>
      </c>
      <c r="C310" t="s">
        <v>324</v>
      </c>
      <c r="D310" t="s">
        <v>345</v>
      </c>
      <c r="F310">
        <v>1074</v>
      </c>
      <c r="G310" t="s">
        <v>346</v>
      </c>
      <c r="H310" t="s">
        <v>327</v>
      </c>
      <c r="I310" s="20">
        <v>40686</v>
      </c>
      <c r="J310">
        <v>101</v>
      </c>
      <c r="L310" t="s">
        <v>109</v>
      </c>
      <c r="M310" t="s">
        <v>328</v>
      </c>
      <c r="N310" t="s">
        <v>329</v>
      </c>
      <c r="O310" t="s">
        <v>330</v>
      </c>
      <c r="P310" t="s">
        <v>331</v>
      </c>
      <c r="U310">
        <v>0.54</v>
      </c>
      <c r="V310">
        <v>0.30599999999999999</v>
      </c>
      <c r="W310" t="s">
        <v>399</v>
      </c>
      <c r="Y310" t="s">
        <v>337</v>
      </c>
      <c r="AB310" t="s">
        <v>344</v>
      </c>
      <c r="AC310" t="s">
        <v>342</v>
      </c>
      <c r="AD310" s="34">
        <v>46.307445000000001</v>
      </c>
      <c r="AE310" s="34">
        <v>-84.307389999999998</v>
      </c>
      <c r="AF310" s="18">
        <v>40688.935416666667</v>
      </c>
      <c r="AG310" s="19">
        <v>40688.768750000003</v>
      </c>
      <c r="AH310" t="s">
        <v>161</v>
      </c>
      <c r="AL310" t="s">
        <v>335</v>
      </c>
      <c r="AM310" s="20">
        <v>40686</v>
      </c>
      <c r="AR310" s="39" t="s">
        <v>400</v>
      </c>
      <c r="AS310" s="39"/>
      <c r="AT310" s="39">
        <v>200</v>
      </c>
      <c r="AZ310" t="s">
        <v>108</v>
      </c>
      <c r="BC310" t="s">
        <v>336</v>
      </c>
    </row>
    <row r="311" spans="1:72" x14ac:dyDescent="0.25">
      <c r="A311" t="str">
        <f t="shared" si="4"/>
        <v>A69-1601-1075</v>
      </c>
      <c r="B311" t="s">
        <v>398</v>
      </c>
      <c r="C311" t="s">
        <v>324</v>
      </c>
      <c r="D311" t="s">
        <v>345</v>
      </c>
      <c r="F311">
        <v>1075</v>
      </c>
      <c r="G311" t="s">
        <v>346</v>
      </c>
      <c r="H311" t="s">
        <v>327</v>
      </c>
      <c r="I311" s="20">
        <v>40686</v>
      </c>
      <c r="J311">
        <v>101</v>
      </c>
      <c r="L311" t="s">
        <v>109</v>
      </c>
      <c r="M311" t="s">
        <v>328</v>
      </c>
      <c r="N311" t="s">
        <v>329</v>
      </c>
      <c r="O311" t="s">
        <v>330</v>
      </c>
      <c r="P311" t="s">
        <v>331</v>
      </c>
      <c r="U311">
        <v>0.53</v>
      </c>
      <c r="V311">
        <v>0.30099999999999999</v>
      </c>
      <c r="W311" t="s">
        <v>399</v>
      </c>
      <c r="Y311" t="s">
        <v>337</v>
      </c>
      <c r="AB311" t="s">
        <v>344</v>
      </c>
      <c r="AC311" t="s">
        <v>342</v>
      </c>
      <c r="AD311" s="34">
        <v>46.307445000000001</v>
      </c>
      <c r="AE311" s="34">
        <v>-84.307389999999998</v>
      </c>
      <c r="AF311" s="18">
        <v>40688.935416666667</v>
      </c>
      <c r="AG311" s="19">
        <v>40688.768750000003</v>
      </c>
      <c r="AH311" t="s">
        <v>161</v>
      </c>
      <c r="AL311" t="s">
        <v>335</v>
      </c>
      <c r="AM311" s="20">
        <v>40686</v>
      </c>
      <c r="AR311" s="39" t="s">
        <v>400</v>
      </c>
      <c r="AS311" s="39"/>
      <c r="AT311" s="39">
        <v>200</v>
      </c>
      <c r="AZ311" t="s">
        <v>108</v>
      </c>
      <c r="BC311" t="s">
        <v>163</v>
      </c>
      <c r="BD311" s="20">
        <v>40723</v>
      </c>
      <c r="BF311" s="21" t="s">
        <v>406</v>
      </c>
      <c r="BG311" s="38" t="s">
        <v>113</v>
      </c>
      <c r="BH311" t="s">
        <v>408</v>
      </c>
      <c r="BI311" s="1">
        <v>46.514783999999999</v>
      </c>
      <c r="BJ311" s="1">
        <v>-84.346945000000005</v>
      </c>
      <c r="BK311" t="s">
        <v>404</v>
      </c>
      <c r="BL311" s="39" t="s">
        <v>163</v>
      </c>
      <c r="BM311" s="1" t="s">
        <v>163</v>
      </c>
      <c r="BN311" s="1" t="s">
        <v>410</v>
      </c>
      <c r="BO311" s="39">
        <v>1574</v>
      </c>
      <c r="BP311" s="39">
        <v>1575</v>
      </c>
      <c r="BQ311" s="39" t="s">
        <v>337</v>
      </c>
      <c r="BR311" s="39">
        <v>524</v>
      </c>
      <c r="BS311" s="39">
        <v>279</v>
      </c>
    </row>
    <row r="312" spans="1:72" x14ac:dyDescent="0.25">
      <c r="A312" t="str">
        <f t="shared" si="4"/>
        <v>A69-1601-1076</v>
      </c>
      <c r="B312" t="s">
        <v>398</v>
      </c>
      <c r="C312" t="s">
        <v>324</v>
      </c>
      <c r="D312" t="s">
        <v>345</v>
      </c>
      <c r="F312">
        <v>1076</v>
      </c>
      <c r="G312" t="s">
        <v>346</v>
      </c>
      <c r="H312" t="s">
        <v>327</v>
      </c>
      <c r="I312" s="20">
        <v>40686</v>
      </c>
      <c r="J312">
        <v>101</v>
      </c>
      <c r="L312" t="s">
        <v>109</v>
      </c>
      <c r="M312" t="s">
        <v>328</v>
      </c>
      <c r="N312" t="s">
        <v>329</v>
      </c>
      <c r="O312" t="s">
        <v>330</v>
      </c>
      <c r="P312" t="s">
        <v>331</v>
      </c>
      <c r="U312">
        <v>0.5</v>
      </c>
      <c r="V312">
        <v>0.30399999999999999</v>
      </c>
      <c r="W312" t="s">
        <v>399</v>
      </c>
      <c r="Y312" t="s">
        <v>337</v>
      </c>
      <c r="AB312" t="s">
        <v>344</v>
      </c>
      <c r="AC312" t="s">
        <v>342</v>
      </c>
      <c r="AD312" s="34">
        <v>46.307445000000001</v>
      </c>
      <c r="AE312" s="34">
        <v>-84.307389999999998</v>
      </c>
      <c r="AF312" s="18">
        <v>40688.935416666667</v>
      </c>
      <c r="AG312" s="19">
        <v>40688.768750000003</v>
      </c>
      <c r="AH312" t="s">
        <v>161</v>
      </c>
      <c r="AL312" t="s">
        <v>335</v>
      </c>
      <c r="AM312" s="20">
        <v>40686</v>
      </c>
      <c r="AR312" s="39" t="s">
        <v>400</v>
      </c>
      <c r="AS312" s="39"/>
      <c r="AT312" s="39">
        <v>200</v>
      </c>
      <c r="AZ312" t="s">
        <v>108</v>
      </c>
      <c r="BC312" t="s">
        <v>336</v>
      </c>
    </row>
    <row r="313" spans="1:72" x14ac:dyDescent="0.25">
      <c r="A313" t="str">
        <f t="shared" si="4"/>
        <v>A69-1601-1077</v>
      </c>
      <c r="B313" t="s">
        <v>398</v>
      </c>
      <c r="C313" t="s">
        <v>324</v>
      </c>
      <c r="D313" t="s">
        <v>345</v>
      </c>
      <c r="F313">
        <v>1077</v>
      </c>
      <c r="G313" t="s">
        <v>346</v>
      </c>
      <c r="H313" t="s">
        <v>327</v>
      </c>
      <c r="I313" s="20">
        <v>40686</v>
      </c>
      <c r="J313">
        <v>101</v>
      </c>
      <c r="L313" t="s">
        <v>109</v>
      </c>
      <c r="M313" t="s">
        <v>328</v>
      </c>
      <c r="N313" t="s">
        <v>329</v>
      </c>
      <c r="O313" t="s">
        <v>330</v>
      </c>
      <c r="P313" t="s">
        <v>331</v>
      </c>
      <c r="U313">
        <v>0.52</v>
      </c>
      <c r="V313">
        <v>0.25900000000000001</v>
      </c>
      <c r="W313" t="s">
        <v>399</v>
      </c>
      <c r="Y313" t="s">
        <v>337</v>
      </c>
      <c r="AB313" t="s">
        <v>344</v>
      </c>
      <c r="AC313" t="s">
        <v>342</v>
      </c>
      <c r="AD313" s="34">
        <v>46.307445000000001</v>
      </c>
      <c r="AE313" s="34">
        <v>-84.307389999999998</v>
      </c>
      <c r="AF313" s="18">
        <v>40688.935416666667</v>
      </c>
      <c r="AG313" s="19">
        <v>40688.768750000003</v>
      </c>
      <c r="AH313" t="s">
        <v>161</v>
      </c>
      <c r="AL313" t="s">
        <v>335</v>
      </c>
      <c r="AM313" s="20">
        <v>40686</v>
      </c>
      <c r="AR313" s="39" t="s">
        <v>400</v>
      </c>
      <c r="AS313" s="39"/>
      <c r="AT313" s="39">
        <v>200</v>
      </c>
      <c r="AZ313" t="s">
        <v>108</v>
      </c>
      <c r="BC313" t="s">
        <v>336</v>
      </c>
    </row>
    <row r="314" spans="1:72" x14ac:dyDescent="0.25">
      <c r="A314" t="str">
        <f t="shared" si="4"/>
        <v>A69-1601-1078</v>
      </c>
      <c r="B314" t="s">
        <v>398</v>
      </c>
      <c r="C314" t="s">
        <v>324</v>
      </c>
      <c r="D314" t="s">
        <v>345</v>
      </c>
      <c r="F314">
        <v>1078</v>
      </c>
      <c r="G314" t="s">
        <v>346</v>
      </c>
      <c r="H314" t="s">
        <v>327</v>
      </c>
      <c r="I314" s="20">
        <v>40686</v>
      </c>
      <c r="J314">
        <v>101</v>
      </c>
      <c r="L314" t="s">
        <v>109</v>
      </c>
      <c r="M314" t="s">
        <v>328</v>
      </c>
      <c r="N314" t="s">
        <v>329</v>
      </c>
      <c r="O314" t="s">
        <v>330</v>
      </c>
      <c r="P314" t="s">
        <v>331</v>
      </c>
      <c r="U314">
        <v>0.47</v>
      </c>
      <c r="V314">
        <v>0.24199999999999999</v>
      </c>
      <c r="W314" t="s">
        <v>399</v>
      </c>
      <c r="Y314" t="s">
        <v>337</v>
      </c>
      <c r="AB314" t="s">
        <v>344</v>
      </c>
      <c r="AC314" t="s">
        <v>342</v>
      </c>
      <c r="AD314" s="34">
        <v>46.307445000000001</v>
      </c>
      <c r="AE314" s="34">
        <v>-84.307389999999998</v>
      </c>
      <c r="AF314" s="18">
        <v>40688.935416666667</v>
      </c>
      <c r="AG314" s="19">
        <v>40688.768750000003</v>
      </c>
      <c r="AH314" t="s">
        <v>161</v>
      </c>
      <c r="AL314" t="s">
        <v>335</v>
      </c>
      <c r="AM314" s="20">
        <v>40686</v>
      </c>
      <c r="AR314" s="39" t="s">
        <v>400</v>
      </c>
      <c r="AS314" s="39"/>
      <c r="AT314" s="39">
        <v>200</v>
      </c>
      <c r="AZ314" t="s">
        <v>108</v>
      </c>
      <c r="BC314" t="s">
        <v>336</v>
      </c>
    </row>
    <row r="315" spans="1:72" x14ac:dyDescent="0.25">
      <c r="A315" t="str">
        <f t="shared" si="4"/>
        <v>A69-1601-1079</v>
      </c>
      <c r="B315" t="s">
        <v>398</v>
      </c>
      <c r="C315" t="s">
        <v>324</v>
      </c>
      <c r="D315" t="s">
        <v>345</v>
      </c>
      <c r="F315">
        <v>1079</v>
      </c>
      <c r="G315" t="s">
        <v>346</v>
      </c>
      <c r="H315" t="s">
        <v>327</v>
      </c>
      <c r="I315" s="20">
        <v>40686</v>
      </c>
      <c r="J315">
        <v>101</v>
      </c>
      <c r="L315" t="s">
        <v>109</v>
      </c>
      <c r="M315" t="s">
        <v>328</v>
      </c>
      <c r="N315" t="s">
        <v>329</v>
      </c>
      <c r="O315" t="s">
        <v>330</v>
      </c>
      <c r="P315" t="s">
        <v>331</v>
      </c>
      <c r="U315">
        <v>0.53</v>
      </c>
      <c r="V315">
        <v>0.24099999999999999</v>
      </c>
      <c r="W315" t="s">
        <v>399</v>
      </c>
      <c r="Y315" t="s">
        <v>337</v>
      </c>
      <c r="AB315" t="s">
        <v>344</v>
      </c>
      <c r="AC315" t="s">
        <v>342</v>
      </c>
      <c r="AD315" s="34">
        <v>46.307445000000001</v>
      </c>
      <c r="AE315" s="34">
        <v>-84.307389999999998</v>
      </c>
      <c r="AF315" s="18">
        <v>40688.935416666667</v>
      </c>
      <c r="AG315" s="19">
        <v>40688.768750000003</v>
      </c>
      <c r="AH315" t="s">
        <v>161</v>
      </c>
      <c r="AL315" t="s">
        <v>335</v>
      </c>
      <c r="AM315" s="20">
        <v>40686</v>
      </c>
      <c r="AR315" s="39" t="s">
        <v>400</v>
      </c>
      <c r="AS315" s="39"/>
      <c r="AT315" s="39">
        <v>200</v>
      </c>
      <c r="AZ315" t="s">
        <v>108</v>
      </c>
      <c r="BC315" t="s">
        <v>336</v>
      </c>
    </row>
    <row r="316" spans="1:72" x14ac:dyDescent="0.25">
      <c r="A316" t="str">
        <f t="shared" si="4"/>
        <v>A69-1601-1080</v>
      </c>
      <c r="B316" t="s">
        <v>398</v>
      </c>
      <c r="C316" t="s">
        <v>324</v>
      </c>
      <c r="D316" t="s">
        <v>345</v>
      </c>
      <c r="F316">
        <v>1080</v>
      </c>
      <c r="G316" t="s">
        <v>346</v>
      </c>
      <c r="H316" t="s">
        <v>327</v>
      </c>
      <c r="I316" s="20">
        <v>40686</v>
      </c>
      <c r="J316">
        <v>101</v>
      </c>
      <c r="L316" t="s">
        <v>109</v>
      </c>
      <c r="M316" t="s">
        <v>328</v>
      </c>
      <c r="N316" t="s">
        <v>329</v>
      </c>
      <c r="O316" t="s">
        <v>330</v>
      </c>
      <c r="P316" t="s">
        <v>331</v>
      </c>
      <c r="U316">
        <v>0.5</v>
      </c>
      <c r="V316">
        <v>0.29399999999999998</v>
      </c>
      <c r="W316" t="s">
        <v>399</v>
      </c>
      <c r="Y316" t="s">
        <v>337</v>
      </c>
      <c r="AB316" t="s">
        <v>344</v>
      </c>
      <c r="AC316" t="s">
        <v>342</v>
      </c>
      <c r="AD316" s="34">
        <v>46.307445000000001</v>
      </c>
      <c r="AE316" s="34">
        <v>-84.307389999999998</v>
      </c>
      <c r="AF316" s="18">
        <v>40688.935416666667</v>
      </c>
      <c r="AG316" s="19">
        <v>40688.768750000003</v>
      </c>
      <c r="AH316" t="s">
        <v>161</v>
      </c>
      <c r="AL316" t="s">
        <v>335</v>
      </c>
      <c r="AM316" s="20">
        <v>40686</v>
      </c>
      <c r="AR316" s="39" t="s">
        <v>400</v>
      </c>
      <c r="AS316" s="39"/>
      <c r="AT316" s="39">
        <v>200</v>
      </c>
      <c r="AZ316" t="s">
        <v>108</v>
      </c>
      <c r="BC316" t="s">
        <v>336</v>
      </c>
    </row>
    <row r="317" spans="1:72" x14ac:dyDescent="0.25">
      <c r="A317" t="str">
        <f t="shared" si="4"/>
        <v>A69-1601-1081</v>
      </c>
      <c r="B317" t="s">
        <v>398</v>
      </c>
      <c r="C317" t="s">
        <v>324</v>
      </c>
      <c r="D317" t="s">
        <v>345</v>
      </c>
      <c r="F317">
        <v>1081</v>
      </c>
      <c r="G317" t="s">
        <v>346</v>
      </c>
      <c r="H317" t="s">
        <v>327</v>
      </c>
      <c r="I317" s="20">
        <v>40686</v>
      </c>
      <c r="J317">
        <v>101</v>
      </c>
      <c r="L317" t="s">
        <v>109</v>
      </c>
      <c r="M317" t="s">
        <v>328</v>
      </c>
      <c r="N317" t="s">
        <v>329</v>
      </c>
      <c r="O317" t="s">
        <v>330</v>
      </c>
      <c r="P317" t="s">
        <v>331</v>
      </c>
      <c r="U317">
        <v>0.52</v>
      </c>
      <c r="V317">
        <v>0.33200000000000002</v>
      </c>
      <c r="W317" t="s">
        <v>399</v>
      </c>
      <c r="Y317" t="s">
        <v>337</v>
      </c>
      <c r="AB317" t="s">
        <v>344</v>
      </c>
      <c r="AC317" t="s">
        <v>342</v>
      </c>
      <c r="AD317" s="34">
        <v>46.307445000000001</v>
      </c>
      <c r="AE317" s="34">
        <v>-84.307389999999998</v>
      </c>
      <c r="AF317" s="18">
        <v>40688.935416666667</v>
      </c>
      <c r="AG317" s="19">
        <v>40688.768750000003</v>
      </c>
      <c r="AH317" t="s">
        <v>161</v>
      </c>
      <c r="AL317" t="s">
        <v>335</v>
      </c>
      <c r="AM317" s="20">
        <v>40686</v>
      </c>
      <c r="AR317" s="39" t="s">
        <v>400</v>
      </c>
      <c r="AS317" s="39"/>
      <c r="AT317" s="39">
        <v>200</v>
      </c>
      <c r="AZ317" t="s">
        <v>108</v>
      </c>
      <c r="BC317" t="s">
        <v>336</v>
      </c>
    </row>
    <row r="318" spans="1:72" x14ac:dyDescent="0.25">
      <c r="A318" t="str">
        <f t="shared" si="4"/>
        <v>A69-1601-1082</v>
      </c>
      <c r="B318" t="s">
        <v>398</v>
      </c>
      <c r="C318" t="s">
        <v>324</v>
      </c>
      <c r="D318" t="s">
        <v>345</v>
      </c>
      <c r="F318">
        <v>1082</v>
      </c>
      <c r="G318" t="s">
        <v>346</v>
      </c>
      <c r="H318" t="s">
        <v>327</v>
      </c>
      <c r="I318" s="20">
        <v>40686</v>
      </c>
      <c r="J318">
        <v>101</v>
      </c>
      <c r="L318" t="s">
        <v>109</v>
      </c>
      <c r="M318" t="s">
        <v>328</v>
      </c>
      <c r="N318" t="s">
        <v>329</v>
      </c>
      <c r="O318" t="s">
        <v>330</v>
      </c>
      <c r="P318" t="s">
        <v>331</v>
      </c>
      <c r="U318">
        <v>0.49</v>
      </c>
      <c r="V318">
        <v>0.25</v>
      </c>
      <c r="W318" t="s">
        <v>399</v>
      </c>
      <c r="Y318" t="s">
        <v>337</v>
      </c>
      <c r="AB318" t="s">
        <v>344</v>
      </c>
      <c r="AC318" t="s">
        <v>342</v>
      </c>
      <c r="AD318" s="34">
        <v>46.307445000000001</v>
      </c>
      <c r="AE318" s="34">
        <v>-84.307389999999998</v>
      </c>
      <c r="AF318" s="18">
        <v>40688.935416666667</v>
      </c>
      <c r="AG318" s="19">
        <v>40688.768750000003</v>
      </c>
      <c r="AH318" t="s">
        <v>161</v>
      </c>
      <c r="AL318" t="s">
        <v>335</v>
      </c>
      <c r="AM318" s="20">
        <v>40686</v>
      </c>
      <c r="AR318" s="39" t="s">
        <v>400</v>
      </c>
      <c r="AS318" s="39"/>
      <c r="AT318" s="39">
        <v>200</v>
      </c>
      <c r="AZ318" t="s">
        <v>108</v>
      </c>
      <c r="BC318" t="s">
        <v>336</v>
      </c>
    </row>
    <row r="319" spans="1:72" x14ac:dyDescent="0.25">
      <c r="A319" t="str">
        <f t="shared" si="4"/>
        <v>A69-1601-1083</v>
      </c>
      <c r="B319" t="s">
        <v>398</v>
      </c>
      <c r="C319" t="s">
        <v>324</v>
      </c>
      <c r="D319" t="s">
        <v>345</v>
      </c>
      <c r="F319">
        <v>1083</v>
      </c>
      <c r="G319" t="s">
        <v>346</v>
      </c>
      <c r="H319" t="s">
        <v>327</v>
      </c>
      <c r="I319" s="20">
        <v>40686</v>
      </c>
      <c r="J319">
        <v>101</v>
      </c>
      <c r="L319" t="s">
        <v>109</v>
      </c>
      <c r="M319" t="s">
        <v>328</v>
      </c>
      <c r="N319" t="s">
        <v>329</v>
      </c>
      <c r="O319" t="s">
        <v>330</v>
      </c>
      <c r="P319" t="s">
        <v>331</v>
      </c>
      <c r="U319">
        <v>0.5</v>
      </c>
      <c r="V319">
        <v>0.24099999999999999</v>
      </c>
      <c r="W319" t="s">
        <v>399</v>
      </c>
      <c r="Y319" t="s">
        <v>332</v>
      </c>
      <c r="AB319" t="s">
        <v>344</v>
      </c>
      <c r="AC319" t="s">
        <v>342</v>
      </c>
      <c r="AD319" s="34">
        <v>46.307445000000001</v>
      </c>
      <c r="AE319" s="34">
        <v>-84.307389999999998</v>
      </c>
      <c r="AF319" s="18">
        <v>40688.935416666667</v>
      </c>
      <c r="AG319" s="19">
        <v>40688.768750000003</v>
      </c>
      <c r="AH319" t="s">
        <v>161</v>
      </c>
      <c r="AL319" t="s">
        <v>335</v>
      </c>
      <c r="AM319" s="20">
        <v>40686</v>
      </c>
      <c r="AR319" s="39" t="s">
        <v>400</v>
      </c>
      <c r="AS319" s="39"/>
      <c r="AT319" s="39">
        <v>200</v>
      </c>
      <c r="AZ319" t="s">
        <v>108</v>
      </c>
      <c r="BC319" t="s">
        <v>336</v>
      </c>
    </row>
    <row r="320" spans="1:72" x14ac:dyDescent="0.25">
      <c r="A320" t="str">
        <f t="shared" si="4"/>
        <v>A69-1601-1084</v>
      </c>
      <c r="B320" t="s">
        <v>398</v>
      </c>
      <c r="C320" t="s">
        <v>324</v>
      </c>
      <c r="D320" t="s">
        <v>345</v>
      </c>
      <c r="F320">
        <v>1084</v>
      </c>
      <c r="G320" t="s">
        <v>346</v>
      </c>
      <c r="H320" t="s">
        <v>327</v>
      </c>
      <c r="I320" s="20">
        <v>40686</v>
      </c>
      <c r="J320">
        <v>101</v>
      </c>
      <c r="L320" t="s">
        <v>109</v>
      </c>
      <c r="M320" t="s">
        <v>328</v>
      </c>
      <c r="N320" t="s">
        <v>329</v>
      </c>
      <c r="O320" t="s">
        <v>330</v>
      </c>
      <c r="P320" t="s">
        <v>331</v>
      </c>
      <c r="U320">
        <v>0.53</v>
      </c>
      <c r="V320">
        <v>0.35399999999999998</v>
      </c>
      <c r="W320" t="s">
        <v>399</v>
      </c>
      <c r="Y320" t="s">
        <v>337</v>
      </c>
      <c r="AB320" t="s">
        <v>344</v>
      </c>
      <c r="AC320" t="s">
        <v>342</v>
      </c>
      <c r="AD320" s="34">
        <v>46.307445000000001</v>
      </c>
      <c r="AE320" s="34">
        <v>-84.307389999999998</v>
      </c>
      <c r="AF320" s="18">
        <v>40688.935416666667</v>
      </c>
      <c r="AG320" s="19">
        <v>40688.768750000003</v>
      </c>
      <c r="AH320" t="s">
        <v>161</v>
      </c>
      <c r="AL320" t="s">
        <v>335</v>
      </c>
      <c r="AM320" s="20">
        <v>40686</v>
      </c>
      <c r="AR320" s="39" t="s">
        <v>400</v>
      </c>
      <c r="AS320" s="39"/>
      <c r="AT320" s="39">
        <v>200</v>
      </c>
      <c r="AZ320" t="s">
        <v>108</v>
      </c>
      <c r="BC320" t="s">
        <v>163</v>
      </c>
      <c r="BD320" s="20">
        <v>40721</v>
      </c>
      <c r="BF320" s="21" t="s">
        <v>406</v>
      </c>
      <c r="BG320" s="38" t="s">
        <v>123</v>
      </c>
      <c r="BH320" s="1" t="s">
        <v>418</v>
      </c>
      <c r="BI320" s="39">
        <v>46.574117000000001</v>
      </c>
      <c r="BJ320" s="39">
        <v>-83.935387000000006</v>
      </c>
      <c r="BK320" s="1" t="s">
        <v>404</v>
      </c>
      <c r="BL320" s="1" t="s">
        <v>163</v>
      </c>
      <c r="BM320" s="1" t="s">
        <v>163</v>
      </c>
      <c r="BN320" s="1" t="s">
        <v>410</v>
      </c>
      <c r="BO320" s="1">
        <v>1619</v>
      </c>
      <c r="BP320" s="1">
        <v>1620</v>
      </c>
      <c r="BQ320" s="1" t="s">
        <v>337</v>
      </c>
      <c r="BR320" s="1">
        <v>480</v>
      </c>
      <c r="BS320" s="1">
        <v>275</v>
      </c>
      <c r="BT320" s="1"/>
    </row>
    <row r="321" spans="1:71" x14ac:dyDescent="0.25">
      <c r="A321" t="str">
        <f t="shared" si="4"/>
        <v>A69-1601-1085</v>
      </c>
      <c r="B321" t="s">
        <v>398</v>
      </c>
      <c r="C321" t="s">
        <v>324</v>
      </c>
      <c r="D321" t="s">
        <v>345</v>
      </c>
      <c r="F321">
        <v>1085</v>
      </c>
      <c r="G321" t="s">
        <v>346</v>
      </c>
      <c r="H321" t="s">
        <v>327</v>
      </c>
      <c r="I321" s="20">
        <v>40686</v>
      </c>
      <c r="J321">
        <v>101</v>
      </c>
      <c r="L321" t="s">
        <v>109</v>
      </c>
      <c r="M321" t="s">
        <v>328</v>
      </c>
      <c r="N321" t="s">
        <v>329</v>
      </c>
      <c r="O321" t="s">
        <v>330</v>
      </c>
      <c r="P321" t="s">
        <v>331</v>
      </c>
      <c r="U321">
        <v>0.52</v>
      </c>
      <c r="V321">
        <v>0.307</v>
      </c>
      <c r="W321" t="s">
        <v>399</v>
      </c>
      <c r="Y321" t="s">
        <v>337</v>
      </c>
      <c r="AB321" t="s">
        <v>344</v>
      </c>
      <c r="AC321" t="s">
        <v>342</v>
      </c>
      <c r="AD321" s="34">
        <v>46.307445000000001</v>
      </c>
      <c r="AE321" s="34">
        <v>-84.307389999999998</v>
      </c>
      <c r="AF321" s="18">
        <v>40688.935416666667</v>
      </c>
      <c r="AG321" s="19">
        <v>40688.768750000003</v>
      </c>
      <c r="AH321" t="s">
        <v>161</v>
      </c>
      <c r="AL321" t="s">
        <v>335</v>
      </c>
      <c r="AM321" s="20">
        <v>40686</v>
      </c>
      <c r="AR321" s="39" t="s">
        <v>400</v>
      </c>
      <c r="AS321" s="39"/>
      <c r="AT321" s="39">
        <v>200</v>
      </c>
      <c r="AZ321" t="s">
        <v>108</v>
      </c>
      <c r="BC321" t="s">
        <v>336</v>
      </c>
    </row>
    <row r="322" spans="1:71" x14ac:dyDescent="0.25">
      <c r="A322" t="str">
        <f t="shared" si="4"/>
        <v>A69-1601-1086</v>
      </c>
      <c r="B322" t="s">
        <v>398</v>
      </c>
      <c r="C322" t="s">
        <v>324</v>
      </c>
      <c r="D322" t="s">
        <v>345</v>
      </c>
      <c r="F322">
        <v>1086</v>
      </c>
      <c r="G322" t="s">
        <v>346</v>
      </c>
      <c r="H322" t="s">
        <v>327</v>
      </c>
      <c r="I322" s="20">
        <v>40686</v>
      </c>
      <c r="J322">
        <v>101</v>
      </c>
      <c r="L322" t="s">
        <v>109</v>
      </c>
      <c r="M322" t="s">
        <v>328</v>
      </c>
      <c r="N322" t="s">
        <v>329</v>
      </c>
      <c r="O322" t="s">
        <v>330</v>
      </c>
      <c r="P322" t="s">
        <v>331</v>
      </c>
      <c r="U322">
        <v>0.48</v>
      </c>
      <c r="V322">
        <v>0.22900000000000001</v>
      </c>
      <c r="W322" t="s">
        <v>399</v>
      </c>
      <c r="Y322" t="s">
        <v>332</v>
      </c>
      <c r="AB322" t="s">
        <v>344</v>
      </c>
      <c r="AC322" t="s">
        <v>342</v>
      </c>
      <c r="AD322" s="34">
        <v>46.307445000000001</v>
      </c>
      <c r="AE322" s="34">
        <v>-84.307389999999998</v>
      </c>
      <c r="AF322" s="18">
        <v>40688.935416666667</v>
      </c>
      <c r="AG322" s="19">
        <v>40688.768750000003</v>
      </c>
      <c r="AH322" t="s">
        <v>161</v>
      </c>
      <c r="AL322" t="s">
        <v>335</v>
      </c>
      <c r="AM322" s="20">
        <v>40686</v>
      </c>
      <c r="AR322" s="39" t="s">
        <v>400</v>
      </c>
      <c r="AS322" s="39"/>
      <c r="AT322" s="39">
        <v>200</v>
      </c>
      <c r="AZ322" t="s">
        <v>108</v>
      </c>
      <c r="BC322" t="s">
        <v>336</v>
      </c>
    </row>
    <row r="323" spans="1:71" x14ac:dyDescent="0.25">
      <c r="A323" t="str">
        <f t="shared" si="4"/>
        <v>A69-1601-1087</v>
      </c>
      <c r="B323" t="s">
        <v>398</v>
      </c>
      <c r="C323" t="s">
        <v>324</v>
      </c>
      <c r="D323" t="s">
        <v>345</v>
      </c>
      <c r="F323">
        <v>1087</v>
      </c>
      <c r="G323" t="s">
        <v>346</v>
      </c>
      <c r="H323" t="s">
        <v>327</v>
      </c>
      <c r="I323" s="20">
        <v>40686</v>
      </c>
      <c r="J323">
        <v>101</v>
      </c>
      <c r="L323" t="s">
        <v>109</v>
      </c>
      <c r="M323" t="s">
        <v>328</v>
      </c>
      <c r="N323" t="s">
        <v>329</v>
      </c>
      <c r="O323" t="s">
        <v>330</v>
      </c>
      <c r="P323" t="s">
        <v>331</v>
      </c>
      <c r="U323">
        <v>0.47</v>
      </c>
      <c r="V323">
        <v>0.22900000000000001</v>
      </c>
      <c r="W323" t="s">
        <v>399</v>
      </c>
      <c r="Y323" t="s">
        <v>332</v>
      </c>
      <c r="AB323" t="s">
        <v>344</v>
      </c>
      <c r="AC323" t="s">
        <v>342</v>
      </c>
      <c r="AD323" s="34">
        <v>46.307445000000001</v>
      </c>
      <c r="AE323" s="34">
        <v>-84.307389999999998</v>
      </c>
      <c r="AF323" s="18">
        <v>40688.935416666667</v>
      </c>
      <c r="AG323" s="19">
        <v>40688.768750000003</v>
      </c>
      <c r="AH323" t="s">
        <v>161</v>
      </c>
      <c r="AL323" t="s">
        <v>335</v>
      </c>
      <c r="AM323" s="20">
        <v>40686</v>
      </c>
      <c r="AR323" s="39" t="s">
        <v>400</v>
      </c>
      <c r="AS323" s="39"/>
      <c r="AT323" s="39">
        <v>200</v>
      </c>
      <c r="AZ323" t="s">
        <v>108</v>
      </c>
      <c r="BC323" t="s">
        <v>336</v>
      </c>
    </row>
    <row r="324" spans="1:71" x14ac:dyDescent="0.25">
      <c r="A324" t="str">
        <f t="shared" ref="A324:A387" si="5">CONCATENATE(G324,"-",F324)</f>
        <v>A69-1601-1088</v>
      </c>
      <c r="B324" t="s">
        <v>398</v>
      </c>
      <c r="C324" t="s">
        <v>324</v>
      </c>
      <c r="D324" t="s">
        <v>345</v>
      </c>
      <c r="F324">
        <v>1088</v>
      </c>
      <c r="G324" t="s">
        <v>346</v>
      </c>
      <c r="H324" t="s">
        <v>327</v>
      </c>
      <c r="I324" s="20">
        <v>40686</v>
      </c>
      <c r="J324">
        <v>101</v>
      </c>
      <c r="L324" t="s">
        <v>109</v>
      </c>
      <c r="M324" t="s">
        <v>328</v>
      </c>
      <c r="N324" t="s">
        <v>329</v>
      </c>
      <c r="O324" t="s">
        <v>330</v>
      </c>
      <c r="P324" t="s">
        <v>331</v>
      </c>
      <c r="U324">
        <v>0.51</v>
      </c>
      <c r="V324">
        <v>0.315</v>
      </c>
      <c r="W324" t="s">
        <v>399</v>
      </c>
      <c r="Y324" t="s">
        <v>332</v>
      </c>
      <c r="AB324" t="s">
        <v>344</v>
      </c>
      <c r="AC324" t="s">
        <v>342</v>
      </c>
      <c r="AD324" s="34">
        <v>46.307445000000001</v>
      </c>
      <c r="AE324" s="34">
        <v>-84.307389999999998</v>
      </c>
      <c r="AF324" s="18">
        <v>40688.935416666667</v>
      </c>
      <c r="AG324" s="19">
        <v>40688.768750000003</v>
      </c>
      <c r="AH324" t="s">
        <v>161</v>
      </c>
      <c r="AL324" t="s">
        <v>335</v>
      </c>
      <c r="AM324" s="20">
        <v>40686</v>
      </c>
      <c r="AR324" s="39" t="s">
        <v>400</v>
      </c>
      <c r="AS324" s="39"/>
      <c r="AT324" s="39">
        <v>200</v>
      </c>
      <c r="AZ324" t="s">
        <v>108</v>
      </c>
      <c r="BC324" t="s">
        <v>336</v>
      </c>
    </row>
    <row r="325" spans="1:71" x14ac:dyDescent="0.25">
      <c r="A325" t="str">
        <f t="shared" si="5"/>
        <v>A69-1601-1089</v>
      </c>
      <c r="B325" t="s">
        <v>398</v>
      </c>
      <c r="C325" t="s">
        <v>324</v>
      </c>
      <c r="D325" t="s">
        <v>345</v>
      </c>
      <c r="F325">
        <v>1089</v>
      </c>
      <c r="G325" t="s">
        <v>346</v>
      </c>
      <c r="H325" t="s">
        <v>327</v>
      </c>
      <c r="I325" s="20">
        <v>40686</v>
      </c>
      <c r="J325">
        <v>101</v>
      </c>
      <c r="L325" t="s">
        <v>109</v>
      </c>
      <c r="M325" t="s">
        <v>328</v>
      </c>
      <c r="N325" t="s">
        <v>329</v>
      </c>
      <c r="O325" t="s">
        <v>330</v>
      </c>
      <c r="P325" t="s">
        <v>331</v>
      </c>
      <c r="U325">
        <v>0.51</v>
      </c>
      <c r="V325">
        <v>0.26800000000000002</v>
      </c>
      <c r="W325" t="s">
        <v>399</v>
      </c>
      <c r="Y325" t="s">
        <v>337</v>
      </c>
      <c r="AB325" t="s">
        <v>344</v>
      </c>
      <c r="AC325" t="s">
        <v>342</v>
      </c>
      <c r="AD325" s="34">
        <v>46.307445000000001</v>
      </c>
      <c r="AE325" s="34">
        <v>-84.307389999999998</v>
      </c>
      <c r="AF325" s="18">
        <v>40688.935416666667</v>
      </c>
      <c r="AG325" s="19">
        <v>40688.768750000003</v>
      </c>
      <c r="AH325" t="s">
        <v>161</v>
      </c>
      <c r="AL325" t="s">
        <v>335</v>
      </c>
      <c r="AM325" s="20">
        <v>40686</v>
      </c>
      <c r="AR325" s="39" t="s">
        <v>400</v>
      </c>
      <c r="AS325" s="39"/>
      <c r="AT325" s="39">
        <v>200</v>
      </c>
      <c r="AZ325" t="s">
        <v>108</v>
      </c>
      <c r="BC325" t="s">
        <v>336</v>
      </c>
    </row>
    <row r="326" spans="1:71" x14ac:dyDescent="0.25">
      <c r="A326" t="str">
        <f t="shared" si="5"/>
        <v>A69-1601-1090</v>
      </c>
      <c r="B326" t="s">
        <v>398</v>
      </c>
      <c r="C326" t="s">
        <v>324</v>
      </c>
      <c r="D326" t="s">
        <v>345</v>
      </c>
      <c r="F326">
        <v>1090</v>
      </c>
      <c r="G326" t="s">
        <v>346</v>
      </c>
      <c r="H326" t="s">
        <v>327</v>
      </c>
      <c r="I326" s="20">
        <v>40686</v>
      </c>
      <c r="J326">
        <v>101</v>
      </c>
      <c r="L326" t="s">
        <v>109</v>
      </c>
      <c r="M326" t="s">
        <v>328</v>
      </c>
      <c r="N326" t="s">
        <v>329</v>
      </c>
      <c r="O326" t="s">
        <v>330</v>
      </c>
      <c r="P326" t="s">
        <v>331</v>
      </c>
      <c r="U326">
        <v>0.48</v>
      </c>
      <c r="V326">
        <v>0.254</v>
      </c>
      <c r="W326" t="s">
        <v>399</v>
      </c>
      <c r="Y326" t="s">
        <v>337</v>
      </c>
      <c r="AB326" t="s">
        <v>344</v>
      </c>
      <c r="AC326" t="s">
        <v>342</v>
      </c>
      <c r="AD326" s="34">
        <v>46.307445000000001</v>
      </c>
      <c r="AE326" s="34">
        <v>-84.307389999999998</v>
      </c>
      <c r="AF326" s="18">
        <v>40688.935416666667</v>
      </c>
      <c r="AG326" s="19">
        <v>40688.768750000003</v>
      </c>
      <c r="AH326" t="s">
        <v>161</v>
      </c>
      <c r="AL326" t="s">
        <v>335</v>
      </c>
      <c r="AM326" s="20">
        <v>40686</v>
      </c>
      <c r="AR326" s="39" t="s">
        <v>400</v>
      </c>
      <c r="AS326" s="39"/>
      <c r="AT326" s="39">
        <v>200</v>
      </c>
      <c r="AZ326" t="s">
        <v>108</v>
      </c>
      <c r="BC326" t="s">
        <v>336</v>
      </c>
    </row>
    <row r="327" spans="1:71" x14ac:dyDescent="0.25">
      <c r="A327" t="str">
        <f t="shared" si="5"/>
        <v>A69-1601-1091</v>
      </c>
      <c r="B327" t="s">
        <v>398</v>
      </c>
      <c r="C327" t="s">
        <v>324</v>
      </c>
      <c r="D327" t="s">
        <v>345</v>
      </c>
      <c r="F327">
        <v>1091</v>
      </c>
      <c r="G327" t="s">
        <v>346</v>
      </c>
      <c r="H327" t="s">
        <v>327</v>
      </c>
      <c r="I327" s="20">
        <v>40686</v>
      </c>
      <c r="J327">
        <v>101</v>
      </c>
      <c r="L327" t="s">
        <v>109</v>
      </c>
      <c r="M327" t="s">
        <v>328</v>
      </c>
      <c r="N327" t="s">
        <v>329</v>
      </c>
      <c r="O327" t="s">
        <v>330</v>
      </c>
      <c r="P327" t="s">
        <v>331</v>
      </c>
      <c r="U327">
        <v>0.5</v>
      </c>
      <c r="V327">
        <v>0.28599999999999998</v>
      </c>
      <c r="W327" t="s">
        <v>399</v>
      </c>
      <c r="Y327" t="s">
        <v>337</v>
      </c>
      <c r="AB327" t="s">
        <v>344</v>
      </c>
      <c r="AC327" t="s">
        <v>342</v>
      </c>
      <c r="AD327" s="34">
        <v>46.307445000000001</v>
      </c>
      <c r="AE327" s="34">
        <v>-84.307389999999998</v>
      </c>
      <c r="AF327" s="18">
        <v>40688.935416666667</v>
      </c>
      <c r="AG327" s="19">
        <v>40688.768750000003</v>
      </c>
      <c r="AH327" t="s">
        <v>161</v>
      </c>
      <c r="AL327" t="s">
        <v>335</v>
      </c>
      <c r="AM327" s="20">
        <v>40686</v>
      </c>
      <c r="AR327" s="39" t="s">
        <v>400</v>
      </c>
      <c r="AS327" s="39"/>
      <c r="AT327" s="39">
        <v>200</v>
      </c>
      <c r="AZ327" t="s">
        <v>108</v>
      </c>
      <c r="BC327" t="s">
        <v>336</v>
      </c>
    </row>
    <row r="328" spans="1:71" x14ac:dyDescent="0.25">
      <c r="A328" t="str">
        <f t="shared" si="5"/>
        <v>A69-1601-1092</v>
      </c>
      <c r="B328" t="s">
        <v>398</v>
      </c>
      <c r="C328" t="s">
        <v>324</v>
      </c>
      <c r="D328" t="s">
        <v>345</v>
      </c>
      <c r="F328">
        <v>1092</v>
      </c>
      <c r="G328" t="s">
        <v>346</v>
      </c>
      <c r="H328" t="s">
        <v>327</v>
      </c>
      <c r="I328" s="20">
        <v>40686</v>
      </c>
      <c r="J328">
        <v>101</v>
      </c>
      <c r="L328" t="s">
        <v>109</v>
      </c>
      <c r="M328" t="s">
        <v>328</v>
      </c>
      <c r="N328" t="s">
        <v>329</v>
      </c>
      <c r="O328" t="s">
        <v>330</v>
      </c>
      <c r="P328" t="s">
        <v>331</v>
      </c>
      <c r="U328">
        <v>0.46</v>
      </c>
      <c r="V328">
        <v>0.25800000000000001</v>
      </c>
      <c r="W328" t="s">
        <v>399</v>
      </c>
      <c r="Y328" t="s">
        <v>337</v>
      </c>
      <c r="AB328" t="s">
        <v>344</v>
      </c>
      <c r="AC328" t="s">
        <v>342</v>
      </c>
      <c r="AD328" s="34">
        <v>46.307445000000001</v>
      </c>
      <c r="AE328" s="34">
        <v>-84.307389999999998</v>
      </c>
      <c r="AF328" s="18">
        <v>40688.935416666667</v>
      </c>
      <c r="AG328" s="19">
        <v>40688.768750000003</v>
      </c>
      <c r="AH328" t="s">
        <v>161</v>
      </c>
      <c r="AL328" t="s">
        <v>335</v>
      </c>
      <c r="AM328" s="20">
        <v>40686</v>
      </c>
      <c r="AR328" s="39" t="s">
        <v>400</v>
      </c>
      <c r="AS328" s="39"/>
      <c r="AT328" s="39">
        <v>200</v>
      </c>
      <c r="AZ328" t="s">
        <v>108</v>
      </c>
      <c r="BC328" t="s">
        <v>336</v>
      </c>
    </row>
    <row r="329" spans="1:71" x14ac:dyDescent="0.25">
      <c r="A329" t="str">
        <f t="shared" si="5"/>
        <v>A69-1601-1093</v>
      </c>
      <c r="B329" t="s">
        <v>398</v>
      </c>
      <c r="C329" t="s">
        <v>324</v>
      </c>
      <c r="D329" t="s">
        <v>345</v>
      </c>
      <c r="F329">
        <v>1093</v>
      </c>
      <c r="G329" t="s">
        <v>346</v>
      </c>
      <c r="H329" t="s">
        <v>327</v>
      </c>
      <c r="I329" s="20">
        <v>40686</v>
      </c>
      <c r="J329">
        <v>101</v>
      </c>
      <c r="L329" t="s">
        <v>109</v>
      </c>
      <c r="M329" t="s">
        <v>328</v>
      </c>
      <c r="N329" t="s">
        <v>329</v>
      </c>
      <c r="O329" t="s">
        <v>330</v>
      </c>
      <c r="P329" t="s">
        <v>331</v>
      </c>
      <c r="U329">
        <v>0.44</v>
      </c>
      <c r="V329">
        <v>0.19500000000000001</v>
      </c>
      <c r="W329" t="s">
        <v>399</v>
      </c>
      <c r="Y329" t="s">
        <v>337</v>
      </c>
      <c r="AB329" t="s">
        <v>344</v>
      </c>
      <c r="AC329" t="s">
        <v>342</v>
      </c>
      <c r="AD329" s="34">
        <v>46.307445000000001</v>
      </c>
      <c r="AE329" s="34">
        <v>-84.307389999999998</v>
      </c>
      <c r="AF329" s="18">
        <v>40688.935416666667</v>
      </c>
      <c r="AG329" s="19">
        <v>40688.768750000003</v>
      </c>
      <c r="AH329" t="s">
        <v>161</v>
      </c>
      <c r="AL329" t="s">
        <v>335</v>
      </c>
      <c r="AM329" s="20">
        <v>40686</v>
      </c>
      <c r="AR329" s="39" t="s">
        <v>400</v>
      </c>
      <c r="AS329" s="39"/>
      <c r="AT329" s="39">
        <v>200</v>
      </c>
      <c r="AZ329" t="s">
        <v>108</v>
      </c>
      <c r="BC329" t="s">
        <v>336</v>
      </c>
    </row>
    <row r="330" spans="1:71" x14ac:dyDescent="0.25">
      <c r="A330" t="str">
        <f t="shared" si="5"/>
        <v>A69-1601-1094</v>
      </c>
      <c r="B330" t="s">
        <v>398</v>
      </c>
      <c r="C330" t="s">
        <v>324</v>
      </c>
      <c r="D330" t="s">
        <v>345</v>
      </c>
      <c r="F330">
        <v>1094</v>
      </c>
      <c r="G330" t="s">
        <v>346</v>
      </c>
      <c r="H330" t="s">
        <v>327</v>
      </c>
      <c r="I330" s="20">
        <v>40686</v>
      </c>
      <c r="J330">
        <v>101</v>
      </c>
      <c r="L330" t="s">
        <v>109</v>
      </c>
      <c r="M330" t="s">
        <v>328</v>
      </c>
      <c r="N330" t="s">
        <v>329</v>
      </c>
      <c r="O330" t="s">
        <v>330</v>
      </c>
      <c r="P330" t="s">
        <v>331</v>
      </c>
      <c r="U330">
        <v>0.45</v>
      </c>
      <c r="V330">
        <v>0.182</v>
      </c>
      <c r="W330" t="s">
        <v>399</v>
      </c>
      <c r="Y330" t="s">
        <v>337</v>
      </c>
      <c r="AB330" t="s">
        <v>344</v>
      </c>
      <c r="AC330" t="s">
        <v>342</v>
      </c>
      <c r="AD330" s="34">
        <v>46.307445000000001</v>
      </c>
      <c r="AE330" s="34">
        <v>-84.307389999999998</v>
      </c>
      <c r="AF330" s="18">
        <v>40688.935416666667</v>
      </c>
      <c r="AG330" s="19">
        <v>40688.768750000003</v>
      </c>
      <c r="AH330" t="s">
        <v>161</v>
      </c>
      <c r="AL330" t="s">
        <v>335</v>
      </c>
      <c r="AM330" s="20">
        <v>40686</v>
      </c>
      <c r="AR330" s="39" t="s">
        <v>400</v>
      </c>
      <c r="AS330" s="39"/>
      <c r="AT330" s="39">
        <v>200</v>
      </c>
      <c r="AZ330" t="s">
        <v>108</v>
      </c>
      <c r="BC330" t="s">
        <v>336</v>
      </c>
    </row>
    <row r="331" spans="1:71" x14ac:dyDescent="0.25">
      <c r="A331" t="str">
        <f t="shared" si="5"/>
        <v>A69-1601-1095</v>
      </c>
      <c r="B331" t="s">
        <v>398</v>
      </c>
      <c r="C331" t="s">
        <v>324</v>
      </c>
      <c r="D331" t="s">
        <v>345</v>
      </c>
      <c r="F331">
        <v>1095</v>
      </c>
      <c r="G331" t="s">
        <v>346</v>
      </c>
      <c r="H331" t="s">
        <v>327</v>
      </c>
      <c r="I331" s="20">
        <v>40686</v>
      </c>
      <c r="J331">
        <v>101</v>
      </c>
      <c r="L331" t="s">
        <v>109</v>
      </c>
      <c r="M331" t="s">
        <v>328</v>
      </c>
      <c r="N331" t="s">
        <v>329</v>
      </c>
      <c r="O331" t="s">
        <v>330</v>
      </c>
      <c r="P331" t="s">
        <v>331</v>
      </c>
      <c r="U331">
        <v>0.51</v>
      </c>
      <c r="V331">
        <v>0.26200000000000001</v>
      </c>
      <c r="W331" t="s">
        <v>399</v>
      </c>
      <c r="Y331" t="s">
        <v>332</v>
      </c>
      <c r="AB331" t="s">
        <v>344</v>
      </c>
      <c r="AC331" t="s">
        <v>342</v>
      </c>
      <c r="AD331" s="34">
        <v>46.307445000000001</v>
      </c>
      <c r="AE331" s="34">
        <v>-84.307389999999998</v>
      </c>
      <c r="AF331" s="18">
        <v>40688.935416666667</v>
      </c>
      <c r="AG331" s="19">
        <v>40688.768750000003</v>
      </c>
      <c r="AH331" t="s">
        <v>161</v>
      </c>
      <c r="AL331" t="s">
        <v>335</v>
      </c>
      <c r="AM331" s="20">
        <v>40686</v>
      </c>
      <c r="AR331" s="39" t="s">
        <v>400</v>
      </c>
      <c r="AS331" s="39"/>
      <c r="AT331" s="39">
        <v>200</v>
      </c>
      <c r="AZ331" t="s">
        <v>108</v>
      </c>
      <c r="BC331" t="s">
        <v>336</v>
      </c>
    </row>
    <row r="332" spans="1:71" x14ac:dyDescent="0.25">
      <c r="A332" t="str">
        <f t="shared" si="5"/>
        <v>A69-1601-1096</v>
      </c>
      <c r="B332" t="s">
        <v>398</v>
      </c>
      <c r="C332" t="s">
        <v>324</v>
      </c>
      <c r="D332" t="s">
        <v>345</v>
      </c>
      <c r="F332">
        <v>1096</v>
      </c>
      <c r="G332" t="s">
        <v>346</v>
      </c>
      <c r="H332" t="s">
        <v>327</v>
      </c>
      <c r="I332" s="20">
        <v>40686</v>
      </c>
      <c r="J332">
        <v>101</v>
      </c>
      <c r="L332" t="s">
        <v>109</v>
      </c>
      <c r="M332" t="s">
        <v>328</v>
      </c>
      <c r="N332" t="s">
        <v>329</v>
      </c>
      <c r="O332" t="s">
        <v>330</v>
      </c>
      <c r="P332" t="s">
        <v>331</v>
      </c>
      <c r="U332">
        <v>0.5</v>
      </c>
      <c r="V332">
        <v>0.151</v>
      </c>
      <c r="W332" t="s">
        <v>399</v>
      </c>
      <c r="Y332" t="s">
        <v>337</v>
      </c>
      <c r="AB332" t="s">
        <v>344</v>
      </c>
      <c r="AC332" t="s">
        <v>342</v>
      </c>
      <c r="AD332" s="34">
        <v>46.307445000000001</v>
      </c>
      <c r="AE332" s="34">
        <v>-84.307389999999998</v>
      </c>
      <c r="AF332" s="18">
        <v>40688.935416666667</v>
      </c>
      <c r="AG332" s="19">
        <v>40688.768750000003</v>
      </c>
      <c r="AH332" t="s">
        <v>161</v>
      </c>
      <c r="AL332" t="s">
        <v>335</v>
      </c>
      <c r="AM332" s="20">
        <v>40686</v>
      </c>
      <c r="AR332" s="39" t="s">
        <v>400</v>
      </c>
      <c r="AS332" s="39"/>
      <c r="AT332" s="39">
        <v>200</v>
      </c>
      <c r="AZ332" t="s">
        <v>108</v>
      </c>
      <c r="BC332" t="s">
        <v>336</v>
      </c>
    </row>
    <row r="333" spans="1:71" x14ac:dyDescent="0.25">
      <c r="A333" t="str">
        <f t="shared" si="5"/>
        <v>A69-1601-1097</v>
      </c>
      <c r="B333" t="s">
        <v>398</v>
      </c>
      <c r="C333" t="s">
        <v>324</v>
      </c>
      <c r="D333" t="s">
        <v>345</v>
      </c>
      <c r="F333">
        <v>1097</v>
      </c>
      <c r="G333" t="s">
        <v>346</v>
      </c>
      <c r="H333" t="s">
        <v>327</v>
      </c>
      <c r="I333" s="20">
        <v>40686</v>
      </c>
      <c r="J333">
        <v>101</v>
      </c>
      <c r="L333" t="s">
        <v>109</v>
      </c>
      <c r="M333" t="s">
        <v>328</v>
      </c>
      <c r="N333" t="s">
        <v>329</v>
      </c>
      <c r="O333" t="s">
        <v>330</v>
      </c>
      <c r="P333" t="s">
        <v>331</v>
      </c>
      <c r="U333">
        <v>0.51</v>
      </c>
      <c r="V333">
        <v>0.29799999999999999</v>
      </c>
      <c r="W333" t="s">
        <v>399</v>
      </c>
      <c r="Y333" t="s">
        <v>332</v>
      </c>
      <c r="AB333" t="s">
        <v>344</v>
      </c>
      <c r="AC333" t="s">
        <v>342</v>
      </c>
      <c r="AD333" s="34">
        <v>46.307445000000001</v>
      </c>
      <c r="AE333" s="34">
        <v>-84.307389999999998</v>
      </c>
      <c r="AF333" s="18">
        <v>40688.935416666667</v>
      </c>
      <c r="AG333" s="19">
        <v>40688.768750000003</v>
      </c>
      <c r="AH333" t="s">
        <v>161</v>
      </c>
      <c r="AL333" t="s">
        <v>335</v>
      </c>
      <c r="AM333" s="20">
        <v>40686</v>
      </c>
      <c r="AR333" s="39" t="s">
        <v>400</v>
      </c>
      <c r="AS333" s="39"/>
      <c r="AT333" s="39">
        <v>200</v>
      </c>
      <c r="AZ333" t="s">
        <v>108</v>
      </c>
      <c r="BC333" t="s">
        <v>163</v>
      </c>
      <c r="BD333" s="20">
        <v>40711</v>
      </c>
      <c r="BF333" s="21" t="s">
        <v>406</v>
      </c>
      <c r="BG333" s="38" t="s">
        <v>113</v>
      </c>
      <c r="BH333" s="1" t="s">
        <v>408</v>
      </c>
      <c r="BI333" s="1">
        <v>46.514783999999999</v>
      </c>
      <c r="BJ333" s="1">
        <v>-84.346945000000005</v>
      </c>
      <c r="BK333" s="1" t="s">
        <v>404</v>
      </c>
      <c r="BL333" s="1" t="s">
        <v>163</v>
      </c>
      <c r="BM333" s="1" t="s">
        <v>163</v>
      </c>
      <c r="BN333" s="1" t="s">
        <v>410</v>
      </c>
      <c r="BO333" s="39">
        <v>1683</v>
      </c>
      <c r="BP333" s="39">
        <v>1684</v>
      </c>
      <c r="BQ333" s="39" t="s">
        <v>332</v>
      </c>
      <c r="BR333" s="39">
        <v>492</v>
      </c>
      <c r="BS333" s="39">
        <v>284</v>
      </c>
    </row>
    <row r="334" spans="1:71" x14ac:dyDescent="0.25">
      <c r="A334" t="str">
        <f t="shared" si="5"/>
        <v>A69-1601-1098</v>
      </c>
      <c r="B334" t="s">
        <v>398</v>
      </c>
      <c r="C334" t="s">
        <v>324</v>
      </c>
      <c r="D334" t="s">
        <v>345</v>
      </c>
      <c r="F334">
        <v>1098</v>
      </c>
      <c r="G334" t="s">
        <v>346</v>
      </c>
      <c r="H334" t="s">
        <v>327</v>
      </c>
      <c r="I334" s="20">
        <v>40686</v>
      </c>
      <c r="J334">
        <v>101</v>
      </c>
      <c r="L334" t="s">
        <v>109</v>
      </c>
      <c r="M334" t="s">
        <v>328</v>
      </c>
      <c r="N334" t="s">
        <v>329</v>
      </c>
      <c r="O334" t="s">
        <v>330</v>
      </c>
      <c r="P334" t="s">
        <v>331</v>
      </c>
      <c r="U334">
        <v>0.51</v>
      </c>
      <c r="V334">
        <v>0.27100000000000002</v>
      </c>
      <c r="W334" t="s">
        <v>399</v>
      </c>
      <c r="Y334" t="s">
        <v>337</v>
      </c>
      <c r="AB334" t="s">
        <v>344</v>
      </c>
      <c r="AC334" t="s">
        <v>342</v>
      </c>
      <c r="AD334" s="34">
        <v>46.307445000000001</v>
      </c>
      <c r="AE334" s="34">
        <v>-84.307389999999998</v>
      </c>
      <c r="AF334" s="18">
        <v>40688.935416666667</v>
      </c>
      <c r="AG334" s="19">
        <v>40688.768750000003</v>
      </c>
      <c r="AH334" t="s">
        <v>161</v>
      </c>
      <c r="AL334" t="s">
        <v>335</v>
      </c>
      <c r="AM334" s="20">
        <v>40686</v>
      </c>
      <c r="AR334" s="39" t="s">
        <v>400</v>
      </c>
      <c r="AS334" s="39"/>
      <c r="AT334" s="39">
        <v>200</v>
      </c>
      <c r="AZ334" t="s">
        <v>108</v>
      </c>
      <c r="BC334" t="s">
        <v>336</v>
      </c>
    </row>
    <row r="335" spans="1:71" x14ac:dyDescent="0.25">
      <c r="A335" t="str">
        <f t="shared" si="5"/>
        <v>A69-1601-1099</v>
      </c>
      <c r="B335" t="s">
        <v>398</v>
      </c>
      <c r="C335" t="s">
        <v>324</v>
      </c>
      <c r="D335" t="s">
        <v>345</v>
      </c>
      <c r="F335">
        <v>1099</v>
      </c>
      <c r="G335" t="s">
        <v>346</v>
      </c>
      <c r="H335" t="s">
        <v>327</v>
      </c>
      <c r="I335" s="20">
        <v>40686</v>
      </c>
      <c r="J335">
        <v>101</v>
      </c>
      <c r="L335" t="s">
        <v>109</v>
      </c>
      <c r="M335" t="s">
        <v>328</v>
      </c>
      <c r="N335" t="s">
        <v>329</v>
      </c>
      <c r="O335" t="s">
        <v>330</v>
      </c>
      <c r="P335" t="s">
        <v>331</v>
      </c>
      <c r="U335">
        <v>0.51</v>
      </c>
      <c r="V335">
        <v>0.3</v>
      </c>
      <c r="W335" t="s">
        <v>399</v>
      </c>
      <c r="Y335" t="s">
        <v>337</v>
      </c>
      <c r="AB335" t="s">
        <v>344</v>
      </c>
      <c r="AC335" t="s">
        <v>342</v>
      </c>
      <c r="AD335" s="34">
        <v>46.307445000000001</v>
      </c>
      <c r="AE335" s="34">
        <v>-84.307389999999998</v>
      </c>
      <c r="AF335" s="18">
        <v>40688.935416666667</v>
      </c>
      <c r="AG335" s="19">
        <v>40688.768750000003</v>
      </c>
      <c r="AH335" t="s">
        <v>161</v>
      </c>
      <c r="AL335" t="s">
        <v>335</v>
      </c>
      <c r="AM335" s="20">
        <v>40686</v>
      </c>
      <c r="AR335" s="39" t="s">
        <v>400</v>
      </c>
      <c r="AS335" s="39"/>
      <c r="AT335" s="39">
        <v>200</v>
      </c>
      <c r="AZ335" t="s">
        <v>108</v>
      </c>
      <c r="BC335" t="s">
        <v>336</v>
      </c>
    </row>
    <row r="336" spans="1:71" x14ac:dyDescent="0.25">
      <c r="A336" t="str">
        <f t="shared" si="5"/>
        <v>A69-1601-1100</v>
      </c>
      <c r="B336" t="s">
        <v>398</v>
      </c>
      <c r="C336" t="s">
        <v>324</v>
      </c>
      <c r="D336" t="s">
        <v>345</v>
      </c>
      <c r="F336">
        <v>1100</v>
      </c>
      <c r="G336" t="s">
        <v>346</v>
      </c>
      <c r="H336" t="s">
        <v>327</v>
      </c>
      <c r="I336" s="20">
        <v>40686</v>
      </c>
      <c r="J336">
        <v>101</v>
      </c>
      <c r="L336" t="s">
        <v>109</v>
      </c>
      <c r="M336" t="s">
        <v>328</v>
      </c>
      <c r="N336" t="s">
        <v>329</v>
      </c>
      <c r="O336" t="s">
        <v>330</v>
      </c>
      <c r="P336" t="s">
        <v>331</v>
      </c>
      <c r="U336">
        <v>0.54</v>
      </c>
      <c r="V336">
        <v>0.307</v>
      </c>
      <c r="W336" t="s">
        <v>399</v>
      </c>
      <c r="Y336" t="s">
        <v>337</v>
      </c>
      <c r="AB336" t="s">
        <v>344</v>
      </c>
      <c r="AC336" t="s">
        <v>342</v>
      </c>
      <c r="AD336" s="34">
        <v>46.307445000000001</v>
      </c>
      <c r="AE336" s="34">
        <v>-84.307389999999998</v>
      </c>
      <c r="AF336" s="18">
        <v>40688.935416666667</v>
      </c>
      <c r="AG336" s="19">
        <v>40688.768750000003</v>
      </c>
      <c r="AH336" t="s">
        <v>161</v>
      </c>
      <c r="AL336" t="s">
        <v>335</v>
      </c>
      <c r="AM336" s="20">
        <v>40686</v>
      </c>
      <c r="AR336" s="39" t="s">
        <v>400</v>
      </c>
      <c r="AS336" s="39"/>
      <c r="AT336" s="39">
        <v>200</v>
      </c>
      <c r="AZ336" t="s">
        <v>108</v>
      </c>
      <c r="BC336" t="s">
        <v>336</v>
      </c>
    </row>
    <row r="337" spans="1:71" x14ac:dyDescent="0.25">
      <c r="A337" t="str">
        <f t="shared" si="5"/>
        <v>A69-1601-1101</v>
      </c>
      <c r="B337" t="s">
        <v>398</v>
      </c>
      <c r="C337" t="s">
        <v>324</v>
      </c>
      <c r="D337" t="s">
        <v>345</v>
      </c>
      <c r="F337">
        <v>1101</v>
      </c>
      <c r="G337" t="s">
        <v>346</v>
      </c>
      <c r="H337" t="s">
        <v>327</v>
      </c>
      <c r="I337" s="20">
        <v>40686</v>
      </c>
      <c r="J337">
        <v>101</v>
      </c>
      <c r="L337" t="s">
        <v>109</v>
      </c>
      <c r="M337" t="s">
        <v>328</v>
      </c>
      <c r="N337" t="s">
        <v>329</v>
      </c>
      <c r="O337" t="s">
        <v>330</v>
      </c>
      <c r="P337" t="s">
        <v>331</v>
      </c>
      <c r="U337">
        <v>0.5</v>
      </c>
      <c r="V337">
        <v>0.27800000000000002</v>
      </c>
      <c r="W337" t="s">
        <v>399</v>
      </c>
      <c r="Y337" t="s">
        <v>332</v>
      </c>
      <c r="AB337" t="s">
        <v>344</v>
      </c>
      <c r="AC337" t="s">
        <v>342</v>
      </c>
      <c r="AD337" s="34">
        <v>46.307445000000001</v>
      </c>
      <c r="AE337" s="34">
        <v>-84.307389999999998</v>
      </c>
      <c r="AF337" s="18">
        <v>40688.935416666667</v>
      </c>
      <c r="AG337" s="19">
        <v>40688.768750000003</v>
      </c>
      <c r="AH337" t="s">
        <v>161</v>
      </c>
      <c r="AL337" t="s">
        <v>335</v>
      </c>
      <c r="AM337" s="20">
        <v>40686</v>
      </c>
      <c r="AR337" s="39" t="s">
        <v>400</v>
      </c>
      <c r="AS337" s="39"/>
      <c r="AT337" s="39">
        <v>200</v>
      </c>
      <c r="AZ337" t="s">
        <v>108</v>
      </c>
      <c r="BC337" t="s">
        <v>163</v>
      </c>
      <c r="BD337" s="20">
        <v>40702</v>
      </c>
      <c r="BF337" s="21" t="s">
        <v>406</v>
      </c>
      <c r="BG337" s="38" t="s">
        <v>123</v>
      </c>
      <c r="BH337" s="1" t="s">
        <v>418</v>
      </c>
      <c r="BI337" s="39">
        <v>46.574117000000001</v>
      </c>
      <c r="BJ337" s="39">
        <v>-83.935387000000006</v>
      </c>
      <c r="BK337" s="1" t="s">
        <v>404</v>
      </c>
      <c r="BL337" s="1" t="s">
        <v>163</v>
      </c>
      <c r="BM337" s="1" t="s">
        <v>163</v>
      </c>
      <c r="BN337" s="1" t="s">
        <v>410</v>
      </c>
      <c r="BO337" s="39">
        <v>1702</v>
      </c>
      <c r="BP337" s="39">
        <v>1703</v>
      </c>
      <c r="BQ337" s="39" t="s">
        <v>332</v>
      </c>
      <c r="BR337" s="39">
        <v>491</v>
      </c>
      <c r="BS337" s="39">
        <v>265</v>
      </c>
    </row>
    <row r="338" spans="1:71" x14ac:dyDescent="0.25">
      <c r="A338" t="str">
        <f t="shared" si="5"/>
        <v>A69-1601-1102</v>
      </c>
      <c r="B338" t="s">
        <v>398</v>
      </c>
      <c r="C338" t="s">
        <v>324</v>
      </c>
      <c r="D338" t="s">
        <v>345</v>
      </c>
      <c r="F338">
        <v>1102</v>
      </c>
      <c r="G338" t="s">
        <v>346</v>
      </c>
      <c r="H338" t="s">
        <v>327</v>
      </c>
      <c r="I338" s="20">
        <v>40686</v>
      </c>
      <c r="J338">
        <v>101</v>
      </c>
      <c r="L338" t="s">
        <v>109</v>
      </c>
      <c r="M338" t="s">
        <v>328</v>
      </c>
      <c r="N338" t="s">
        <v>329</v>
      </c>
      <c r="O338" t="s">
        <v>330</v>
      </c>
      <c r="P338" t="s">
        <v>331</v>
      </c>
      <c r="U338">
        <v>0.53</v>
      </c>
      <c r="V338">
        <v>0.27500000000000002</v>
      </c>
      <c r="W338" t="s">
        <v>399</v>
      </c>
      <c r="Y338" t="s">
        <v>337</v>
      </c>
      <c r="AB338" t="s">
        <v>344</v>
      </c>
      <c r="AC338" t="s">
        <v>342</v>
      </c>
      <c r="AD338" s="34">
        <v>46.307445000000001</v>
      </c>
      <c r="AE338" s="34">
        <v>-84.307389999999998</v>
      </c>
      <c r="AF338" s="18">
        <v>40688.935416666667</v>
      </c>
      <c r="AG338" s="19">
        <v>40688.768750000003</v>
      </c>
      <c r="AH338" t="s">
        <v>161</v>
      </c>
      <c r="AL338" t="s">
        <v>335</v>
      </c>
      <c r="AM338" s="20">
        <v>40686</v>
      </c>
      <c r="AR338" s="39" t="s">
        <v>400</v>
      </c>
      <c r="AS338" s="39"/>
      <c r="AT338" s="39">
        <v>200</v>
      </c>
      <c r="AZ338" t="s">
        <v>108</v>
      </c>
      <c r="BC338" t="s">
        <v>336</v>
      </c>
    </row>
    <row r="339" spans="1:71" x14ac:dyDescent="0.25">
      <c r="A339" t="str">
        <f t="shared" si="5"/>
        <v>A69-1601-1103</v>
      </c>
      <c r="B339" t="s">
        <v>398</v>
      </c>
      <c r="C339" t="s">
        <v>324</v>
      </c>
      <c r="D339" t="s">
        <v>345</v>
      </c>
      <c r="F339">
        <v>1103</v>
      </c>
      <c r="G339" t="s">
        <v>346</v>
      </c>
      <c r="H339" t="s">
        <v>327</v>
      </c>
      <c r="I339" s="20">
        <v>40686</v>
      </c>
      <c r="J339">
        <v>101</v>
      </c>
      <c r="L339" t="s">
        <v>109</v>
      </c>
      <c r="M339" t="s">
        <v>328</v>
      </c>
      <c r="N339" t="s">
        <v>329</v>
      </c>
      <c r="O339" t="s">
        <v>330</v>
      </c>
      <c r="P339" t="s">
        <v>331</v>
      </c>
      <c r="U339">
        <v>0.55000000000000004</v>
      </c>
      <c r="V339">
        <v>0.29899999999999999</v>
      </c>
      <c r="W339" t="s">
        <v>399</v>
      </c>
      <c r="Y339" t="s">
        <v>332</v>
      </c>
      <c r="AB339" t="s">
        <v>344</v>
      </c>
      <c r="AC339" t="s">
        <v>342</v>
      </c>
      <c r="AD339" s="34">
        <v>46.307445000000001</v>
      </c>
      <c r="AE339" s="34">
        <v>-84.307389999999998</v>
      </c>
      <c r="AF339" s="18">
        <v>40688.935416666667</v>
      </c>
      <c r="AG339" s="19">
        <v>40688.768750000003</v>
      </c>
      <c r="AH339" t="s">
        <v>161</v>
      </c>
      <c r="AL339" t="s">
        <v>335</v>
      </c>
      <c r="AM339" s="20">
        <v>40686</v>
      </c>
      <c r="AR339" s="39" t="s">
        <v>400</v>
      </c>
      <c r="AS339" s="39"/>
      <c r="AT339" s="39">
        <v>200</v>
      </c>
      <c r="AZ339" t="s">
        <v>108</v>
      </c>
      <c r="BC339" t="s">
        <v>336</v>
      </c>
    </row>
    <row r="340" spans="1:71" x14ac:dyDescent="0.25">
      <c r="A340" t="str">
        <f t="shared" si="5"/>
        <v>A69-1601-1104</v>
      </c>
      <c r="B340" t="s">
        <v>398</v>
      </c>
      <c r="C340" t="s">
        <v>324</v>
      </c>
      <c r="D340" t="s">
        <v>345</v>
      </c>
      <c r="F340">
        <v>1104</v>
      </c>
      <c r="G340" t="s">
        <v>346</v>
      </c>
      <c r="H340" t="s">
        <v>327</v>
      </c>
      <c r="I340" s="20">
        <v>40686</v>
      </c>
      <c r="J340">
        <v>101</v>
      </c>
      <c r="L340" t="s">
        <v>109</v>
      </c>
      <c r="M340" t="s">
        <v>328</v>
      </c>
      <c r="N340" t="s">
        <v>329</v>
      </c>
      <c r="O340" t="s">
        <v>330</v>
      </c>
      <c r="P340" t="s">
        <v>331</v>
      </c>
      <c r="U340">
        <v>0.47</v>
      </c>
      <c r="V340">
        <v>0.224</v>
      </c>
      <c r="W340" t="s">
        <v>399</v>
      </c>
      <c r="Y340" t="s">
        <v>332</v>
      </c>
      <c r="AB340" t="s">
        <v>344</v>
      </c>
      <c r="AC340" t="s">
        <v>342</v>
      </c>
      <c r="AD340" s="34">
        <v>46.307445000000001</v>
      </c>
      <c r="AE340" s="34">
        <v>-84.307389999999998</v>
      </c>
      <c r="AF340" s="18">
        <v>40688.935416666667</v>
      </c>
      <c r="AG340" s="19">
        <v>40688.768750000003</v>
      </c>
      <c r="AH340" t="s">
        <v>161</v>
      </c>
      <c r="AL340" t="s">
        <v>335</v>
      </c>
      <c r="AM340" s="20">
        <v>40686</v>
      </c>
      <c r="AR340" s="39" t="s">
        <v>400</v>
      </c>
      <c r="AS340" s="39"/>
      <c r="AT340" s="39">
        <v>200</v>
      </c>
      <c r="AZ340" t="s">
        <v>108</v>
      </c>
      <c r="BC340" t="s">
        <v>336</v>
      </c>
    </row>
    <row r="341" spans="1:71" x14ac:dyDescent="0.25">
      <c r="A341" t="str">
        <f t="shared" si="5"/>
        <v>A69-1601-1105</v>
      </c>
      <c r="B341" t="s">
        <v>398</v>
      </c>
      <c r="C341" t="s">
        <v>324</v>
      </c>
      <c r="D341" t="s">
        <v>345</v>
      </c>
      <c r="F341">
        <v>1105</v>
      </c>
      <c r="G341" t="s">
        <v>346</v>
      </c>
      <c r="H341" t="s">
        <v>327</v>
      </c>
      <c r="I341" s="20">
        <v>40686</v>
      </c>
      <c r="J341">
        <v>101</v>
      </c>
      <c r="L341" t="s">
        <v>109</v>
      </c>
      <c r="M341" t="s">
        <v>328</v>
      </c>
      <c r="N341" t="s">
        <v>329</v>
      </c>
      <c r="O341" t="s">
        <v>330</v>
      </c>
      <c r="P341" t="s">
        <v>331</v>
      </c>
      <c r="U341">
        <v>0.51</v>
      </c>
      <c r="V341">
        <v>0.30399999999999999</v>
      </c>
      <c r="W341" t="s">
        <v>399</v>
      </c>
      <c r="Y341" t="s">
        <v>332</v>
      </c>
      <c r="AB341" t="s">
        <v>344</v>
      </c>
      <c r="AC341" t="s">
        <v>342</v>
      </c>
      <c r="AD341" s="34">
        <v>46.307445000000001</v>
      </c>
      <c r="AE341" s="34">
        <v>-84.307389999999998</v>
      </c>
      <c r="AF341" s="18">
        <v>40688.935416666667</v>
      </c>
      <c r="AG341" s="19">
        <v>40688.768750000003</v>
      </c>
      <c r="AH341" t="s">
        <v>161</v>
      </c>
      <c r="AL341" t="s">
        <v>335</v>
      </c>
      <c r="AM341" s="20">
        <v>40686</v>
      </c>
      <c r="AR341" s="39" t="s">
        <v>400</v>
      </c>
      <c r="AS341" s="39"/>
      <c r="AT341" s="39">
        <v>200</v>
      </c>
      <c r="AZ341" t="s">
        <v>108</v>
      </c>
      <c r="BC341" t="s">
        <v>336</v>
      </c>
    </row>
    <row r="342" spans="1:71" x14ac:dyDescent="0.25">
      <c r="A342" t="str">
        <f t="shared" si="5"/>
        <v>A69-1601-1106</v>
      </c>
      <c r="B342" t="s">
        <v>398</v>
      </c>
      <c r="C342" t="s">
        <v>324</v>
      </c>
      <c r="D342" t="s">
        <v>345</v>
      </c>
      <c r="F342">
        <v>1106</v>
      </c>
      <c r="G342" t="s">
        <v>346</v>
      </c>
      <c r="H342" t="s">
        <v>327</v>
      </c>
      <c r="I342" s="20">
        <v>40686</v>
      </c>
      <c r="J342">
        <v>101</v>
      </c>
      <c r="L342" t="s">
        <v>109</v>
      </c>
      <c r="M342" t="s">
        <v>328</v>
      </c>
      <c r="N342" t="s">
        <v>329</v>
      </c>
      <c r="O342" t="s">
        <v>330</v>
      </c>
      <c r="P342" t="s">
        <v>331</v>
      </c>
      <c r="U342">
        <v>0.51</v>
      </c>
      <c r="V342">
        <v>0.27800000000000002</v>
      </c>
      <c r="W342" t="s">
        <v>399</v>
      </c>
      <c r="Y342" t="s">
        <v>332</v>
      </c>
      <c r="AB342" t="s">
        <v>344</v>
      </c>
      <c r="AC342" t="s">
        <v>342</v>
      </c>
      <c r="AD342" s="34">
        <v>46.307445000000001</v>
      </c>
      <c r="AE342" s="34">
        <v>-84.307389999999998</v>
      </c>
      <c r="AF342" s="18">
        <v>40688.935416666667</v>
      </c>
      <c r="AG342" s="19">
        <v>40688.768750000003</v>
      </c>
      <c r="AH342" t="s">
        <v>161</v>
      </c>
      <c r="AL342" t="s">
        <v>335</v>
      </c>
      <c r="AM342" s="20">
        <v>40686</v>
      </c>
      <c r="AR342" s="39" t="s">
        <v>400</v>
      </c>
      <c r="AS342" s="39"/>
      <c r="AT342" s="39">
        <v>200</v>
      </c>
      <c r="AZ342" t="s">
        <v>108</v>
      </c>
      <c r="BC342" t="s">
        <v>336</v>
      </c>
    </row>
    <row r="343" spans="1:71" x14ac:dyDescent="0.25">
      <c r="A343" t="str">
        <f t="shared" si="5"/>
        <v>A69-1601-1107</v>
      </c>
      <c r="B343" t="s">
        <v>398</v>
      </c>
      <c r="C343" t="s">
        <v>324</v>
      </c>
      <c r="D343" t="s">
        <v>345</v>
      </c>
      <c r="F343">
        <v>1107</v>
      </c>
      <c r="G343" t="s">
        <v>346</v>
      </c>
      <c r="H343" t="s">
        <v>327</v>
      </c>
      <c r="I343" s="20">
        <v>40686</v>
      </c>
      <c r="J343">
        <v>101</v>
      </c>
      <c r="L343" t="s">
        <v>109</v>
      </c>
      <c r="M343" t="s">
        <v>328</v>
      </c>
      <c r="N343" t="s">
        <v>329</v>
      </c>
      <c r="O343" t="s">
        <v>330</v>
      </c>
      <c r="P343" t="s">
        <v>331</v>
      </c>
      <c r="U343">
        <v>0.53</v>
      </c>
      <c r="V343">
        <v>0.27300000000000002</v>
      </c>
      <c r="W343" t="s">
        <v>399</v>
      </c>
      <c r="Y343" t="s">
        <v>332</v>
      </c>
      <c r="AB343" t="s">
        <v>344</v>
      </c>
      <c r="AC343" t="s">
        <v>342</v>
      </c>
      <c r="AD343" s="34">
        <v>46.307445000000001</v>
      </c>
      <c r="AE343" s="34">
        <v>-84.307389999999998</v>
      </c>
      <c r="AF343" s="18">
        <v>40688.935416666667</v>
      </c>
      <c r="AG343" s="19">
        <v>40688.768750000003</v>
      </c>
      <c r="AH343" t="s">
        <v>161</v>
      </c>
      <c r="AL343" t="s">
        <v>335</v>
      </c>
      <c r="AM343" s="20">
        <v>40686</v>
      </c>
      <c r="AR343" s="39" t="s">
        <v>400</v>
      </c>
      <c r="AS343" s="39"/>
      <c r="AT343" s="39">
        <v>200</v>
      </c>
      <c r="AZ343" t="s">
        <v>108</v>
      </c>
      <c r="BC343" t="s">
        <v>336</v>
      </c>
    </row>
    <row r="344" spans="1:71" x14ac:dyDescent="0.25">
      <c r="A344" t="str">
        <f t="shared" si="5"/>
        <v>A69-1601-1108</v>
      </c>
      <c r="B344" t="s">
        <v>398</v>
      </c>
      <c r="C344" t="s">
        <v>324</v>
      </c>
      <c r="D344" t="s">
        <v>345</v>
      </c>
      <c r="F344">
        <v>1108</v>
      </c>
      <c r="G344" t="s">
        <v>346</v>
      </c>
      <c r="H344" t="s">
        <v>327</v>
      </c>
      <c r="I344" s="20">
        <v>40686</v>
      </c>
      <c r="J344">
        <v>101</v>
      </c>
      <c r="L344" t="s">
        <v>109</v>
      </c>
      <c r="M344" t="s">
        <v>328</v>
      </c>
      <c r="N344" t="s">
        <v>329</v>
      </c>
      <c r="O344" t="s">
        <v>330</v>
      </c>
      <c r="P344" t="s">
        <v>331</v>
      </c>
      <c r="U344">
        <v>0.47</v>
      </c>
      <c r="V344">
        <v>0.248</v>
      </c>
      <c r="W344" t="s">
        <v>399</v>
      </c>
      <c r="Y344" t="s">
        <v>332</v>
      </c>
      <c r="AB344" t="s">
        <v>344</v>
      </c>
      <c r="AC344" t="s">
        <v>342</v>
      </c>
      <c r="AD344" s="34">
        <v>46.307445000000001</v>
      </c>
      <c r="AE344" s="34">
        <v>-84.307389999999998</v>
      </c>
      <c r="AF344" s="18">
        <v>40688.935416666667</v>
      </c>
      <c r="AG344" s="19">
        <v>40688.768750000003</v>
      </c>
      <c r="AH344" t="s">
        <v>161</v>
      </c>
      <c r="AL344" t="s">
        <v>335</v>
      </c>
      <c r="AM344" s="20">
        <v>40686</v>
      </c>
      <c r="AR344" s="39" t="s">
        <v>400</v>
      </c>
      <c r="AS344" s="39"/>
      <c r="AT344" s="39">
        <v>200</v>
      </c>
      <c r="AZ344" t="s">
        <v>108</v>
      </c>
      <c r="BC344" t="s">
        <v>163</v>
      </c>
      <c r="BD344" s="20">
        <v>40704</v>
      </c>
      <c r="BF344" s="21" t="s">
        <v>406</v>
      </c>
      <c r="BG344" s="38" t="s">
        <v>123</v>
      </c>
      <c r="BH344" s="1" t="s">
        <v>418</v>
      </c>
      <c r="BI344" s="39">
        <v>46.574117000000001</v>
      </c>
      <c r="BJ344" s="39">
        <v>-83.935387000000006</v>
      </c>
      <c r="BK344" s="1" t="s">
        <v>404</v>
      </c>
      <c r="BL344" s="1" t="s">
        <v>163</v>
      </c>
      <c r="BM344" s="1" t="s">
        <v>163</v>
      </c>
      <c r="BN344" s="1" t="s">
        <v>410</v>
      </c>
      <c r="BO344" s="39">
        <v>1745</v>
      </c>
      <c r="BP344" s="39">
        <v>1745</v>
      </c>
      <c r="BQ344" s="39" t="s">
        <v>332</v>
      </c>
      <c r="BR344" s="39">
        <v>465</v>
      </c>
      <c r="BS344" s="39">
        <v>232</v>
      </c>
    </row>
    <row r="345" spans="1:71" x14ac:dyDescent="0.25">
      <c r="A345" t="str">
        <f t="shared" si="5"/>
        <v>A69-1601-1109</v>
      </c>
      <c r="B345" t="s">
        <v>398</v>
      </c>
      <c r="C345" t="s">
        <v>324</v>
      </c>
      <c r="D345" t="s">
        <v>345</v>
      </c>
      <c r="F345">
        <v>1109</v>
      </c>
      <c r="G345" t="s">
        <v>346</v>
      </c>
      <c r="H345" t="s">
        <v>327</v>
      </c>
      <c r="I345" s="20">
        <v>40686</v>
      </c>
      <c r="J345">
        <v>101</v>
      </c>
      <c r="L345" t="s">
        <v>109</v>
      </c>
      <c r="M345" t="s">
        <v>328</v>
      </c>
      <c r="N345" t="s">
        <v>329</v>
      </c>
      <c r="O345" t="s">
        <v>330</v>
      </c>
      <c r="P345" t="s">
        <v>331</v>
      </c>
      <c r="U345">
        <v>0.51</v>
      </c>
      <c r="V345">
        <v>0.28100000000000003</v>
      </c>
      <c r="W345" t="s">
        <v>399</v>
      </c>
      <c r="Y345" t="s">
        <v>332</v>
      </c>
      <c r="AB345" t="s">
        <v>344</v>
      </c>
      <c r="AC345" t="s">
        <v>342</v>
      </c>
      <c r="AD345" s="34">
        <v>46.307445000000001</v>
      </c>
      <c r="AE345" s="34">
        <v>-84.307389999999998</v>
      </c>
      <c r="AF345" s="18">
        <v>40688.935416666667</v>
      </c>
      <c r="AG345" s="19">
        <v>40688.768750000003</v>
      </c>
      <c r="AH345" t="s">
        <v>161</v>
      </c>
      <c r="AL345" t="s">
        <v>335</v>
      </c>
      <c r="AM345" s="20">
        <v>40686</v>
      </c>
      <c r="AR345" s="39" t="s">
        <v>400</v>
      </c>
      <c r="AS345" s="39"/>
      <c r="AT345" s="39">
        <v>200</v>
      </c>
      <c r="AZ345" t="s">
        <v>108</v>
      </c>
      <c r="BC345" t="s">
        <v>336</v>
      </c>
    </row>
    <row r="346" spans="1:71" x14ac:dyDescent="0.25">
      <c r="A346" t="str">
        <f t="shared" si="5"/>
        <v>A69-1601-1110</v>
      </c>
      <c r="B346" t="s">
        <v>398</v>
      </c>
      <c r="C346" t="s">
        <v>324</v>
      </c>
      <c r="D346" t="s">
        <v>345</v>
      </c>
      <c r="F346">
        <v>1110</v>
      </c>
      <c r="G346" t="s">
        <v>346</v>
      </c>
      <c r="H346" t="s">
        <v>327</v>
      </c>
      <c r="I346" s="20">
        <v>40686</v>
      </c>
      <c r="J346">
        <v>101</v>
      </c>
      <c r="L346" t="s">
        <v>109</v>
      </c>
      <c r="M346" t="s">
        <v>328</v>
      </c>
      <c r="N346" t="s">
        <v>329</v>
      </c>
      <c r="O346" t="s">
        <v>330</v>
      </c>
      <c r="P346" t="s">
        <v>331</v>
      </c>
      <c r="U346">
        <v>0.5</v>
      </c>
      <c r="V346">
        <v>0.29899999999999999</v>
      </c>
      <c r="W346" t="s">
        <v>399</v>
      </c>
      <c r="Y346" t="s">
        <v>332</v>
      </c>
      <c r="AB346" t="s">
        <v>344</v>
      </c>
      <c r="AC346" t="s">
        <v>342</v>
      </c>
      <c r="AD346" s="34">
        <v>46.307445000000001</v>
      </c>
      <c r="AE346" s="34">
        <v>-84.307389999999998</v>
      </c>
      <c r="AF346" s="18">
        <v>40688.935416666667</v>
      </c>
      <c r="AG346" s="19">
        <v>40688.768750000003</v>
      </c>
      <c r="AH346" t="s">
        <v>161</v>
      </c>
      <c r="AL346" t="s">
        <v>335</v>
      </c>
      <c r="AM346" s="20">
        <v>40686</v>
      </c>
      <c r="AR346" s="39" t="s">
        <v>400</v>
      </c>
      <c r="AS346" s="39"/>
      <c r="AT346" s="39">
        <v>200</v>
      </c>
      <c r="AZ346" t="s">
        <v>108</v>
      </c>
      <c r="BC346" t="s">
        <v>336</v>
      </c>
    </row>
    <row r="347" spans="1:71" x14ac:dyDescent="0.25">
      <c r="A347" t="str">
        <f t="shared" si="5"/>
        <v>A69-1601-1111</v>
      </c>
      <c r="B347" t="s">
        <v>398</v>
      </c>
      <c r="C347" t="s">
        <v>324</v>
      </c>
      <c r="D347" t="s">
        <v>345</v>
      </c>
      <c r="F347">
        <v>1111</v>
      </c>
      <c r="G347" t="s">
        <v>346</v>
      </c>
      <c r="H347" t="s">
        <v>327</v>
      </c>
      <c r="I347" s="20">
        <v>40686</v>
      </c>
      <c r="J347">
        <v>101</v>
      </c>
      <c r="L347" t="s">
        <v>109</v>
      </c>
      <c r="M347" t="s">
        <v>328</v>
      </c>
      <c r="N347" t="s">
        <v>329</v>
      </c>
      <c r="O347" t="s">
        <v>330</v>
      </c>
      <c r="P347" t="s">
        <v>331</v>
      </c>
      <c r="U347">
        <v>0.48</v>
      </c>
      <c r="V347">
        <v>0.246</v>
      </c>
      <c r="W347" t="s">
        <v>399</v>
      </c>
      <c r="Y347" t="s">
        <v>332</v>
      </c>
      <c r="AB347" t="s">
        <v>344</v>
      </c>
      <c r="AC347" t="s">
        <v>342</v>
      </c>
      <c r="AD347" s="34">
        <v>46.307445000000001</v>
      </c>
      <c r="AE347" s="34">
        <v>-84.307389999999998</v>
      </c>
      <c r="AF347" s="18">
        <v>40688.935416666667</v>
      </c>
      <c r="AG347" s="19">
        <v>40688.768750000003</v>
      </c>
      <c r="AH347" t="s">
        <v>161</v>
      </c>
      <c r="AL347" t="s">
        <v>335</v>
      </c>
      <c r="AM347" s="20">
        <v>40686</v>
      </c>
      <c r="AR347" s="39" t="s">
        <v>400</v>
      </c>
      <c r="AS347" s="39"/>
      <c r="AT347" s="39">
        <v>200</v>
      </c>
      <c r="AZ347" t="s">
        <v>108</v>
      </c>
      <c r="BC347" t="s">
        <v>336</v>
      </c>
    </row>
    <row r="348" spans="1:71" x14ac:dyDescent="0.25">
      <c r="A348" t="str">
        <f t="shared" si="5"/>
        <v>A69-1601-1112</v>
      </c>
      <c r="B348" t="s">
        <v>398</v>
      </c>
      <c r="C348" t="s">
        <v>324</v>
      </c>
      <c r="D348" t="s">
        <v>345</v>
      </c>
      <c r="F348">
        <v>1112</v>
      </c>
      <c r="G348" t="s">
        <v>346</v>
      </c>
      <c r="H348" t="s">
        <v>327</v>
      </c>
      <c r="I348" s="20">
        <v>40686</v>
      </c>
      <c r="J348">
        <v>101</v>
      </c>
      <c r="L348" t="s">
        <v>109</v>
      </c>
      <c r="M348" t="s">
        <v>328</v>
      </c>
      <c r="N348" t="s">
        <v>329</v>
      </c>
      <c r="O348" t="s">
        <v>330</v>
      </c>
      <c r="P348" t="s">
        <v>331</v>
      </c>
      <c r="U348">
        <v>0.5</v>
      </c>
      <c r="V348">
        <v>0.30499999999999999</v>
      </c>
      <c r="W348" t="s">
        <v>399</v>
      </c>
      <c r="Y348" t="s">
        <v>332</v>
      </c>
      <c r="AB348" t="s">
        <v>344</v>
      </c>
      <c r="AC348" t="s">
        <v>342</v>
      </c>
      <c r="AD348" s="34">
        <v>46.307445000000001</v>
      </c>
      <c r="AE348" s="34">
        <v>-84.307389999999998</v>
      </c>
      <c r="AF348" s="18">
        <v>40688.935416666667</v>
      </c>
      <c r="AG348" s="19">
        <v>40688.768750000003</v>
      </c>
      <c r="AH348" t="s">
        <v>161</v>
      </c>
      <c r="AL348" t="s">
        <v>335</v>
      </c>
      <c r="AM348" s="20">
        <v>40686</v>
      </c>
      <c r="AR348" s="39" t="s">
        <v>400</v>
      </c>
      <c r="AS348" s="39"/>
      <c r="AT348" s="39">
        <v>200</v>
      </c>
      <c r="AZ348" t="s">
        <v>108</v>
      </c>
      <c r="BC348" t="s">
        <v>163</v>
      </c>
      <c r="BD348" s="20">
        <v>40704</v>
      </c>
      <c r="BF348" s="21" t="s">
        <v>406</v>
      </c>
      <c r="BG348" s="38" t="s">
        <v>123</v>
      </c>
      <c r="BH348" s="1" t="s">
        <v>418</v>
      </c>
      <c r="BI348" s="39">
        <v>46.574117000000001</v>
      </c>
      <c r="BJ348" s="39">
        <v>-83.935387000000006</v>
      </c>
      <c r="BK348" s="1" t="s">
        <v>404</v>
      </c>
      <c r="BL348" s="1" t="s">
        <v>163</v>
      </c>
      <c r="BM348" s="1" t="s">
        <v>163</v>
      </c>
      <c r="BN348" s="1" t="s">
        <v>410</v>
      </c>
      <c r="BO348" s="39">
        <v>1764</v>
      </c>
      <c r="BP348" s="39">
        <v>1765</v>
      </c>
      <c r="BQ348" s="39" t="s">
        <v>332</v>
      </c>
      <c r="BR348" s="39">
        <v>505</v>
      </c>
      <c r="BS348" s="39">
        <v>275</v>
      </c>
    </row>
    <row r="349" spans="1:71" x14ac:dyDescent="0.25">
      <c r="A349" t="str">
        <f t="shared" si="5"/>
        <v>A69-1601-1113</v>
      </c>
      <c r="B349" t="s">
        <v>398</v>
      </c>
      <c r="C349" t="s">
        <v>324</v>
      </c>
      <c r="D349" t="s">
        <v>345</v>
      </c>
      <c r="F349">
        <v>1113</v>
      </c>
      <c r="G349" t="s">
        <v>346</v>
      </c>
      <c r="H349" t="s">
        <v>327</v>
      </c>
      <c r="I349" s="20">
        <v>40686</v>
      </c>
      <c r="J349">
        <v>101</v>
      </c>
      <c r="L349" t="s">
        <v>109</v>
      </c>
      <c r="M349" t="s">
        <v>328</v>
      </c>
      <c r="N349" t="s">
        <v>329</v>
      </c>
      <c r="O349" t="s">
        <v>330</v>
      </c>
      <c r="P349" t="s">
        <v>331</v>
      </c>
      <c r="U349">
        <v>0.49</v>
      </c>
      <c r="V349">
        <v>0.24</v>
      </c>
      <c r="W349" t="s">
        <v>399</v>
      </c>
      <c r="Y349" t="s">
        <v>332</v>
      </c>
      <c r="AB349" t="s">
        <v>344</v>
      </c>
      <c r="AC349" t="s">
        <v>342</v>
      </c>
      <c r="AD349" s="34">
        <v>46.307445000000001</v>
      </c>
      <c r="AE349" s="34">
        <v>-84.307389999999998</v>
      </c>
      <c r="AF349" s="18">
        <v>40688.935416666667</v>
      </c>
      <c r="AG349" s="19">
        <v>40688.768750000003</v>
      </c>
      <c r="AH349" t="s">
        <v>161</v>
      </c>
      <c r="AL349" t="s">
        <v>335</v>
      </c>
      <c r="AM349" s="20">
        <v>40686</v>
      </c>
      <c r="AR349" s="39" t="s">
        <v>400</v>
      </c>
      <c r="AS349" s="39"/>
      <c r="AT349" s="39">
        <v>200</v>
      </c>
      <c r="AZ349" t="s">
        <v>108</v>
      </c>
      <c r="BC349" t="s">
        <v>336</v>
      </c>
    </row>
    <row r="350" spans="1:71" x14ac:dyDescent="0.25">
      <c r="A350" t="str">
        <f t="shared" si="5"/>
        <v>A69-1601-1114</v>
      </c>
      <c r="B350" t="s">
        <v>398</v>
      </c>
      <c r="C350" t="s">
        <v>324</v>
      </c>
      <c r="D350" t="s">
        <v>345</v>
      </c>
      <c r="F350">
        <v>1114</v>
      </c>
      <c r="G350" t="s">
        <v>346</v>
      </c>
      <c r="H350" t="s">
        <v>327</v>
      </c>
      <c r="I350" s="20">
        <v>40686</v>
      </c>
      <c r="J350">
        <v>101</v>
      </c>
      <c r="L350" t="s">
        <v>109</v>
      </c>
      <c r="M350" t="s">
        <v>328</v>
      </c>
      <c r="N350" t="s">
        <v>329</v>
      </c>
      <c r="O350" t="s">
        <v>330</v>
      </c>
      <c r="P350" t="s">
        <v>331</v>
      </c>
      <c r="U350">
        <v>0.5</v>
      </c>
      <c r="V350">
        <v>0.27700000000000002</v>
      </c>
      <c r="W350" t="s">
        <v>399</v>
      </c>
      <c r="Y350" t="s">
        <v>332</v>
      </c>
      <c r="AB350" t="s">
        <v>344</v>
      </c>
      <c r="AC350" t="s">
        <v>342</v>
      </c>
      <c r="AD350" s="34">
        <v>46.307445000000001</v>
      </c>
      <c r="AE350" s="34">
        <v>-84.307389999999998</v>
      </c>
      <c r="AF350" s="18">
        <v>40688.935416666667</v>
      </c>
      <c r="AG350" s="19">
        <v>40688.768750000003</v>
      </c>
      <c r="AH350" t="s">
        <v>161</v>
      </c>
      <c r="AL350" t="s">
        <v>335</v>
      </c>
      <c r="AM350" s="20">
        <v>40686</v>
      </c>
      <c r="AR350" s="39" t="s">
        <v>400</v>
      </c>
      <c r="AS350" s="39"/>
      <c r="AT350" s="39">
        <v>200</v>
      </c>
      <c r="AZ350" t="s">
        <v>108</v>
      </c>
      <c r="BC350" t="s">
        <v>336</v>
      </c>
    </row>
    <row r="351" spans="1:71" x14ac:dyDescent="0.25">
      <c r="A351" t="str">
        <f t="shared" si="5"/>
        <v>A69-1601-1115</v>
      </c>
      <c r="B351" t="s">
        <v>398</v>
      </c>
      <c r="C351" t="s">
        <v>324</v>
      </c>
      <c r="D351" t="s">
        <v>345</v>
      </c>
      <c r="F351">
        <v>1115</v>
      </c>
      <c r="G351" t="s">
        <v>346</v>
      </c>
      <c r="H351" t="s">
        <v>327</v>
      </c>
      <c r="I351" s="20">
        <v>40680</v>
      </c>
      <c r="J351">
        <v>101</v>
      </c>
      <c r="L351" t="s">
        <v>109</v>
      </c>
      <c r="M351" t="s">
        <v>328</v>
      </c>
      <c r="N351" t="s">
        <v>329</v>
      </c>
      <c r="O351" t="s">
        <v>330</v>
      </c>
      <c r="P351" t="s">
        <v>331</v>
      </c>
      <c r="U351">
        <v>0.53</v>
      </c>
      <c r="V351">
        <v>0.27700000000000002</v>
      </c>
      <c r="W351" t="s">
        <v>399</v>
      </c>
      <c r="Y351" t="s">
        <v>332</v>
      </c>
      <c r="AB351" t="s">
        <v>343</v>
      </c>
      <c r="AC351" t="s">
        <v>342</v>
      </c>
      <c r="AD351" s="34">
        <v>46.306796669999997</v>
      </c>
      <c r="AE351" s="34">
        <v>-84.061593329999994</v>
      </c>
      <c r="AF351" s="18">
        <v>40683.040277777778</v>
      </c>
      <c r="AG351" s="19">
        <v>40682.873611111114</v>
      </c>
      <c r="AH351" t="s">
        <v>161</v>
      </c>
      <c r="AL351" t="s">
        <v>335</v>
      </c>
      <c r="AM351" s="20">
        <v>40680</v>
      </c>
      <c r="AR351" s="39" t="s">
        <v>400</v>
      </c>
      <c r="AS351" s="39"/>
      <c r="AT351" s="39">
        <v>200</v>
      </c>
      <c r="AZ351" t="s">
        <v>108</v>
      </c>
      <c r="BC351" t="s">
        <v>336</v>
      </c>
    </row>
    <row r="352" spans="1:71" x14ac:dyDescent="0.25">
      <c r="A352" t="str">
        <f t="shared" si="5"/>
        <v>A69-1601-1116</v>
      </c>
      <c r="B352" t="s">
        <v>398</v>
      </c>
      <c r="C352" t="s">
        <v>324</v>
      </c>
      <c r="D352" t="s">
        <v>345</v>
      </c>
      <c r="F352">
        <v>1116</v>
      </c>
      <c r="G352" t="s">
        <v>346</v>
      </c>
      <c r="H352" t="s">
        <v>327</v>
      </c>
      <c r="I352" s="20">
        <v>40680</v>
      </c>
      <c r="J352">
        <v>101</v>
      </c>
      <c r="L352" t="s">
        <v>109</v>
      </c>
      <c r="M352" t="s">
        <v>328</v>
      </c>
      <c r="N352" t="s">
        <v>329</v>
      </c>
      <c r="O352" t="s">
        <v>330</v>
      </c>
      <c r="P352" t="s">
        <v>331</v>
      </c>
      <c r="U352">
        <v>0.55000000000000004</v>
      </c>
      <c r="V352">
        <v>0.35599999999999998</v>
      </c>
      <c r="W352" t="s">
        <v>399</v>
      </c>
      <c r="Y352" t="s">
        <v>332</v>
      </c>
      <c r="AB352" t="s">
        <v>343</v>
      </c>
      <c r="AC352" t="s">
        <v>342</v>
      </c>
      <c r="AD352" s="34">
        <v>46.306796669999997</v>
      </c>
      <c r="AE352" s="34">
        <v>-84.061593329999994</v>
      </c>
      <c r="AF352" s="18">
        <v>40683.040277777778</v>
      </c>
      <c r="AG352" s="19">
        <v>40682.873611111114</v>
      </c>
      <c r="AH352" t="s">
        <v>161</v>
      </c>
      <c r="AL352" t="s">
        <v>335</v>
      </c>
      <c r="AM352" s="20">
        <v>40680</v>
      </c>
      <c r="AR352" s="39" t="s">
        <v>400</v>
      </c>
      <c r="AS352" s="39"/>
      <c r="AT352" s="39">
        <v>200</v>
      </c>
      <c r="AZ352" t="s">
        <v>108</v>
      </c>
      <c r="BC352" t="s">
        <v>336</v>
      </c>
    </row>
    <row r="353" spans="1:71" x14ac:dyDescent="0.25">
      <c r="A353" t="str">
        <f t="shared" si="5"/>
        <v>A69-1601-1117</v>
      </c>
      <c r="B353" t="s">
        <v>398</v>
      </c>
      <c r="C353" t="s">
        <v>324</v>
      </c>
      <c r="D353" t="s">
        <v>345</v>
      </c>
      <c r="F353">
        <v>1117</v>
      </c>
      <c r="G353" t="s">
        <v>346</v>
      </c>
      <c r="H353" t="s">
        <v>327</v>
      </c>
      <c r="I353" s="20">
        <v>40680</v>
      </c>
      <c r="J353">
        <v>101</v>
      </c>
      <c r="L353" t="s">
        <v>109</v>
      </c>
      <c r="M353" t="s">
        <v>328</v>
      </c>
      <c r="N353" t="s">
        <v>329</v>
      </c>
      <c r="O353" t="s">
        <v>330</v>
      </c>
      <c r="P353" t="s">
        <v>331</v>
      </c>
      <c r="U353">
        <v>0.48</v>
      </c>
      <c r="V353">
        <v>0.23200000000000001</v>
      </c>
      <c r="W353" t="s">
        <v>399</v>
      </c>
      <c r="Y353" t="s">
        <v>332</v>
      </c>
      <c r="AB353" t="s">
        <v>343</v>
      </c>
      <c r="AC353" t="s">
        <v>342</v>
      </c>
      <c r="AD353" s="34">
        <v>46.306796669999997</v>
      </c>
      <c r="AE353" s="34">
        <v>-84.061593329999994</v>
      </c>
      <c r="AF353" s="18">
        <v>40683.040277777778</v>
      </c>
      <c r="AG353" s="19">
        <v>40682.873611111114</v>
      </c>
      <c r="AH353" t="s">
        <v>161</v>
      </c>
      <c r="AL353" t="s">
        <v>335</v>
      </c>
      <c r="AM353" s="20">
        <v>40680</v>
      </c>
      <c r="AR353" s="39" t="s">
        <v>400</v>
      </c>
      <c r="AS353" s="39"/>
      <c r="AT353" s="39">
        <v>200</v>
      </c>
      <c r="AZ353" t="s">
        <v>108</v>
      </c>
      <c r="BC353" t="s">
        <v>336</v>
      </c>
    </row>
    <row r="354" spans="1:71" x14ac:dyDescent="0.25">
      <c r="A354" t="str">
        <f t="shared" si="5"/>
        <v>A69-1601-1118</v>
      </c>
      <c r="B354" t="s">
        <v>398</v>
      </c>
      <c r="C354" t="s">
        <v>324</v>
      </c>
      <c r="D354" t="s">
        <v>345</v>
      </c>
      <c r="F354">
        <v>1118</v>
      </c>
      <c r="G354" t="s">
        <v>346</v>
      </c>
      <c r="H354" t="s">
        <v>327</v>
      </c>
      <c r="I354" s="20">
        <v>40680</v>
      </c>
      <c r="J354">
        <v>101</v>
      </c>
      <c r="L354" t="s">
        <v>109</v>
      </c>
      <c r="M354" t="s">
        <v>328</v>
      </c>
      <c r="N354" t="s">
        <v>329</v>
      </c>
      <c r="O354" t="s">
        <v>330</v>
      </c>
      <c r="P354" t="s">
        <v>331</v>
      </c>
      <c r="U354">
        <v>0.47</v>
      </c>
      <c r="V354">
        <v>0.19600000000000001</v>
      </c>
      <c r="W354" t="s">
        <v>399</v>
      </c>
      <c r="Y354" t="s">
        <v>332</v>
      </c>
      <c r="AB354" t="s">
        <v>343</v>
      </c>
      <c r="AC354" t="s">
        <v>342</v>
      </c>
      <c r="AD354" s="34">
        <v>46.306796669999997</v>
      </c>
      <c r="AE354" s="34">
        <v>-84.061593329999994</v>
      </c>
      <c r="AF354" s="18">
        <v>40683.040277777778</v>
      </c>
      <c r="AG354" s="19">
        <v>40682.873611111114</v>
      </c>
      <c r="AH354" t="s">
        <v>161</v>
      </c>
      <c r="AL354" t="s">
        <v>335</v>
      </c>
      <c r="AM354" s="20">
        <v>40680</v>
      </c>
      <c r="AR354" s="39" t="s">
        <v>400</v>
      </c>
      <c r="AS354" s="39"/>
      <c r="AT354" s="39">
        <v>200</v>
      </c>
      <c r="AZ354" t="s">
        <v>108</v>
      </c>
      <c r="BC354" t="s">
        <v>336</v>
      </c>
    </row>
    <row r="355" spans="1:71" x14ac:dyDescent="0.25">
      <c r="A355" t="str">
        <f t="shared" si="5"/>
        <v>A69-1601-1119</v>
      </c>
      <c r="B355" t="s">
        <v>398</v>
      </c>
      <c r="C355" t="s">
        <v>324</v>
      </c>
      <c r="D355" t="s">
        <v>345</v>
      </c>
      <c r="F355">
        <v>1119</v>
      </c>
      <c r="G355" t="s">
        <v>346</v>
      </c>
      <c r="H355" t="s">
        <v>327</v>
      </c>
      <c r="I355" s="20">
        <v>40680</v>
      </c>
      <c r="J355">
        <v>101</v>
      </c>
      <c r="L355" t="s">
        <v>109</v>
      </c>
      <c r="M355" t="s">
        <v>328</v>
      </c>
      <c r="N355" t="s">
        <v>329</v>
      </c>
      <c r="O355" t="s">
        <v>330</v>
      </c>
      <c r="P355" t="s">
        <v>331</v>
      </c>
      <c r="U355">
        <v>0.47</v>
      </c>
      <c r="V355">
        <v>0.222</v>
      </c>
      <c r="W355" t="s">
        <v>399</v>
      </c>
      <c r="Y355" t="s">
        <v>332</v>
      </c>
      <c r="AB355" t="s">
        <v>343</v>
      </c>
      <c r="AC355" t="s">
        <v>342</v>
      </c>
      <c r="AD355" s="34">
        <v>46.306796669999997</v>
      </c>
      <c r="AE355" s="34">
        <v>-84.061593329999994</v>
      </c>
      <c r="AF355" s="18">
        <v>40683.040277777778</v>
      </c>
      <c r="AG355" s="19">
        <v>40682.873611111114</v>
      </c>
      <c r="AH355" t="s">
        <v>161</v>
      </c>
      <c r="AL355" t="s">
        <v>335</v>
      </c>
      <c r="AM355" s="20">
        <v>40680</v>
      </c>
      <c r="AR355" s="39" t="s">
        <v>400</v>
      </c>
      <c r="AS355" s="39"/>
      <c r="AT355" s="39">
        <v>200</v>
      </c>
      <c r="AZ355" t="s">
        <v>108</v>
      </c>
      <c r="BC355" t="s">
        <v>336</v>
      </c>
    </row>
    <row r="356" spans="1:71" x14ac:dyDescent="0.25">
      <c r="A356" t="str">
        <f t="shared" si="5"/>
        <v>A69-1601-1120</v>
      </c>
      <c r="B356" t="s">
        <v>398</v>
      </c>
      <c r="C356" t="s">
        <v>324</v>
      </c>
      <c r="D356" t="s">
        <v>345</v>
      </c>
      <c r="F356">
        <v>1120</v>
      </c>
      <c r="G356" t="s">
        <v>346</v>
      </c>
      <c r="H356" t="s">
        <v>327</v>
      </c>
      <c r="I356" s="20">
        <v>40680</v>
      </c>
      <c r="J356">
        <v>101</v>
      </c>
      <c r="L356" t="s">
        <v>109</v>
      </c>
      <c r="M356" t="s">
        <v>328</v>
      </c>
      <c r="N356" t="s">
        <v>329</v>
      </c>
      <c r="O356" t="s">
        <v>330</v>
      </c>
      <c r="P356" t="s">
        <v>331</v>
      </c>
      <c r="U356">
        <v>0.5</v>
      </c>
      <c r="V356">
        <v>0.26100000000000001</v>
      </c>
      <c r="W356" t="s">
        <v>399</v>
      </c>
      <c r="Y356" t="s">
        <v>332</v>
      </c>
      <c r="AB356" t="s">
        <v>343</v>
      </c>
      <c r="AC356" t="s">
        <v>342</v>
      </c>
      <c r="AD356" s="34">
        <v>46.306796669999997</v>
      </c>
      <c r="AE356" s="34">
        <v>-84.061593329999994</v>
      </c>
      <c r="AF356" s="18">
        <v>40683.040277777778</v>
      </c>
      <c r="AG356" s="19">
        <v>40682.873611111114</v>
      </c>
      <c r="AH356" t="s">
        <v>161</v>
      </c>
      <c r="AL356" t="s">
        <v>335</v>
      </c>
      <c r="AM356" s="20">
        <v>40680</v>
      </c>
      <c r="AR356" s="39" t="s">
        <v>400</v>
      </c>
      <c r="AS356" s="39"/>
      <c r="AT356" s="39">
        <v>200</v>
      </c>
      <c r="AZ356" t="s">
        <v>108</v>
      </c>
      <c r="BC356" t="s">
        <v>336</v>
      </c>
    </row>
    <row r="357" spans="1:71" x14ac:dyDescent="0.25">
      <c r="A357" t="str">
        <f t="shared" si="5"/>
        <v>A69-1601-1121</v>
      </c>
      <c r="B357" t="s">
        <v>398</v>
      </c>
      <c r="C357" t="s">
        <v>324</v>
      </c>
      <c r="D357" t="s">
        <v>345</v>
      </c>
      <c r="F357">
        <v>1121</v>
      </c>
      <c r="G357" t="s">
        <v>346</v>
      </c>
      <c r="H357" t="s">
        <v>327</v>
      </c>
      <c r="I357" s="20">
        <v>40680</v>
      </c>
      <c r="J357">
        <v>101</v>
      </c>
      <c r="L357" t="s">
        <v>109</v>
      </c>
      <c r="M357" t="s">
        <v>328</v>
      </c>
      <c r="N357" t="s">
        <v>329</v>
      </c>
      <c r="O357" t="s">
        <v>330</v>
      </c>
      <c r="P357" t="s">
        <v>331</v>
      </c>
      <c r="U357">
        <v>0.5</v>
      </c>
      <c r="V357">
        <v>0.27800000000000002</v>
      </c>
      <c r="W357" t="s">
        <v>399</v>
      </c>
      <c r="Y357" t="s">
        <v>332</v>
      </c>
      <c r="AB357" t="s">
        <v>343</v>
      </c>
      <c r="AC357" t="s">
        <v>342</v>
      </c>
      <c r="AD357" s="34">
        <v>46.306796669999997</v>
      </c>
      <c r="AE357" s="34">
        <v>-84.061593329999994</v>
      </c>
      <c r="AF357" s="18">
        <v>40683.040277777778</v>
      </c>
      <c r="AG357" s="19">
        <v>40682.873611111114</v>
      </c>
      <c r="AH357" t="s">
        <v>161</v>
      </c>
      <c r="AL357" t="s">
        <v>335</v>
      </c>
      <c r="AM357" s="20">
        <v>40680</v>
      </c>
      <c r="AR357" s="39" t="s">
        <v>400</v>
      </c>
      <c r="AS357" s="39"/>
      <c r="AT357" s="39">
        <v>200</v>
      </c>
      <c r="AZ357" t="s">
        <v>108</v>
      </c>
      <c r="BC357" t="s">
        <v>163</v>
      </c>
      <c r="BD357" s="20">
        <v>40711</v>
      </c>
      <c r="BF357" s="21" t="s">
        <v>406</v>
      </c>
      <c r="BG357" s="38" t="s">
        <v>113</v>
      </c>
      <c r="BH357" s="1" t="s">
        <v>408</v>
      </c>
      <c r="BI357" s="1">
        <v>46.514783999999999</v>
      </c>
      <c r="BJ357" s="1">
        <v>-84.346945000000005</v>
      </c>
      <c r="BK357" s="1" t="s">
        <v>404</v>
      </c>
      <c r="BL357" s="1" t="s">
        <v>336</v>
      </c>
      <c r="BQ357" s="39" t="s">
        <v>332</v>
      </c>
      <c r="BR357" s="39">
        <v>496</v>
      </c>
      <c r="BS357" s="39">
        <v>260</v>
      </c>
    </row>
    <row r="358" spans="1:71" x14ac:dyDescent="0.25">
      <c r="A358" t="str">
        <f t="shared" si="5"/>
        <v>A69-1601-1122</v>
      </c>
      <c r="B358" t="s">
        <v>398</v>
      </c>
      <c r="C358" t="s">
        <v>324</v>
      </c>
      <c r="D358" t="s">
        <v>345</v>
      </c>
      <c r="F358">
        <v>1122</v>
      </c>
      <c r="G358" t="s">
        <v>346</v>
      </c>
      <c r="H358" t="s">
        <v>327</v>
      </c>
      <c r="I358" s="20">
        <v>40680</v>
      </c>
      <c r="J358">
        <v>101</v>
      </c>
      <c r="L358" t="s">
        <v>109</v>
      </c>
      <c r="M358" t="s">
        <v>328</v>
      </c>
      <c r="N358" t="s">
        <v>329</v>
      </c>
      <c r="O358" t="s">
        <v>330</v>
      </c>
      <c r="P358" t="s">
        <v>331</v>
      </c>
      <c r="U358">
        <v>0.48</v>
      </c>
      <c r="V358">
        <v>0.25700000000000001</v>
      </c>
      <c r="W358" t="s">
        <v>399</v>
      </c>
      <c r="Y358" t="s">
        <v>332</v>
      </c>
      <c r="AB358" t="s">
        <v>343</v>
      </c>
      <c r="AC358" t="s">
        <v>342</v>
      </c>
      <c r="AD358" s="34">
        <v>46.306796669999997</v>
      </c>
      <c r="AE358" s="34">
        <v>-84.061593329999994</v>
      </c>
      <c r="AF358" s="18">
        <v>40683.040277777778</v>
      </c>
      <c r="AG358" s="19">
        <v>40682.873611111114</v>
      </c>
      <c r="AH358" t="s">
        <v>161</v>
      </c>
      <c r="AL358" t="s">
        <v>335</v>
      </c>
      <c r="AM358" s="20">
        <v>40680</v>
      </c>
      <c r="AR358" s="39" t="s">
        <v>400</v>
      </c>
      <c r="AS358" s="39"/>
      <c r="AT358" s="39">
        <v>200</v>
      </c>
      <c r="AZ358" t="s">
        <v>108</v>
      </c>
      <c r="BC358" t="s">
        <v>336</v>
      </c>
    </row>
    <row r="359" spans="1:71" x14ac:dyDescent="0.25">
      <c r="A359" t="str">
        <f t="shared" si="5"/>
        <v>A69-1601-1123</v>
      </c>
      <c r="B359" t="s">
        <v>398</v>
      </c>
      <c r="C359" t="s">
        <v>324</v>
      </c>
      <c r="D359" t="s">
        <v>345</v>
      </c>
      <c r="F359">
        <v>1123</v>
      </c>
      <c r="G359" t="s">
        <v>346</v>
      </c>
      <c r="H359" t="s">
        <v>327</v>
      </c>
      <c r="I359" s="20">
        <v>40680</v>
      </c>
      <c r="J359">
        <v>101</v>
      </c>
      <c r="L359" t="s">
        <v>109</v>
      </c>
      <c r="M359" t="s">
        <v>328</v>
      </c>
      <c r="N359" t="s">
        <v>329</v>
      </c>
      <c r="O359" t="s">
        <v>330</v>
      </c>
      <c r="P359" t="s">
        <v>331</v>
      </c>
      <c r="U359">
        <v>0.55000000000000004</v>
      </c>
      <c r="V359">
        <v>0.313</v>
      </c>
      <c r="W359" t="s">
        <v>399</v>
      </c>
      <c r="Y359" t="s">
        <v>332</v>
      </c>
      <c r="AB359" t="s">
        <v>343</v>
      </c>
      <c r="AC359" t="s">
        <v>342</v>
      </c>
      <c r="AD359" s="34">
        <v>46.306796669999997</v>
      </c>
      <c r="AE359" s="34">
        <v>-84.061593329999994</v>
      </c>
      <c r="AF359" s="18">
        <v>40683.040277777778</v>
      </c>
      <c r="AG359" s="19">
        <v>40682.873611111114</v>
      </c>
      <c r="AH359" t="s">
        <v>161</v>
      </c>
      <c r="AL359" t="s">
        <v>335</v>
      </c>
      <c r="AM359" s="20">
        <v>40680</v>
      </c>
      <c r="AR359" s="39" t="s">
        <v>400</v>
      </c>
      <c r="AS359" s="39"/>
      <c r="AT359" s="39">
        <v>200</v>
      </c>
      <c r="AZ359" t="s">
        <v>108</v>
      </c>
      <c r="BC359" t="s">
        <v>163</v>
      </c>
      <c r="BD359" s="20">
        <v>40733</v>
      </c>
      <c r="BF359" s="21" t="s">
        <v>406</v>
      </c>
      <c r="BG359" s="38" t="s">
        <v>113</v>
      </c>
      <c r="BH359" s="1" t="s">
        <v>408</v>
      </c>
      <c r="BI359" s="1">
        <v>46.514783999999999</v>
      </c>
      <c r="BJ359" s="1">
        <v>-84.346945000000005</v>
      </c>
      <c r="BK359" s="1" t="s">
        <v>404</v>
      </c>
      <c r="BL359" s="1" t="s">
        <v>336</v>
      </c>
      <c r="BQ359" s="39" t="s">
        <v>332</v>
      </c>
      <c r="BR359" s="39">
        <v>532</v>
      </c>
      <c r="BS359" s="39">
        <v>278</v>
      </c>
    </row>
    <row r="360" spans="1:71" x14ac:dyDescent="0.25">
      <c r="A360" t="str">
        <f t="shared" si="5"/>
        <v>A69-1601-1124</v>
      </c>
      <c r="B360" t="s">
        <v>398</v>
      </c>
      <c r="C360" t="s">
        <v>324</v>
      </c>
      <c r="D360" t="s">
        <v>345</v>
      </c>
      <c r="F360">
        <v>1124</v>
      </c>
      <c r="G360" t="s">
        <v>346</v>
      </c>
      <c r="H360" t="s">
        <v>327</v>
      </c>
      <c r="I360" s="20">
        <v>40680</v>
      </c>
      <c r="J360">
        <v>101</v>
      </c>
      <c r="L360" t="s">
        <v>109</v>
      </c>
      <c r="M360" t="s">
        <v>328</v>
      </c>
      <c r="N360" t="s">
        <v>329</v>
      </c>
      <c r="O360" t="s">
        <v>330</v>
      </c>
      <c r="P360" t="s">
        <v>331</v>
      </c>
      <c r="U360">
        <v>0.5</v>
      </c>
      <c r="V360">
        <v>0.30599999999999999</v>
      </c>
      <c r="W360" t="s">
        <v>399</v>
      </c>
      <c r="Y360" t="s">
        <v>332</v>
      </c>
      <c r="AB360" t="s">
        <v>343</v>
      </c>
      <c r="AC360" t="s">
        <v>342</v>
      </c>
      <c r="AD360" s="34">
        <v>46.306796669999997</v>
      </c>
      <c r="AE360" s="34">
        <v>-84.061593329999994</v>
      </c>
      <c r="AF360" s="18">
        <v>40683.040277777778</v>
      </c>
      <c r="AG360" s="19">
        <v>40682.873611111114</v>
      </c>
      <c r="AH360" t="s">
        <v>161</v>
      </c>
      <c r="AL360" t="s">
        <v>335</v>
      </c>
      <c r="AM360" s="20">
        <v>40680</v>
      </c>
      <c r="AR360" s="39" t="s">
        <v>400</v>
      </c>
      <c r="AS360" s="39"/>
      <c r="AT360" s="39">
        <v>200</v>
      </c>
      <c r="AZ360" t="s">
        <v>108</v>
      </c>
      <c r="BC360" t="s">
        <v>336</v>
      </c>
    </row>
    <row r="361" spans="1:71" x14ac:dyDescent="0.25">
      <c r="A361" t="str">
        <f t="shared" si="5"/>
        <v>A69-1601-1125</v>
      </c>
      <c r="B361" t="s">
        <v>398</v>
      </c>
      <c r="C361" t="s">
        <v>324</v>
      </c>
      <c r="D361" t="s">
        <v>345</v>
      </c>
      <c r="F361">
        <v>1125</v>
      </c>
      <c r="G361" t="s">
        <v>346</v>
      </c>
      <c r="H361" t="s">
        <v>327</v>
      </c>
      <c r="I361" s="20">
        <v>40680</v>
      </c>
      <c r="J361">
        <v>101</v>
      </c>
      <c r="L361" t="s">
        <v>109</v>
      </c>
      <c r="M361" t="s">
        <v>328</v>
      </c>
      <c r="N361" t="s">
        <v>329</v>
      </c>
      <c r="O361" t="s">
        <v>330</v>
      </c>
      <c r="P361" t="s">
        <v>331</v>
      </c>
      <c r="U361">
        <v>0.47</v>
      </c>
      <c r="V361">
        <v>0.25800000000000001</v>
      </c>
      <c r="W361" t="s">
        <v>399</v>
      </c>
      <c r="Y361" t="s">
        <v>332</v>
      </c>
      <c r="AB361" t="s">
        <v>343</v>
      </c>
      <c r="AC361" t="s">
        <v>342</v>
      </c>
      <c r="AD361" s="34">
        <v>46.306796669999997</v>
      </c>
      <c r="AE361" s="34">
        <v>-84.061593329999994</v>
      </c>
      <c r="AF361" s="18">
        <v>40683.040277777778</v>
      </c>
      <c r="AG361" s="19">
        <v>40682.873611111114</v>
      </c>
      <c r="AH361" t="s">
        <v>161</v>
      </c>
      <c r="AL361" t="s">
        <v>335</v>
      </c>
      <c r="AM361" s="20">
        <v>40680</v>
      </c>
      <c r="AR361" s="39" t="s">
        <v>400</v>
      </c>
      <c r="AS361" s="39"/>
      <c r="AT361" s="39">
        <v>200</v>
      </c>
      <c r="AZ361" t="s">
        <v>108</v>
      </c>
      <c r="BC361" t="s">
        <v>336</v>
      </c>
    </row>
    <row r="362" spans="1:71" x14ac:dyDescent="0.25">
      <c r="A362" t="str">
        <f t="shared" si="5"/>
        <v>A69-1601-1126</v>
      </c>
      <c r="B362" t="s">
        <v>398</v>
      </c>
      <c r="C362" t="s">
        <v>324</v>
      </c>
      <c r="D362" t="s">
        <v>345</v>
      </c>
      <c r="F362">
        <v>1126</v>
      </c>
      <c r="G362" t="s">
        <v>346</v>
      </c>
      <c r="H362" t="s">
        <v>327</v>
      </c>
      <c r="I362" s="20">
        <v>40680</v>
      </c>
      <c r="J362">
        <v>101</v>
      </c>
      <c r="L362" t="s">
        <v>109</v>
      </c>
      <c r="M362" t="s">
        <v>328</v>
      </c>
      <c r="N362" t="s">
        <v>329</v>
      </c>
      <c r="O362" t="s">
        <v>330</v>
      </c>
      <c r="P362" t="s">
        <v>331</v>
      </c>
      <c r="U362">
        <v>0.51</v>
      </c>
      <c r="V362">
        <v>0.24399999999999999</v>
      </c>
      <c r="W362" t="s">
        <v>399</v>
      </c>
      <c r="Y362" t="s">
        <v>332</v>
      </c>
      <c r="AB362" t="s">
        <v>343</v>
      </c>
      <c r="AC362" t="s">
        <v>342</v>
      </c>
      <c r="AD362" s="34">
        <v>46.306796669999997</v>
      </c>
      <c r="AE362" s="34">
        <v>-84.061593329999994</v>
      </c>
      <c r="AF362" s="18">
        <v>40683.040277777778</v>
      </c>
      <c r="AG362" s="19">
        <v>40682.873611111114</v>
      </c>
      <c r="AH362" t="s">
        <v>161</v>
      </c>
      <c r="AL362" t="s">
        <v>335</v>
      </c>
      <c r="AM362" s="20">
        <v>40680</v>
      </c>
      <c r="AR362" s="39" t="s">
        <v>400</v>
      </c>
      <c r="AS362" s="39"/>
      <c r="AT362" s="39">
        <v>200</v>
      </c>
      <c r="AZ362" t="s">
        <v>108</v>
      </c>
      <c r="BC362" t="s">
        <v>336</v>
      </c>
    </row>
    <row r="363" spans="1:71" x14ac:dyDescent="0.25">
      <c r="A363" t="str">
        <f t="shared" si="5"/>
        <v>A69-1601-1127</v>
      </c>
      <c r="B363" t="s">
        <v>398</v>
      </c>
      <c r="C363" t="s">
        <v>324</v>
      </c>
      <c r="D363" t="s">
        <v>345</v>
      </c>
      <c r="F363">
        <v>1127</v>
      </c>
      <c r="G363" t="s">
        <v>346</v>
      </c>
      <c r="H363" t="s">
        <v>327</v>
      </c>
      <c r="I363" s="20">
        <v>40680</v>
      </c>
      <c r="J363">
        <v>101</v>
      </c>
      <c r="L363" t="s">
        <v>109</v>
      </c>
      <c r="M363" t="s">
        <v>328</v>
      </c>
      <c r="N363" t="s">
        <v>329</v>
      </c>
      <c r="O363" t="s">
        <v>330</v>
      </c>
      <c r="P363" t="s">
        <v>331</v>
      </c>
      <c r="U363">
        <v>0.47</v>
      </c>
      <c r="V363">
        <v>0.223</v>
      </c>
      <c r="W363" t="s">
        <v>399</v>
      </c>
      <c r="Y363" t="s">
        <v>332</v>
      </c>
      <c r="AB363" t="s">
        <v>343</v>
      </c>
      <c r="AC363" t="s">
        <v>342</v>
      </c>
      <c r="AD363" s="34">
        <v>46.306796669999997</v>
      </c>
      <c r="AE363" s="34">
        <v>-84.061593329999994</v>
      </c>
      <c r="AF363" s="18">
        <v>40683.040277777778</v>
      </c>
      <c r="AG363" s="19">
        <v>40682.873611111114</v>
      </c>
      <c r="AH363" t="s">
        <v>161</v>
      </c>
      <c r="AL363" t="s">
        <v>335</v>
      </c>
      <c r="AM363" s="20">
        <v>40680</v>
      </c>
      <c r="AR363" s="39" t="s">
        <v>400</v>
      </c>
      <c r="AS363" s="39"/>
      <c r="AT363" s="39">
        <v>200</v>
      </c>
      <c r="AZ363" t="s">
        <v>108</v>
      </c>
      <c r="BC363" t="s">
        <v>336</v>
      </c>
    </row>
    <row r="364" spans="1:71" x14ac:dyDescent="0.25">
      <c r="A364" t="str">
        <f t="shared" si="5"/>
        <v>A69-1601-1128</v>
      </c>
      <c r="B364" t="s">
        <v>398</v>
      </c>
      <c r="C364" t="s">
        <v>324</v>
      </c>
      <c r="D364" t="s">
        <v>345</v>
      </c>
      <c r="F364">
        <v>1128</v>
      </c>
      <c r="G364" t="s">
        <v>346</v>
      </c>
      <c r="H364" t="s">
        <v>327</v>
      </c>
      <c r="I364" s="20">
        <v>40680</v>
      </c>
      <c r="J364">
        <v>101</v>
      </c>
      <c r="L364" t="s">
        <v>109</v>
      </c>
      <c r="M364" t="s">
        <v>328</v>
      </c>
      <c r="N364" t="s">
        <v>329</v>
      </c>
      <c r="O364" t="s">
        <v>330</v>
      </c>
      <c r="P364" t="s">
        <v>331</v>
      </c>
      <c r="U364">
        <v>0.43</v>
      </c>
      <c r="V364">
        <v>0.191</v>
      </c>
      <c r="W364" t="s">
        <v>399</v>
      </c>
      <c r="Y364" t="s">
        <v>332</v>
      </c>
      <c r="AB364" t="s">
        <v>343</v>
      </c>
      <c r="AC364" t="s">
        <v>342</v>
      </c>
      <c r="AD364" s="34">
        <v>46.306796669999997</v>
      </c>
      <c r="AE364" s="34">
        <v>-84.061593329999994</v>
      </c>
      <c r="AF364" s="18">
        <v>40683.040277777778</v>
      </c>
      <c r="AG364" s="19">
        <v>40682.873611111114</v>
      </c>
      <c r="AH364" t="s">
        <v>161</v>
      </c>
      <c r="AL364" t="s">
        <v>335</v>
      </c>
      <c r="AM364" s="20">
        <v>40680</v>
      </c>
      <c r="AR364" s="39" t="s">
        <v>400</v>
      </c>
      <c r="AS364" s="39"/>
      <c r="AT364" s="39">
        <v>200</v>
      </c>
      <c r="AZ364" t="s">
        <v>108</v>
      </c>
      <c r="BC364" t="s">
        <v>336</v>
      </c>
    </row>
    <row r="365" spans="1:71" x14ac:dyDescent="0.25">
      <c r="A365" t="str">
        <f t="shared" si="5"/>
        <v>A69-1601-1129</v>
      </c>
      <c r="B365" t="s">
        <v>398</v>
      </c>
      <c r="C365" t="s">
        <v>324</v>
      </c>
      <c r="D365" t="s">
        <v>345</v>
      </c>
      <c r="F365">
        <v>1129</v>
      </c>
      <c r="G365" t="s">
        <v>346</v>
      </c>
      <c r="H365" t="s">
        <v>327</v>
      </c>
      <c r="I365" s="20">
        <v>40680</v>
      </c>
      <c r="J365">
        <v>101</v>
      </c>
      <c r="L365" t="s">
        <v>109</v>
      </c>
      <c r="M365" t="s">
        <v>328</v>
      </c>
      <c r="N365" t="s">
        <v>329</v>
      </c>
      <c r="O365" t="s">
        <v>330</v>
      </c>
      <c r="P365" t="s">
        <v>331</v>
      </c>
      <c r="U365">
        <v>0.48</v>
      </c>
      <c r="V365">
        <v>0.23799999999999999</v>
      </c>
      <c r="W365" t="s">
        <v>399</v>
      </c>
      <c r="Y365" t="s">
        <v>332</v>
      </c>
      <c r="AB365" t="s">
        <v>343</v>
      </c>
      <c r="AC365" t="s">
        <v>342</v>
      </c>
      <c r="AD365" s="34">
        <v>46.306796669999997</v>
      </c>
      <c r="AE365" s="34">
        <v>-84.061593329999994</v>
      </c>
      <c r="AF365" s="18">
        <v>40683.040277777778</v>
      </c>
      <c r="AG365" s="19">
        <v>40682.873611111114</v>
      </c>
      <c r="AH365" t="s">
        <v>161</v>
      </c>
      <c r="AL365" t="s">
        <v>335</v>
      </c>
      <c r="AM365" s="20">
        <v>40680</v>
      </c>
      <c r="AR365" s="39" t="s">
        <v>400</v>
      </c>
      <c r="AS365" s="39"/>
      <c r="AT365" s="39">
        <v>200</v>
      </c>
      <c r="AZ365" t="s">
        <v>108</v>
      </c>
      <c r="BC365" t="s">
        <v>336</v>
      </c>
    </row>
    <row r="366" spans="1:71" x14ac:dyDescent="0.25">
      <c r="A366" t="str">
        <f t="shared" si="5"/>
        <v>A69-1601-1130</v>
      </c>
      <c r="B366" t="s">
        <v>398</v>
      </c>
      <c r="C366" t="s">
        <v>324</v>
      </c>
      <c r="D366" t="s">
        <v>345</v>
      </c>
      <c r="F366">
        <v>1130</v>
      </c>
      <c r="G366" t="s">
        <v>346</v>
      </c>
      <c r="H366" t="s">
        <v>327</v>
      </c>
      <c r="I366" s="20">
        <v>40680</v>
      </c>
      <c r="J366">
        <v>101</v>
      </c>
      <c r="L366" t="s">
        <v>109</v>
      </c>
      <c r="M366" t="s">
        <v>328</v>
      </c>
      <c r="N366" t="s">
        <v>329</v>
      </c>
      <c r="O366" t="s">
        <v>330</v>
      </c>
      <c r="P366" t="s">
        <v>331</v>
      </c>
      <c r="U366">
        <v>0.51</v>
      </c>
      <c r="V366">
        <v>0.35099999999999998</v>
      </c>
      <c r="W366" t="s">
        <v>399</v>
      </c>
      <c r="Y366" t="s">
        <v>332</v>
      </c>
      <c r="AB366" t="s">
        <v>343</v>
      </c>
      <c r="AC366" t="s">
        <v>342</v>
      </c>
      <c r="AD366" s="34">
        <v>46.306796669999997</v>
      </c>
      <c r="AE366" s="34">
        <v>-84.061593329999994</v>
      </c>
      <c r="AF366" s="18">
        <v>40683.040277777778</v>
      </c>
      <c r="AG366" s="19">
        <v>40682.873611111114</v>
      </c>
      <c r="AH366" t="s">
        <v>161</v>
      </c>
      <c r="AL366" t="s">
        <v>335</v>
      </c>
      <c r="AM366" s="20">
        <v>40680</v>
      </c>
      <c r="AR366" s="39" t="s">
        <v>400</v>
      </c>
      <c r="AS366" s="39"/>
      <c r="AT366" s="39">
        <v>200</v>
      </c>
      <c r="AZ366" t="s">
        <v>108</v>
      </c>
      <c r="BC366" t="s">
        <v>163</v>
      </c>
      <c r="BD366" s="20">
        <v>40727</v>
      </c>
      <c r="BF366" s="21" t="s">
        <v>406</v>
      </c>
      <c r="BG366" s="38" t="s">
        <v>113</v>
      </c>
      <c r="BH366" s="1" t="s">
        <v>408</v>
      </c>
      <c r="BI366" s="1">
        <v>46.514783999999999</v>
      </c>
      <c r="BJ366" s="1">
        <v>-84.346945000000005</v>
      </c>
      <c r="BK366" s="1" t="s">
        <v>404</v>
      </c>
      <c r="BL366" s="1" t="s">
        <v>336</v>
      </c>
      <c r="BQ366" s="39" t="s">
        <v>332</v>
      </c>
      <c r="BR366" s="39">
        <v>515</v>
      </c>
      <c r="BS366" s="39">
        <v>317</v>
      </c>
    </row>
    <row r="367" spans="1:71" x14ac:dyDescent="0.25">
      <c r="A367" t="str">
        <f t="shared" si="5"/>
        <v>A69-1601-1131</v>
      </c>
      <c r="B367" t="s">
        <v>398</v>
      </c>
      <c r="C367" t="s">
        <v>324</v>
      </c>
      <c r="D367" t="s">
        <v>345</v>
      </c>
      <c r="F367">
        <v>1131</v>
      </c>
      <c r="G367" t="s">
        <v>346</v>
      </c>
      <c r="H367" t="s">
        <v>327</v>
      </c>
      <c r="I367" s="20">
        <v>40680</v>
      </c>
      <c r="J367">
        <v>101</v>
      </c>
      <c r="L367" t="s">
        <v>109</v>
      </c>
      <c r="M367" t="s">
        <v>328</v>
      </c>
      <c r="N367" t="s">
        <v>329</v>
      </c>
      <c r="O367" t="s">
        <v>330</v>
      </c>
      <c r="P367" t="s">
        <v>331</v>
      </c>
      <c r="U367">
        <v>0.5</v>
      </c>
      <c r="V367">
        <v>0.23300000000000001</v>
      </c>
      <c r="W367" t="s">
        <v>399</v>
      </c>
      <c r="Y367" t="s">
        <v>332</v>
      </c>
      <c r="AB367" t="s">
        <v>343</v>
      </c>
      <c r="AC367" t="s">
        <v>342</v>
      </c>
      <c r="AD367" s="34">
        <v>46.306796669999997</v>
      </c>
      <c r="AE367" s="34">
        <v>-84.061593329999994</v>
      </c>
      <c r="AF367" s="18">
        <v>40683.040277777778</v>
      </c>
      <c r="AG367" s="19">
        <v>40682.873611111114</v>
      </c>
      <c r="AH367" t="s">
        <v>161</v>
      </c>
      <c r="AL367" t="s">
        <v>335</v>
      </c>
      <c r="AM367" s="20">
        <v>40680</v>
      </c>
      <c r="AR367" s="39" t="s">
        <v>400</v>
      </c>
      <c r="AS367" s="39"/>
      <c r="AT367" s="39">
        <v>200</v>
      </c>
      <c r="AZ367" t="s">
        <v>108</v>
      </c>
      <c r="BC367" t="s">
        <v>336</v>
      </c>
    </row>
    <row r="368" spans="1:71" x14ac:dyDescent="0.25">
      <c r="A368" t="str">
        <f t="shared" si="5"/>
        <v>A69-1601-1132</v>
      </c>
      <c r="B368" t="s">
        <v>398</v>
      </c>
      <c r="C368" t="s">
        <v>324</v>
      </c>
      <c r="D368" t="s">
        <v>345</v>
      </c>
      <c r="F368">
        <v>1132</v>
      </c>
      <c r="G368" t="s">
        <v>346</v>
      </c>
      <c r="H368" t="s">
        <v>327</v>
      </c>
      <c r="I368" s="20">
        <v>40680</v>
      </c>
      <c r="J368">
        <v>101</v>
      </c>
      <c r="L368" t="s">
        <v>109</v>
      </c>
      <c r="M368" t="s">
        <v>328</v>
      </c>
      <c r="N368" t="s">
        <v>329</v>
      </c>
      <c r="O368" t="s">
        <v>330</v>
      </c>
      <c r="P368" t="s">
        <v>331</v>
      </c>
      <c r="U368">
        <v>0.48</v>
      </c>
      <c r="V368">
        <v>0.21199999999999999</v>
      </c>
      <c r="W368" t="s">
        <v>399</v>
      </c>
      <c r="Y368" t="s">
        <v>332</v>
      </c>
      <c r="AB368" t="s">
        <v>343</v>
      </c>
      <c r="AC368" t="s">
        <v>342</v>
      </c>
      <c r="AD368" s="34">
        <v>46.306796669999997</v>
      </c>
      <c r="AE368" s="34">
        <v>-84.061593329999994</v>
      </c>
      <c r="AF368" s="18">
        <v>40683.040277777778</v>
      </c>
      <c r="AG368" s="19">
        <v>40682.873611111114</v>
      </c>
      <c r="AH368" t="s">
        <v>161</v>
      </c>
      <c r="AL368" t="s">
        <v>335</v>
      </c>
      <c r="AM368" s="20">
        <v>40680</v>
      </c>
      <c r="AR368" s="39" t="s">
        <v>400</v>
      </c>
      <c r="AS368" s="39"/>
      <c r="AT368" s="39">
        <v>200</v>
      </c>
      <c r="AZ368" t="s">
        <v>108</v>
      </c>
      <c r="BC368" t="s">
        <v>336</v>
      </c>
    </row>
    <row r="369" spans="1:55" x14ac:dyDescent="0.25">
      <c r="A369" t="str">
        <f t="shared" si="5"/>
        <v>A69-1601-1133</v>
      </c>
      <c r="B369" t="s">
        <v>398</v>
      </c>
      <c r="C369" t="s">
        <v>324</v>
      </c>
      <c r="D369" t="s">
        <v>345</v>
      </c>
      <c r="F369">
        <v>1133</v>
      </c>
      <c r="G369" t="s">
        <v>346</v>
      </c>
      <c r="H369" t="s">
        <v>327</v>
      </c>
      <c r="I369" s="20">
        <v>40680</v>
      </c>
      <c r="J369">
        <v>101</v>
      </c>
      <c r="L369" t="s">
        <v>109</v>
      </c>
      <c r="M369" t="s">
        <v>328</v>
      </c>
      <c r="N369" t="s">
        <v>329</v>
      </c>
      <c r="O369" t="s">
        <v>330</v>
      </c>
      <c r="P369" t="s">
        <v>331</v>
      </c>
      <c r="U369">
        <v>0.49</v>
      </c>
      <c r="V369">
        <v>0.23799999999999999</v>
      </c>
      <c r="W369" t="s">
        <v>399</v>
      </c>
      <c r="Y369" t="s">
        <v>332</v>
      </c>
      <c r="AB369" t="s">
        <v>343</v>
      </c>
      <c r="AC369" t="s">
        <v>342</v>
      </c>
      <c r="AD369" s="34">
        <v>46.306796669999997</v>
      </c>
      <c r="AE369" s="34">
        <v>-84.061593329999994</v>
      </c>
      <c r="AF369" s="18">
        <v>40683.040277777778</v>
      </c>
      <c r="AG369" s="19">
        <v>40682.873611111114</v>
      </c>
      <c r="AH369" t="s">
        <v>161</v>
      </c>
      <c r="AL369" t="s">
        <v>335</v>
      </c>
      <c r="AM369" s="20">
        <v>40680</v>
      </c>
      <c r="AR369" s="39" t="s">
        <v>400</v>
      </c>
      <c r="AS369" s="39"/>
      <c r="AT369" s="39">
        <v>200</v>
      </c>
      <c r="AZ369" t="s">
        <v>108</v>
      </c>
      <c r="BC369" t="s">
        <v>336</v>
      </c>
    </row>
    <row r="370" spans="1:55" x14ac:dyDescent="0.25">
      <c r="A370" t="str">
        <f t="shared" si="5"/>
        <v>A69-1601-1134</v>
      </c>
      <c r="B370" t="s">
        <v>398</v>
      </c>
      <c r="C370" t="s">
        <v>324</v>
      </c>
      <c r="D370" t="s">
        <v>345</v>
      </c>
      <c r="F370">
        <v>1134</v>
      </c>
      <c r="G370" t="s">
        <v>346</v>
      </c>
      <c r="H370" t="s">
        <v>327</v>
      </c>
      <c r="I370" s="20">
        <v>40680</v>
      </c>
      <c r="J370">
        <v>101</v>
      </c>
      <c r="L370" t="s">
        <v>109</v>
      </c>
      <c r="M370" t="s">
        <v>328</v>
      </c>
      <c r="N370" t="s">
        <v>329</v>
      </c>
      <c r="O370" t="s">
        <v>330</v>
      </c>
      <c r="P370" t="s">
        <v>331</v>
      </c>
      <c r="U370">
        <v>0.47</v>
      </c>
      <c r="V370">
        <v>0.192</v>
      </c>
      <c r="W370" t="s">
        <v>399</v>
      </c>
      <c r="Y370" t="s">
        <v>332</v>
      </c>
      <c r="AB370" t="s">
        <v>343</v>
      </c>
      <c r="AC370" t="s">
        <v>342</v>
      </c>
      <c r="AD370" s="34">
        <v>46.306796669999997</v>
      </c>
      <c r="AE370" s="34">
        <v>-84.061593329999994</v>
      </c>
      <c r="AF370" s="18">
        <v>40683.040277777778</v>
      </c>
      <c r="AG370" s="19">
        <v>40682.873611111114</v>
      </c>
      <c r="AH370" t="s">
        <v>161</v>
      </c>
      <c r="AL370" t="s">
        <v>335</v>
      </c>
      <c r="AM370" s="20">
        <v>40680</v>
      </c>
      <c r="AR370" s="39" t="s">
        <v>400</v>
      </c>
      <c r="AS370" s="39"/>
      <c r="AT370" s="39">
        <v>200</v>
      </c>
      <c r="AZ370" t="s">
        <v>108</v>
      </c>
      <c r="BC370" t="s">
        <v>336</v>
      </c>
    </row>
    <row r="371" spans="1:55" x14ac:dyDescent="0.25">
      <c r="A371" t="str">
        <f t="shared" si="5"/>
        <v>A69-1601-1135</v>
      </c>
      <c r="B371" t="s">
        <v>398</v>
      </c>
      <c r="C371" t="s">
        <v>324</v>
      </c>
      <c r="D371" t="s">
        <v>345</v>
      </c>
      <c r="F371">
        <v>1135</v>
      </c>
      <c r="G371" t="s">
        <v>346</v>
      </c>
      <c r="H371" t="s">
        <v>327</v>
      </c>
      <c r="I371" s="20">
        <v>40680</v>
      </c>
      <c r="J371">
        <v>101</v>
      </c>
      <c r="L371" t="s">
        <v>109</v>
      </c>
      <c r="M371" t="s">
        <v>328</v>
      </c>
      <c r="N371" t="s">
        <v>329</v>
      </c>
      <c r="O371" t="s">
        <v>330</v>
      </c>
      <c r="P371" t="s">
        <v>331</v>
      </c>
      <c r="U371">
        <v>0.52</v>
      </c>
      <c r="V371">
        <v>0.27300000000000002</v>
      </c>
      <c r="W371" t="s">
        <v>399</v>
      </c>
      <c r="Y371" t="s">
        <v>332</v>
      </c>
      <c r="AB371" t="s">
        <v>343</v>
      </c>
      <c r="AC371" t="s">
        <v>342</v>
      </c>
      <c r="AD371" s="34">
        <v>46.306796669999997</v>
      </c>
      <c r="AE371" s="34">
        <v>-84.061593329999994</v>
      </c>
      <c r="AF371" s="18">
        <v>40683.040277777778</v>
      </c>
      <c r="AG371" s="19">
        <v>40682.873611111114</v>
      </c>
      <c r="AH371" t="s">
        <v>161</v>
      </c>
      <c r="AL371" t="s">
        <v>335</v>
      </c>
      <c r="AM371" s="20">
        <v>40680</v>
      </c>
      <c r="AR371" s="39" t="s">
        <v>400</v>
      </c>
      <c r="AS371" s="39"/>
      <c r="AT371" s="39">
        <v>200</v>
      </c>
      <c r="AZ371" t="s">
        <v>108</v>
      </c>
      <c r="BC371" t="s">
        <v>336</v>
      </c>
    </row>
    <row r="372" spans="1:55" x14ac:dyDescent="0.25">
      <c r="A372" t="str">
        <f t="shared" si="5"/>
        <v>A69-1601-1136</v>
      </c>
      <c r="B372" t="s">
        <v>398</v>
      </c>
      <c r="C372" t="s">
        <v>324</v>
      </c>
      <c r="D372" t="s">
        <v>345</v>
      </c>
      <c r="F372">
        <v>1136</v>
      </c>
      <c r="G372" t="s">
        <v>346</v>
      </c>
      <c r="H372" t="s">
        <v>327</v>
      </c>
      <c r="I372" s="20">
        <v>40680</v>
      </c>
      <c r="J372">
        <v>101</v>
      </c>
      <c r="L372" t="s">
        <v>109</v>
      </c>
      <c r="M372" t="s">
        <v>328</v>
      </c>
      <c r="N372" t="s">
        <v>329</v>
      </c>
      <c r="O372" t="s">
        <v>330</v>
      </c>
      <c r="P372" t="s">
        <v>331</v>
      </c>
      <c r="U372">
        <v>0.44</v>
      </c>
      <c r="V372">
        <v>0.18099999999999999</v>
      </c>
      <c r="W372" t="s">
        <v>399</v>
      </c>
      <c r="Y372" t="s">
        <v>332</v>
      </c>
      <c r="AB372" t="s">
        <v>343</v>
      </c>
      <c r="AC372" t="s">
        <v>342</v>
      </c>
      <c r="AD372" s="34">
        <v>46.306796669999997</v>
      </c>
      <c r="AE372" s="34">
        <v>-84.061593329999994</v>
      </c>
      <c r="AF372" s="18">
        <v>40683.040277777778</v>
      </c>
      <c r="AG372" s="19">
        <v>40682.873611111114</v>
      </c>
      <c r="AH372" t="s">
        <v>161</v>
      </c>
      <c r="AL372" t="s">
        <v>335</v>
      </c>
      <c r="AM372" s="20">
        <v>40680</v>
      </c>
      <c r="AR372" s="39" t="s">
        <v>400</v>
      </c>
      <c r="AS372" s="39"/>
      <c r="AT372" s="39">
        <v>200</v>
      </c>
      <c r="AZ372" t="s">
        <v>108</v>
      </c>
      <c r="BC372" t="s">
        <v>336</v>
      </c>
    </row>
    <row r="373" spans="1:55" x14ac:dyDescent="0.25">
      <c r="A373" t="str">
        <f t="shared" si="5"/>
        <v>A69-1601-1137</v>
      </c>
      <c r="B373" t="s">
        <v>398</v>
      </c>
      <c r="C373" t="s">
        <v>324</v>
      </c>
      <c r="D373" t="s">
        <v>345</v>
      </c>
      <c r="F373">
        <v>1137</v>
      </c>
      <c r="G373" t="s">
        <v>346</v>
      </c>
      <c r="H373" t="s">
        <v>327</v>
      </c>
      <c r="I373" s="20">
        <v>40680</v>
      </c>
      <c r="J373">
        <v>101</v>
      </c>
      <c r="L373" t="s">
        <v>109</v>
      </c>
      <c r="M373" t="s">
        <v>328</v>
      </c>
      <c r="N373" t="s">
        <v>329</v>
      </c>
      <c r="O373" t="s">
        <v>330</v>
      </c>
      <c r="P373" t="s">
        <v>331</v>
      </c>
      <c r="U373">
        <v>0.52</v>
      </c>
      <c r="V373">
        <v>0.245</v>
      </c>
      <c r="W373" t="s">
        <v>399</v>
      </c>
      <c r="Y373" t="s">
        <v>332</v>
      </c>
      <c r="AB373" t="s">
        <v>343</v>
      </c>
      <c r="AC373" t="s">
        <v>342</v>
      </c>
      <c r="AD373" s="34">
        <v>46.306796669999997</v>
      </c>
      <c r="AE373" s="34">
        <v>-84.061593329999994</v>
      </c>
      <c r="AF373" s="18">
        <v>40683.040277777778</v>
      </c>
      <c r="AG373" s="19">
        <v>40682.873611111114</v>
      </c>
      <c r="AH373" t="s">
        <v>161</v>
      </c>
      <c r="AL373" t="s">
        <v>335</v>
      </c>
      <c r="AM373" s="20">
        <v>40680</v>
      </c>
      <c r="AR373" s="39" t="s">
        <v>400</v>
      </c>
      <c r="AS373" s="39"/>
      <c r="AT373" s="39">
        <v>200</v>
      </c>
      <c r="AZ373" t="s">
        <v>108</v>
      </c>
      <c r="BC373" t="s">
        <v>336</v>
      </c>
    </row>
    <row r="374" spans="1:55" x14ac:dyDescent="0.25">
      <c r="A374" t="str">
        <f t="shared" si="5"/>
        <v>A69-1601-1138</v>
      </c>
      <c r="B374" t="s">
        <v>398</v>
      </c>
      <c r="C374" t="s">
        <v>324</v>
      </c>
      <c r="D374" t="s">
        <v>345</v>
      </c>
      <c r="F374">
        <v>1138</v>
      </c>
      <c r="G374" t="s">
        <v>346</v>
      </c>
      <c r="H374" t="s">
        <v>327</v>
      </c>
      <c r="I374" s="20">
        <v>40680</v>
      </c>
      <c r="J374">
        <v>101</v>
      </c>
      <c r="L374" t="s">
        <v>109</v>
      </c>
      <c r="M374" t="s">
        <v>328</v>
      </c>
      <c r="N374" t="s">
        <v>329</v>
      </c>
      <c r="O374" t="s">
        <v>330</v>
      </c>
      <c r="P374" t="s">
        <v>331</v>
      </c>
      <c r="U374">
        <v>0.48</v>
      </c>
      <c r="V374">
        <v>0.26500000000000001</v>
      </c>
      <c r="W374" t="s">
        <v>399</v>
      </c>
      <c r="Y374" t="s">
        <v>332</v>
      </c>
      <c r="AB374" t="s">
        <v>343</v>
      </c>
      <c r="AC374" t="s">
        <v>342</v>
      </c>
      <c r="AD374" s="34">
        <v>46.306796669999997</v>
      </c>
      <c r="AE374" s="34">
        <v>-84.061593329999994</v>
      </c>
      <c r="AF374" s="18">
        <v>40683.040277777778</v>
      </c>
      <c r="AG374" s="19">
        <v>40682.873611111114</v>
      </c>
      <c r="AH374" t="s">
        <v>161</v>
      </c>
      <c r="AL374" t="s">
        <v>335</v>
      </c>
      <c r="AM374" s="20">
        <v>40680</v>
      </c>
      <c r="AR374" s="39" t="s">
        <v>400</v>
      </c>
      <c r="AS374" s="39"/>
      <c r="AT374" s="39">
        <v>200</v>
      </c>
      <c r="AZ374" t="s">
        <v>108</v>
      </c>
      <c r="BC374" t="s">
        <v>336</v>
      </c>
    </row>
    <row r="375" spans="1:55" x14ac:dyDescent="0.25">
      <c r="A375" t="str">
        <f t="shared" si="5"/>
        <v>A69-1601-1139</v>
      </c>
      <c r="B375" t="s">
        <v>398</v>
      </c>
      <c r="C375" t="s">
        <v>324</v>
      </c>
      <c r="D375" t="s">
        <v>345</v>
      </c>
      <c r="F375">
        <v>1139</v>
      </c>
      <c r="G375" t="s">
        <v>346</v>
      </c>
      <c r="H375" t="s">
        <v>327</v>
      </c>
      <c r="I375" s="20">
        <v>40680</v>
      </c>
      <c r="J375">
        <v>101</v>
      </c>
      <c r="L375" t="s">
        <v>109</v>
      </c>
      <c r="M375" t="s">
        <v>328</v>
      </c>
      <c r="N375" t="s">
        <v>329</v>
      </c>
      <c r="O375" t="s">
        <v>330</v>
      </c>
      <c r="P375" t="s">
        <v>331</v>
      </c>
      <c r="U375">
        <v>0.48</v>
      </c>
      <c r="V375">
        <v>0.20699999999999999</v>
      </c>
      <c r="W375" t="s">
        <v>399</v>
      </c>
      <c r="Y375" t="s">
        <v>337</v>
      </c>
      <c r="AB375" t="s">
        <v>343</v>
      </c>
      <c r="AC375" t="s">
        <v>342</v>
      </c>
      <c r="AD375" s="34">
        <v>46.306796669999997</v>
      </c>
      <c r="AE375" s="34">
        <v>-84.061593329999994</v>
      </c>
      <c r="AF375" s="18">
        <v>40683.040277777778</v>
      </c>
      <c r="AG375" s="19">
        <v>40682.873611111114</v>
      </c>
      <c r="AH375" t="s">
        <v>161</v>
      </c>
      <c r="AL375" t="s">
        <v>335</v>
      </c>
      <c r="AM375" s="20">
        <v>40680</v>
      </c>
      <c r="AR375" s="39" t="s">
        <v>400</v>
      </c>
      <c r="AS375" s="39"/>
      <c r="AT375" s="39">
        <v>200</v>
      </c>
      <c r="AZ375" t="s">
        <v>108</v>
      </c>
      <c r="BC375" t="s">
        <v>336</v>
      </c>
    </row>
    <row r="376" spans="1:55" x14ac:dyDescent="0.25">
      <c r="A376" t="str">
        <f t="shared" si="5"/>
        <v>A69-1601-1140</v>
      </c>
      <c r="B376" t="s">
        <v>398</v>
      </c>
      <c r="C376" t="s">
        <v>324</v>
      </c>
      <c r="D376" t="s">
        <v>345</v>
      </c>
      <c r="F376">
        <v>1140</v>
      </c>
      <c r="G376" t="s">
        <v>346</v>
      </c>
      <c r="H376" t="s">
        <v>327</v>
      </c>
      <c r="I376" s="20">
        <v>40680</v>
      </c>
      <c r="J376">
        <v>101</v>
      </c>
      <c r="L376" t="s">
        <v>109</v>
      </c>
      <c r="M376" t="s">
        <v>328</v>
      </c>
      <c r="N376" t="s">
        <v>329</v>
      </c>
      <c r="O376" t="s">
        <v>330</v>
      </c>
      <c r="P376" t="s">
        <v>331</v>
      </c>
      <c r="U376">
        <v>0.53</v>
      </c>
      <c r="V376">
        <v>0.4</v>
      </c>
      <c r="W376" t="s">
        <v>399</v>
      </c>
      <c r="Y376" t="s">
        <v>337</v>
      </c>
      <c r="AB376" t="s">
        <v>343</v>
      </c>
      <c r="AC376" t="s">
        <v>342</v>
      </c>
      <c r="AD376" s="34">
        <v>46.306796669999997</v>
      </c>
      <c r="AE376" s="34">
        <v>-84.061593329999994</v>
      </c>
      <c r="AF376" s="18">
        <v>40683.040277777778</v>
      </c>
      <c r="AG376" s="19">
        <v>40682.873611111114</v>
      </c>
      <c r="AH376" t="s">
        <v>161</v>
      </c>
      <c r="AL376" t="s">
        <v>335</v>
      </c>
      <c r="AM376" s="20">
        <v>40680</v>
      </c>
      <c r="AR376" s="39" t="s">
        <v>400</v>
      </c>
      <c r="AS376" s="39"/>
      <c r="AT376" s="39">
        <v>200</v>
      </c>
      <c r="AZ376" t="s">
        <v>108</v>
      </c>
      <c r="BC376" t="s">
        <v>336</v>
      </c>
    </row>
    <row r="377" spans="1:55" x14ac:dyDescent="0.25">
      <c r="A377" t="str">
        <f t="shared" si="5"/>
        <v>A69-1601-1141</v>
      </c>
      <c r="B377" t="s">
        <v>398</v>
      </c>
      <c r="C377" t="s">
        <v>324</v>
      </c>
      <c r="D377" t="s">
        <v>345</v>
      </c>
      <c r="F377">
        <v>1141</v>
      </c>
      <c r="G377" t="s">
        <v>346</v>
      </c>
      <c r="H377" t="s">
        <v>327</v>
      </c>
      <c r="I377" s="20">
        <v>40680</v>
      </c>
      <c r="J377">
        <v>101</v>
      </c>
      <c r="L377" t="s">
        <v>109</v>
      </c>
      <c r="M377" t="s">
        <v>328</v>
      </c>
      <c r="N377" t="s">
        <v>329</v>
      </c>
      <c r="O377" t="s">
        <v>330</v>
      </c>
      <c r="P377" t="s">
        <v>331</v>
      </c>
      <c r="U377">
        <v>0.52</v>
      </c>
      <c r="V377">
        <v>0.3</v>
      </c>
      <c r="W377" t="s">
        <v>399</v>
      </c>
      <c r="Y377" t="s">
        <v>332</v>
      </c>
      <c r="AB377" t="s">
        <v>343</v>
      </c>
      <c r="AC377" t="s">
        <v>342</v>
      </c>
      <c r="AD377" s="34">
        <v>46.306796669999997</v>
      </c>
      <c r="AE377" s="34">
        <v>-84.061593329999994</v>
      </c>
      <c r="AF377" s="18">
        <v>40683.040277777778</v>
      </c>
      <c r="AG377" s="19">
        <v>40682.873611111114</v>
      </c>
      <c r="AH377" t="s">
        <v>161</v>
      </c>
      <c r="AL377" t="s">
        <v>335</v>
      </c>
      <c r="AM377" s="20">
        <v>40680</v>
      </c>
      <c r="AR377" s="39" t="s">
        <v>400</v>
      </c>
      <c r="AS377" s="39"/>
      <c r="AT377" s="39">
        <v>200</v>
      </c>
      <c r="AZ377" t="s">
        <v>108</v>
      </c>
      <c r="BC377" t="s">
        <v>336</v>
      </c>
    </row>
    <row r="378" spans="1:55" x14ac:dyDescent="0.25">
      <c r="A378" t="str">
        <f t="shared" si="5"/>
        <v>A69-1601-1142</v>
      </c>
      <c r="B378" t="s">
        <v>398</v>
      </c>
      <c r="C378" t="s">
        <v>324</v>
      </c>
      <c r="D378" t="s">
        <v>345</v>
      </c>
      <c r="F378">
        <v>1142</v>
      </c>
      <c r="G378" t="s">
        <v>346</v>
      </c>
      <c r="H378" t="s">
        <v>327</v>
      </c>
      <c r="I378" s="20">
        <v>40680</v>
      </c>
      <c r="J378">
        <v>101</v>
      </c>
      <c r="L378" t="s">
        <v>109</v>
      </c>
      <c r="M378" t="s">
        <v>328</v>
      </c>
      <c r="N378" t="s">
        <v>329</v>
      </c>
      <c r="O378" t="s">
        <v>330</v>
      </c>
      <c r="P378" t="s">
        <v>331</v>
      </c>
      <c r="U378">
        <v>0.53</v>
      </c>
      <c r="V378">
        <v>0.32200000000000001</v>
      </c>
      <c r="W378" t="s">
        <v>399</v>
      </c>
      <c r="Y378" t="s">
        <v>337</v>
      </c>
      <c r="AB378" t="s">
        <v>343</v>
      </c>
      <c r="AC378" t="s">
        <v>342</v>
      </c>
      <c r="AD378" s="34">
        <v>46.306796669999997</v>
      </c>
      <c r="AE378" s="34">
        <v>-84.061593329999994</v>
      </c>
      <c r="AF378" s="18">
        <v>40683.040277777778</v>
      </c>
      <c r="AG378" s="19">
        <v>40682.873611111114</v>
      </c>
      <c r="AH378" t="s">
        <v>161</v>
      </c>
      <c r="AL378" t="s">
        <v>335</v>
      </c>
      <c r="AM378" s="20">
        <v>40680</v>
      </c>
      <c r="AR378" s="39" t="s">
        <v>400</v>
      </c>
      <c r="AS378" s="39"/>
      <c r="AT378" s="39">
        <v>200</v>
      </c>
      <c r="AZ378" t="s">
        <v>108</v>
      </c>
      <c r="BC378" t="s">
        <v>336</v>
      </c>
    </row>
    <row r="379" spans="1:55" x14ac:dyDescent="0.25">
      <c r="A379" t="str">
        <f t="shared" si="5"/>
        <v>A69-1601-1143</v>
      </c>
      <c r="B379" t="s">
        <v>398</v>
      </c>
      <c r="C379" t="s">
        <v>324</v>
      </c>
      <c r="D379" t="s">
        <v>345</v>
      </c>
      <c r="F379">
        <v>1143</v>
      </c>
      <c r="G379" t="s">
        <v>346</v>
      </c>
      <c r="H379" t="s">
        <v>327</v>
      </c>
      <c r="I379" s="20">
        <v>40680</v>
      </c>
      <c r="J379">
        <v>101</v>
      </c>
      <c r="L379" t="s">
        <v>109</v>
      </c>
      <c r="M379" t="s">
        <v>328</v>
      </c>
      <c r="N379" t="s">
        <v>329</v>
      </c>
      <c r="O379" t="s">
        <v>330</v>
      </c>
      <c r="P379" t="s">
        <v>331</v>
      </c>
      <c r="U379">
        <v>0.52</v>
      </c>
      <c r="V379">
        <v>0.28199999999999997</v>
      </c>
      <c r="W379" t="s">
        <v>399</v>
      </c>
      <c r="Y379" t="s">
        <v>337</v>
      </c>
      <c r="AB379" t="s">
        <v>343</v>
      </c>
      <c r="AC379" t="s">
        <v>342</v>
      </c>
      <c r="AD379" s="34">
        <v>46.306796669999997</v>
      </c>
      <c r="AE379" s="34">
        <v>-84.061593329999994</v>
      </c>
      <c r="AF379" s="18">
        <v>40683.040277777778</v>
      </c>
      <c r="AG379" s="19">
        <v>40682.873611111114</v>
      </c>
      <c r="AH379" t="s">
        <v>161</v>
      </c>
      <c r="AL379" t="s">
        <v>335</v>
      </c>
      <c r="AM379" s="20">
        <v>40680</v>
      </c>
      <c r="AR379" s="39" t="s">
        <v>400</v>
      </c>
      <c r="AS379" s="39"/>
      <c r="AT379" s="39">
        <v>200</v>
      </c>
      <c r="AZ379" t="s">
        <v>108</v>
      </c>
      <c r="BC379" t="s">
        <v>336</v>
      </c>
    </row>
    <row r="380" spans="1:55" x14ac:dyDescent="0.25">
      <c r="A380" t="str">
        <f t="shared" si="5"/>
        <v>A69-1601-1144</v>
      </c>
      <c r="B380" t="s">
        <v>398</v>
      </c>
      <c r="C380" t="s">
        <v>324</v>
      </c>
      <c r="D380" t="s">
        <v>345</v>
      </c>
      <c r="F380">
        <v>1144</v>
      </c>
      <c r="G380" t="s">
        <v>346</v>
      </c>
      <c r="H380" t="s">
        <v>327</v>
      </c>
      <c r="I380" s="20">
        <v>40680</v>
      </c>
      <c r="J380">
        <v>101</v>
      </c>
      <c r="L380" t="s">
        <v>109</v>
      </c>
      <c r="M380" t="s">
        <v>328</v>
      </c>
      <c r="N380" t="s">
        <v>329</v>
      </c>
      <c r="O380" t="s">
        <v>330</v>
      </c>
      <c r="P380" t="s">
        <v>331</v>
      </c>
      <c r="U380">
        <v>0.52</v>
      </c>
      <c r="V380">
        <v>0.29299999999999998</v>
      </c>
      <c r="W380" t="s">
        <v>399</v>
      </c>
      <c r="Y380" t="s">
        <v>337</v>
      </c>
      <c r="AB380" t="s">
        <v>343</v>
      </c>
      <c r="AC380" t="s">
        <v>342</v>
      </c>
      <c r="AD380" s="34">
        <v>46.306796669999997</v>
      </c>
      <c r="AE380" s="34">
        <v>-84.061593329999994</v>
      </c>
      <c r="AF380" s="18">
        <v>40683.040277777778</v>
      </c>
      <c r="AG380" s="19">
        <v>40682.873611111114</v>
      </c>
      <c r="AH380" t="s">
        <v>161</v>
      </c>
      <c r="AL380" t="s">
        <v>335</v>
      </c>
      <c r="AM380" s="20">
        <v>40680</v>
      </c>
      <c r="AR380" s="39" t="s">
        <v>400</v>
      </c>
      <c r="AS380" s="39"/>
      <c r="AT380" s="39">
        <v>200</v>
      </c>
      <c r="AZ380" t="s">
        <v>108</v>
      </c>
      <c r="BC380" t="s">
        <v>336</v>
      </c>
    </row>
    <row r="381" spans="1:55" x14ac:dyDescent="0.25">
      <c r="A381" t="str">
        <f t="shared" si="5"/>
        <v>A69-1601-1145</v>
      </c>
      <c r="B381" t="s">
        <v>398</v>
      </c>
      <c r="C381" t="s">
        <v>324</v>
      </c>
      <c r="D381" t="s">
        <v>345</v>
      </c>
      <c r="F381">
        <v>1145</v>
      </c>
      <c r="G381" t="s">
        <v>346</v>
      </c>
      <c r="H381" t="s">
        <v>327</v>
      </c>
      <c r="I381" s="20">
        <v>40680</v>
      </c>
      <c r="J381">
        <v>101</v>
      </c>
      <c r="L381" t="s">
        <v>109</v>
      </c>
      <c r="M381" t="s">
        <v>328</v>
      </c>
      <c r="N381" t="s">
        <v>329</v>
      </c>
      <c r="O381" t="s">
        <v>330</v>
      </c>
      <c r="P381" t="s">
        <v>331</v>
      </c>
      <c r="U381">
        <v>0.51</v>
      </c>
      <c r="V381">
        <v>0.29499999999999998</v>
      </c>
      <c r="W381" t="s">
        <v>399</v>
      </c>
      <c r="Y381" t="s">
        <v>337</v>
      </c>
      <c r="AB381" t="s">
        <v>343</v>
      </c>
      <c r="AC381" t="s">
        <v>342</v>
      </c>
      <c r="AD381" s="34">
        <v>46.306796669999997</v>
      </c>
      <c r="AE381" s="34">
        <v>-84.061593329999994</v>
      </c>
      <c r="AF381" s="18">
        <v>40683.040277777778</v>
      </c>
      <c r="AG381" s="19">
        <v>40682.873611111114</v>
      </c>
      <c r="AH381" t="s">
        <v>161</v>
      </c>
      <c r="AL381" t="s">
        <v>335</v>
      </c>
      <c r="AM381" s="20">
        <v>40680</v>
      </c>
      <c r="AR381" s="39" t="s">
        <v>400</v>
      </c>
      <c r="AS381" s="39"/>
      <c r="AT381" s="39">
        <v>200</v>
      </c>
      <c r="AZ381" t="s">
        <v>108</v>
      </c>
      <c r="BC381" t="s">
        <v>336</v>
      </c>
    </row>
    <row r="382" spans="1:55" x14ac:dyDescent="0.25">
      <c r="A382" t="str">
        <f t="shared" si="5"/>
        <v>A69-1601-1146</v>
      </c>
      <c r="B382" t="s">
        <v>398</v>
      </c>
      <c r="C382" t="s">
        <v>324</v>
      </c>
      <c r="D382" t="s">
        <v>345</v>
      </c>
      <c r="F382">
        <v>1146</v>
      </c>
      <c r="G382" t="s">
        <v>346</v>
      </c>
      <c r="H382" t="s">
        <v>327</v>
      </c>
      <c r="I382" s="20">
        <v>40680</v>
      </c>
      <c r="J382">
        <v>101</v>
      </c>
      <c r="L382" t="s">
        <v>109</v>
      </c>
      <c r="M382" t="s">
        <v>328</v>
      </c>
      <c r="N382" t="s">
        <v>329</v>
      </c>
      <c r="O382" t="s">
        <v>330</v>
      </c>
      <c r="P382" t="s">
        <v>331</v>
      </c>
      <c r="U382">
        <v>0.52</v>
      </c>
      <c r="V382">
        <v>0.26800000000000002</v>
      </c>
      <c r="W382" t="s">
        <v>399</v>
      </c>
      <c r="Y382" t="s">
        <v>337</v>
      </c>
      <c r="AB382" t="s">
        <v>343</v>
      </c>
      <c r="AC382" t="s">
        <v>342</v>
      </c>
      <c r="AD382" s="34">
        <v>46.306796669999997</v>
      </c>
      <c r="AE382" s="34">
        <v>-84.061593329999994</v>
      </c>
      <c r="AF382" s="18">
        <v>40683.040277777778</v>
      </c>
      <c r="AG382" s="19">
        <v>40682.873611111114</v>
      </c>
      <c r="AH382" t="s">
        <v>161</v>
      </c>
      <c r="AL382" t="s">
        <v>335</v>
      </c>
      <c r="AM382" s="20">
        <v>40680</v>
      </c>
      <c r="AR382" s="39" t="s">
        <v>400</v>
      </c>
      <c r="AS382" s="39"/>
      <c r="AT382" s="39">
        <v>200</v>
      </c>
      <c r="AZ382" t="s">
        <v>108</v>
      </c>
      <c r="BC382" t="s">
        <v>336</v>
      </c>
    </row>
    <row r="383" spans="1:55" x14ac:dyDescent="0.25">
      <c r="A383" t="str">
        <f t="shared" si="5"/>
        <v>A69-1601-1147</v>
      </c>
      <c r="B383" t="s">
        <v>398</v>
      </c>
      <c r="C383" t="s">
        <v>324</v>
      </c>
      <c r="D383" t="s">
        <v>345</v>
      </c>
      <c r="F383">
        <v>1147</v>
      </c>
      <c r="G383" t="s">
        <v>346</v>
      </c>
      <c r="H383" t="s">
        <v>327</v>
      </c>
      <c r="I383" s="20">
        <v>40680</v>
      </c>
      <c r="J383">
        <v>101</v>
      </c>
      <c r="L383" t="s">
        <v>109</v>
      </c>
      <c r="M383" t="s">
        <v>328</v>
      </c>
      <c r="N383" t="s">
        <v>329</v>
      </c>
      <c r="O383" t="s">
        <v>330</v>
      </c>
      <c r="P383" t="s">
        <v>331</v>
      </c>
      <c r="U383">
        <v>0.55000000000000004</v>
      </c>
      <c r="V383">
        <v>0.30299999999999999</v>
      </c>
      <c r="W383" t="s">
        <v>399</v>
      </c>
      <c r="Y383" t="s">
        <v>337</v>
      </c>
      <c r="AB383" t="s">
        <v>343</v>
      </c>
      <c r="AC383" t="s">
        <v>342</v>
      </c>
      <c r="AD383" s="34">
        <v>46.306796669999997</v>
      </c>
      <c r="AE383" s="34">
        <v>-84.061593329999994</v>
      </c>
      <c r="AF383" s="18">
        <v>40683.040277777778</v>
      </c>
      <c r="AG383" s="19">
        <v>40682.873611111114</v>
      </c>
      <c r="AH383" t="s">
        <v>161</v>
      </c>
      <c r="AL383" t="s">
        <v>335</v>
      </c>
      <c r="AM383" s="20">
        <v>40680</v>
      </c>
      <c r="AR383" s="39" t="s">
        <v>400</v>
      </c>
      <c r="AS383" s="39"/>
      <c r="AT383" s="39">
        <v>200</v>
      </c>
      <c r="AZ383" t="s">
        <v>108</v>
      </c>
      <c r="BC383" t="s">
        <v>336</v>
      </c>
    </row>
    <row r="384" spans="1:55" x14ac:dyDescent="0.25">
      <c r="A384" t="str">
        <f t="shared" si="5"/>
        <v>A69-1601-1148</v>
      </c>
      <c r="B384" t="s">
        <v>398</v>
      </c>
      <c r="C384" t="s">
        <v>324</v>
      </c>
      <c r="D384" t="s">
        <v>345</v>
      </c>
      <c r="F384">
        <v>1148</v>
      </c>
      <c r="G384" t="s">
        <v>346</v>
      </c>
      <c r="H384" t="s">
        <v>327</v>
      </c>
      <c r="I384" s="20">
        <v>40680</v>
      </c>
      <c r="J384">
        <v>101</v>
      </c>
      <c r="L384" t="s">
        <v>109</v>
      </c>
      <c r="M384" t="s">
        <v>328</v>
      </c>
      <c r="N384" t="s">
        <v>329</v>
      </c>
      <c r="O384" t="s">
        <v>330</v>
      </c>
      <c r="P384" t="s">
        <v>331</v>
      </c>
      <c r="U384">
        <v>0.49</v>
      </c>
      <c r="V384">
        <v>0.22800000000000001</v>
      </c>
      <c r="W384" t="s">
        <v>399</v>
      </c>
      <c r="Y384" t="s">
        <v>337</v>
      </c>
      <c r="AB384" t="s">
        <v>343</v>
      </c>
      <c r="AC384" t="s">
        <v>342</v>
      </c>
      <c r="AD384" s="34">
        <v>46.306796669999997</v>
      </c>
      <c r="AE384" s="34">
        <v>-84.061593329999994</v>
      </c>
      <c r="AF384" s="18">
        <v>40683.040277777778</v>
      </c>
      <c r="AG384" s="19">
        <v>40682.873611111114</v>
      </c>
      <c r="AH384" t="s">
        <v>161</v>
      </c>
      <c r="AL384" t="s">
        <v>335</v>
      </c>
      <c r="AM384" s="20">
        <v>40680</v>
      </c>
      <c r="AR384" s="39" t="s">
        <v>400</v>
      </c>
      <c r="AS384" s="39"/>
      <c r="AT384" s="39">
        <v>200</v>
      </c>
      <c r="AZ384" t="s">
        <v>108</v>
      </c>
      <c r="BC384" t="s">
        <v>336</v>
      </c>
    </row>
    <row r="385" spans="1:55" x14ac:dyDescent="0.25">
      <c r="A385" t="str">
        <f t="shared" si="5"/>
        <v>A69-1601-1149</v>
      </c>
      <c r="B385" t="s">
        <v>398</v>
      </c>
      <c r="C385" t="s">
        <v>324</v>
      </c>
      <c r="D385" t="s">
        <v>345</v>
      </c>
      <c r="F385">
        <v>1149</v>
      </c>
      <c r="G385" t="s">
        <v>346</v>
      </c>
      <c r="H385" t="s">
        <v>327</v>
      </c>
      <c r="I385" s="20">
        <v>40680</v>
      </c>
      <c r="J385">
        <v>101</v>
      </c>
      <c r="L385" t="s">
        <v>109</v>
      </c>
      <c r="M385" t="s">
        <v>328</v>
      </c>
      <c r="N385" t="s">
        <v>329</v>
      </c>
      <c r="O385" t="s">
        <v>330</v>
      </c>
      <c r="P385" t="s">
        <v>331</v>
      </c>
      <c r="U385">
        <v>0.48</v>
      </c>
      <c r="V385">
        <v>0.26100000000000001</v>
      </c>
      <c r="W385" t="s">
        <v>399</v>
      </c>
      <c r="Y385" t="s">
        <v>337</v>
      </c>
      <c r="AB385" t="s">
        <v>343</v>
      </c>
      <c r="AC385" t="s">
        <v>342</v>
      </c>
      <c r="AD385" s="34">
        <v>46.306796669999997</v>
      </c>
      <c r="AE385" s="34">
        <v>-84.061593329999994</v>
      </c>
      <c r="AF385" s="18">
        <v>40683.040277777778</v>
      </c>
      <c r="AG385" s="19">
        <v>40682.873611111114</v>
      </c>
      <c r="AH385" t="s">
        <v>161</v>
      </c>
      <c r="AL385" t="s">
        <v>335</v>
      </c>
      <c r="AM385" s="20">
        <v>40680</v>
      </c>
      <c r="AR385" s="39" t="s">
        <v>400</v>
      </c>
      <c r="AS385" s="39"/>
      <c r="AT385" s="39">
        <v>200</v>
      </c>
      <c r="AZ385" t="s">
        <v>108</v>
      </c>
      <c r="BC385" t="s">
        <v>336</v>
      </c>
    </row>
    <row r="386" spans="1:55" x14ac:dyDescent="0.25">
      <c r="A386" t="str">
        <f t="shared" si="5"/>
        <v>A69-1601-1150</v>
      </c>
      <c r="B386" t="s">
        <v>398</v>
      </c>
      <c r="C386" t="s">
        <v>324</v>
      </c>
      <c r="D386" t="s">
        <v>345</v>
      </c>
      <c r="F386">
        <v>1150</v>
      </c>
      <c r="G386" t="s">
        <v>346</v>
      </c>
      <c r="H386" t="s">
        <v>327</v>
      </c>
      <c r="I386" s="20">
        <v>40680</v>
      </c>
      <c r="J386">
        <v>101</v>
      </c>
      <c r="L386" t="s">
        <v>109</v>
      </c>
      <c r="M386" t="s">
        <v>328</v>
      </c>
      <c r="N386" t="s">
        <v>329</v>
      </c>
      <c r="O386" t="s">
        <v>330</v>
      </c>
      <c r="P386" t="s">
        <v>331</v>
      </c>
      <c r="U386">
        <v>0.5</v>
      </c>
      <c r="V386">
        <v>0.248</v>
      </c>
      <c r="W386" t="s">
        <v>399</v>
      </c>
      <c r="Y386" t="s">
        <v>337</v>
      </c>
      <c r="AB386" t="s">
        <v>343</v>
      </c>
      <c r="AC386" t="s">
        <v>342</v>
      </c>
      <c r="AD386" s="34">
        <v>46.306796669999997</v>
      </c>
      <c r="AE386" s="34">
        <v>-84.061593329999994</v>
      </c>
      <c r="AF386" s="18">
        <v>40683.040277777778</v>
      </c>
      <c r="AG386" s="19">
        <v>40682.873611111114</v>
      </c>
      <c r="AH386" t="s">
        <v>161</v>
      </c>
      <c r="AL386" t="s">
        <v>335</v>
      </c>
      <c r="AM386" s="20">
        <v>40680</v>
      </c>
      <c r="AR386" s="39" t="s">
        <v>400</v>
      </c>
      <c r="AS386" s="39"/>
      <c r="AT386" s="39">
        <v>200</v>
      </c>
      <c r="AZ386" t="s">
        <v>108</v>
      </c>
      <c r="BC386" t="s">
        <v>336</v>
      </c>
    </row>
    <row r="387" spans="1:55" x14ac:dyDescent="0.25">
      <c r="A387" t="str">
        <f t="shared" si="5"/>
        <v>A69-1601-1151</v>
      </c>
      <c r="B387" t="s">
        <v>398</v>
      </c>
      <c r="C387" t="s">
        <v>324</v>
      </c>
      <c r="D387" t="s">
        <v>345</v>
      </c>
      <c r="F387">
        <v>1151</v>
      </c>
      <c r="G387" t="s">
        <v>346</v>
      </c>
      <c r="H387" t="s">
        <v>327</v>
      </c>
      <c r="I387" s="20">
        <v>40680</v>
      </c>
      <c r="J387">
        <v>101</v>
      </c>
      <c r="L387" t="s">
        <v>109</v>
      </c>
      <c r="M387" t="s">
        <v>328</v>
      </c>
      <c r="N387" t="s">
        <v>329</v>
      </c>
      <c r="O387" t="s">
        <v>330</v>
      </c>
      <c r="P387" t="s">
        <v>331</v>
      </c>
      <c r="U387">
        <v>0.51</v>
      </c>
      <c r="V387">
        <v>0.24299999999999999</v>
      </c>
      <c r="W387" t="s">
        <v>399</v>
      </c>
      <c r="Y387" t="s">
        <v>337</v>
      </c>
      <c r="AB387" t="s">
        <v>343</v>
      </c>
      <c r="AC387" t="s">
        <v>342</v>
      </c>
      <c r="AD387" s="34">
        <v>46.306796669999997</v>
      </c>
      <c r="AE387" s="34">
        <v>-84.061593329999994</v>
      </c>
      <c r="AF387" s="18">
        <v>40683.040277777778</v>
      </c>
      <c r="AG387" s="19">
        <v>40682.873611111114</v>
      </c>
      <c r="AH387" t="s">
        <v>161</v>
      </c>
      <c r="AL387" t="s">
        <v>335</v>
      </c>
      <c r="AM387" s="20">
        <v>40680</v>
      </c>
      <c r="AR387" s="39" t="s">
        <v>400</v>
      </c>
      <c r="AS387" s="39"/>
      <c r="AT387" s="39">
        <v>200</v>
      </c>
      <c r="AZ387" t="s">
        <v>108</v>
      </c>
      <c r="BC387" t="s">
        <v>336</v>
      </c>
    </row>
    <row r="388" spans="1:55" x14ac:dyDescent="0.25">
      <c r="A388" t="str">
        <f t="shared" ref="A388:A451" si="6">CONCATENATE(G388,"-",F388)</f>
        <v>A69-1601-1152</v>
      </c>
      <c r="B388" t="s">
        <v>398</v>
      </c>
      <c r="C388" t="s">
        <v>324</v>
      </c>
      <c r="D388" t="s">
        <v>345</v>
      </c>
      <c r="F388">
        <v>1152</v>
      </c>
      <c r="G388" t="s">
        <v>346</v>
      </c>
      <c r="H388" t="s">
        <v>327</v>
      </c>
      <c r="I388" s="20">
        <v>40680</v>
      </c>
      <c r="J388">
        <v>101</v>
      </c>
      <c r="L388" t="s">
        <v>109</v>
      </c>
      <c r="M388" t="s">
        <v>328</v>
      </c>
      <c r="N388" t="s">
        <v>329</v>
      </c>
      <c r="O388" t="s">
        <v>330</v>
      </c>
      <c r="P388" t="s">
        <v>331</v>
      </c>
      <c r="U388">
        <v>0.51</v>
      </c>
      <c r="V388">
        <v>0.28899999999999998</v>
      </c>
      <c r="W388" t="s">
        <v>399</v>
      </c>
      <c r="Y388" t="s">
        <v>337</v>
      </c>
      <c r="AB388" t="s">
        <v>343</v>
      </c>
      <c r="AC388" t="s">
        <v>342</v>
      </c>
      <c r="AD388" s="34">
        <v>46.306796669999997</v>
      </c>
      <c r="AE388" s="34">
        <v>-84.061593329999994</v>
      </c>
      <c r="AF388" s="18">
        <v>40683.040277777778</v>
      </c>
      <c r="AG388" s="19">
        <v>40682.873611111114</v>
      </c>
      <c r="AH388" t="s">
        <v>161</v>
      </c>
      <c r="AL388" t="s">
        <v>335</v>
      </c>
      <c r="AM388" s="20">
        <v>40680</v>
      </c>
      <c r="AR388" s="39" t="s">
        <v>400</v>
      </c>
      <c r="AS388" s="39"/>
      <c r="AT388" s="39">
        <v>200</v>
      </c>
      <c r="AZ388" t="s">
        <v>108</v>
      </c>
      <c r="BC388" t="s">
        <v>336</v>
      </c>
    </row>
    <row r="389" spans="1:55" x14ac:dyDescent="0.25">
      <c r="A389" t="str">
        <f t="shared" si="6"/>
        <v>A69-1601-1153</v>
      </c>
      <c r="B389" t="s">
        <v>398</v>
      </c>
      <c r="C389" t="s">
        <v>324</v>
      </c>
      <c r="D389" t="s">
        <v>345</v>
      </c>
      <c r="F389">
        <v>1153</v>
      </c>
      <c r="G389" t="s">
        <v>346</v>
      </c>
      <c r="H389" t="s">
        <v>327</v>
      </c>
      <c r="I389" s="20">
        <v>40680</v>
      </c>
      <c r="J389">
        <v>101</v>
      </c>
      <c r="L389" t="s">
        <v>109</v>
      </c>
      <c r="M389" t="s">
        <v>328</v>
      </c>
      <c r="N389" t="s">
        <v>329</v>
      </c>
      <c r="O389" t="s">
        <v>330</v>
      </c>
      <c r="P389" t="s">
        <v>331</v>
      </c>
      <c r="U389">
        <v>0.54</v>
      </c>
      <c r="V389">
        <v>0.29199999999999998</v>
      </c>
      <c r="W389" t="s">
        <v>399</v>
      </c>
      <c r="Y389" t="s">
        <v>337</v>
      </c>
      <c r="AB389" t="s">
        <v>343</v>
      </c>
      <c r="AC389" t="s">
        <v>342</v>
      </c>
      <c r="AD389" s="34">
        <v>46.306796669999997</v>
      </c>
      <c r="AE389" s="34">
        <v>-84.061593329999994</v>
      </c>
      <c r="AF389" s="18">
        <v>40683.040277777778</v>
      </c>
      <c r="AG389" s="19">
        <v>40682.873611111114</v>
      </c>
      <c r="AH389" t="s">
        <v>161</v>
      </c>
      <c r="AL389" t="s">
        <v>335</v>
      </c>
      <c r="AM389" s="20">
        <v>40680</v>
      </c>
      <c r="AR389" s="39" t="s">
        <v>400</v>
      </c>
      <c r="AS389" s="39"/>
      <c r="AT389" s="39">
        <v>200</v>
      </c>
      <c r="AZ389" t="s">
        <v>108</v>
      </c>
      <c r="BC389" t="s">
        <v>336</v>
      </c>
    </row>
    <row r="390" spans="1:55" x14ac:dyDescent="0.25">
      <c r="A390" t="str">
        <f t="shared" si="6"/>
        <v>A69-1601-1154</v>
      </c>
      <c r="B390" t="s">
        <v>398</v>
      </c>
      <c r="C390" t="s">
        <v>324</v>
      </c>
      <c r="D390" t="s">
        <v>345</v>
      </c>
      <c r="F390">
        <v>1154</v>
      </c>
      <c r="G390" t="s">
        <v>346</v>
      </c>
      <c r="H390" t="s">
        <v>327</v>
      </c>
      <c r="I390" s="20">
        <v>40680</v>
      </c>
      <c r="J390">
        <v>101</v>
      </c>
      <c r="L390" t="s">
        <v>109</v>
      </c>
      <c r="M390" t="s">
        <v>328</v>
      </c>
      <c r="N390" t="s">
        <v>329</v>
      </c>
      <c r="O390" t="s">
        <v>330</v>
      </c>
      <c r="P390" t="s">
        <v>331</v>
      </c>
      <c r="U390">
        <v>0.46</v>
      </c>
      <c r="V390">
        <v>0.251</v>
      </c>
      <c r="W390" t="s">
        <v>399</v>
      </c>
      <c r="Y390" t="s">
        <v>337</v>
      </c>
      <c r="AB390" t="s">
        <v>343</v>
      </c>
      <c r="AC390" t="s">
        <v>342</v>
      </c>
      <c r="AD390" s="34">
        <v>46.306796669999997</v>
      </c>
      <c r="AE390" s="34">
        <v>-84.061593329999994</v>
      </c>
      <c r="AF390" s="18">
        <v>40683.040277777778</v>
      </c>
      <c r="AG390" s="19">
        <v>40682.873611111114</v>
      </c>
      <c r="AH390" t="s">
        <v>161</v>
      </c>
      <c r="AL390" t="s">
        <v>335</v>
      </c>
      <c r="AM390" s="20">
        <v>40680</v>
      </c>
      <c r="AR390" s="39" t="s">
        <v>400</v>
      </c>
      <c r="AS390" s="39"/>
      <c r="AT390" s="39">
        <v>200</v>
      </c>
      <c r="AZ390" t="s">
        <v>108</v>
      </c>
      <c r="BC390" t="s">
        <v>336</v>
      </c>
    </row>
    <row r="391" spans="1:55" x14ac:dyDescent="0.25">
      <c r="A391" t="str">
        <f t="shared" si="6"/>
        <v>A69-1601-1155</v>
      </c>
      <c r="B391" t="s">
        <v>398</v>
      </c>
      <c r="C391" t="s">
        <v>324</v>
      </c>
      <c r="D391" t="s">
        <v>345</v>
      </c>
      <c r="F391">
        <v>1155</v>
      </c>
      <c r="G391" t="s">
        <v>346</v>
      </c>
      <c r="H391" t="s">
        <v>327</v>
      </c>
      <c r="I391" s="20">
        <v>40680</v>
      </c>
      <c r="J391">
        <v>101</v>
      </c>
      <c r="L391" t="s">
        <v>109</v>
      </c>
      <c r="M391" t="s">
        <v>328</v>
      </c>
      <c r="N391" t="s">
        <v>329</v>
      </c>
      <c r="O391" t="s">
        <v>330</v>
      </c>
      <c r="P391" t="s">
        <v>331</v>
      </c>
      <c r="U391">
        <v>0.54</v>
      </c>
      <c r="V391">
        <v>0.26600000000000001</v>
      </c>
      <c r="W391" t="s">
        <v>399</v>
      </c>
      <c r="Y391" t="s">
        <v>337</v>
      </c>
      <c r="AB391" t="s">
        <v>343</v>
      </c>
      <c r="AC391" t="s">
        <v>342</v>
      </c>
      <c r="AD391" s="34">
        <v>46.306796669999997</v>
      </c>
      <c r="AE391" s="34">
        <v>-84.061593329999994</v>
      </c>
      <c r="AF391" s="18">
        <v>40683.040277777778</v>
      </c>
      <c r="AG391" s="19">
        <v>40682.873611111114</v>
      </c>
      <c r="AH391" t="s">
        <v>161</v>
      </c>
      <c r="AL391" t="s">
        <v>335</v>
      </c>
      <c r="AM391" s="20">
        <v>40680</v>
      </c>
      <c r="AR391" s="39" t="s">
        <v>400</v>
      </c>
      <c r="AS391" s="39"/>
      <c r="AT391" s="39">
        <v>200</v>
      </c>
      <c r="AZ391" t="s">
        <v>108</v>
      </c>
      <c r="BC391" t="s">
        <v>336</v>
      </c>
    </row>
    <row r="392" spans="1:55" x14ac:dyDescent="0.25">
      <c r="A392" t="str">
        <f t="shared" si="6"/>
        <v>A69-1601-1156</v>
      </c>
      <c r="B392" t="s">
        <v>398</v>
      </c>
      <c r="C392" t="s">
        <v>324</v>
      </c>
      <c r="D392" t="s">
        <v>345</v>
      </c>
      <c r="F392">
        <v>1156</v>
      </c>
      <c r="G392" t="s">
        <v>346</v>
      </c>
      <c r="H392" t="s">
        <v>327</v>
      </c>
      <c r="I392" s="20">
        <v>40680</v>
      </c>
      <c r="J392">
        <v>101</v>
      </c>
      <c r="L392" t="s">
        <v>109</v>
      </c>
      <c r="M392" t="s">
        <v>328</v>
      </c>
      <c r="N392" t="s">
        <v>329</v>
      </c>
      <c r="O392" t="s">
        <v>330</v>
      </c>
      <c r="P392" t="s">
        <v>331</v>
      </c>
      <c r="U392">
        <v>0.47</v>
      </c>
      <c r="V392">
        <v>0.22900000000000001</v>
      </c>
      <c r="W392" t="s">
        <v>399</v>
      </c>
      <c r="Y392" t="s">
        <v>337</v>
      </c>
      <c r="AB392" t="s">
        <v>343</v>
      </c>
      <c r="AC392" t="s">
        <v>342</v>
      </c>
      <c r="AD392" s="34">
        <v>46.306796669999997</v>
      </c>
      <c r="AE392" s="34">
        <v>-84.061593329999994</v>
      </c>
      <c r="AF392" s="18">
        <v>40683.040277777778</v>
      </c>
      <c r="AG392" s="19">
        <v>40682.873611111114</v>
      </c>
      <c r="AH392" t="s">
        <v>161</v>
      </c>
      <c r="AL392" t="s">
        <v>335</v>
      </c>
      <c r="AM392" s="20">
        <v>40680</v>
      </c>
      <c r="AR392" s="39" t="s">
        <v>400</v>
      </c>
      <c r="AS392" s="39"/>
      <c r="AT392" s="39">
        <v>200</v>
      </c>
      <c r="AZ392" t="s">
        <v>108</v>
      </c>
      <c r="BC392" t="s">
        <v>336</v>
      </c>
    </row>
    <row r="393" spans="1:55" x14ac:dyDescent="0.25">
      <c r="A393" t="str">
        <f t="shared" si="6"/>
        <v>A69-1601-1157</v>
      </c>
      <c r="B393" t="s">
        <v>398</v>
      </c>
      <c r="C393" t="s">
        <v>324</v>
      </c>
      <c r="D393" t="s">
        <v>345</v>
      </c>
      <c r="F393">
        <v>1157</v>
      </c>
      <c r="G393" t="s">
        <v>346</v>
      </c>
      <c r="H393" t="s">
        <v>327</v>
      </c>
      <c r="I393" s="20">
        <v>40680</v>
      </c>
      <c r="J393">
        <v>101</v>
      </c>
      <c r="L393" t="s">
        <v>109</v>
      </c>
      <c r="M393" t="s">
        <v>328</v>
      </c>
      <c r="N393" t="s">
        <v>329</v>
      </c>
      <c r="O393" t="s">
        <v>330</v>
      </c>
      <c r="P393" t="s">
        <v>331</v>
      </c>
      <c r="U393">
        <v>0.51</v>
      </c>
      <c r="V393">
        <v>0.309</v>
      </c>
      <c r="W393" t="s">
        <v>399</v>
      </c>
      <c r="Y393" t="s">
        <v>337</v>
      </c>
      <c r="AB393" t="s">
        <v>343</v>
      </c>
      <c r="AC393" t="s">
        <v>342</v>
      </c>
      <c r="AD393" s="34">
        <v>46.306796669999997</v>
      </c>
      <c r="AE393" s="34">
        <v>-84.061593329999994</v>
      </c>
      <c r="AF393" s="18">
        <v>40683.040277777778</v>
      </c>
      <c r="AG393" s="19">
        <v>40682.873611111114</v>
      </c>
      <c r="AH393" t="s">
        <v>161</v>
      </c>
      <c r="AL393" t="s">
        <v>335</v>
      </c>
      <c r="AM393" s="20">
        <v>40680</v>
      </c>
      <c r="AR393" s="39" t="s">
        <v>400</v>
      </c>
      <c r="AS393" s="39"/>
      <c r="AT393" s="39">
        <v>200</v>
      </c>
      <c r="AZ393" t="s">
        <v>108</v>
      </c>
      <c r="BC393" t="s">
        <v>336</v>
      </c>
    </row>
    <row r="394" spans="1:55" x14ac:dyDescent="0.25">
      <c r="A394" t="str">
        <f t="shared" si="6"/>
        <v>A69-1601-1158</v>
      </c>
      <c r="B394" t="s">
        <v>398</v>
      </c>
      <c r="C394" t="s">
        <v>324</v>
      </c>
      <c r="D394" t="s">
        <v>345</v>
      </c>
      <c r="F394">
        <v>1158</v>
      </c>
      <c r="G394" t="s">
        <v>346</v>
      </c>
      <c r="H394" t="s">
        <v>327</v>
      </c>
      <c r="I394" s="20">
        <v>40680</v>
      </c>
      <c r="J394">
        <v>101</v>
      </c>
      <c r="L394" t="s">
        <v>109</v>
      </c>
      <c r="M394" t="s">
        <v>328</v>
      </c>
      <c r="N394" t="s">
        <v>329</v>
      </c>
      <c r="O394" t="s">
        <v>330</v>
      </c>
      <c r="P394" t="s">
        <v>331</v>
      </c>
      <c r="U394">
        <v>0.52</v>
      </c>
      <c r="V394">
        <v>0.32900000000000001</v>
      </c>
      <c r="W394" t="s">
        <v>399</v>
      </c>
      <c r="Y394" t="s">
        <v>337</v>
      </c>
      <c r="AB394" t="s">
        <v>343</v>
      </c>
      <c r="AC394" t="s">
        <v>342</v>
      </c>
      <c r="AD394" s="34">
        <v>46.306796669999997</v>
      </c>
      <c r="AE394" s="34">
        <v>-84.061593329999994</v>
      </c>
      <c r="AF394" s="18">
        <v>40683.040277777778</v>
      </c>
      <c r="AG394" s="19">
        <v>40682.873611111114</v>
      </c>
      <c r="AH394" t="s">
        <v>161</v>
      </c>
      <c r="AL394" t="s">
        <v>335</v>
      </c>
      <c r="AM394" s="20">
        <v>40680</v>
      </c>
      <c r="AR394" s="39" t="s">
        <v>400</v>
      </c>
      <c r="AS394" s="39"/>
      <c r="AT394" s="39">
        <v>200</v>
      </c>
      <c r="AZ394" t="s">
        <v>108</v>
      </c>
      <c r="BC394" t="s">
        <v>336</v>
      </c>
    </row>
    <row r="395" spans="1:55" x14ac:dyDescent="0.25">
      <c r="A395" t="str">
        <f t="shared" si="6"/>
        <v>A69-1601-1159</v>
      </c>
      <c r="B395" t="s">
        <v>398</v>
      </c>
      <c r="C395" t="s">
        <v>324</v>
      </c>
      <c r="D395" t="s">
        <v>345</v>
      </c>
      <c r="F395">
        <v>1159</v>
      </c>
      <c r="G395" t="s">
        <v>346</v>
      </c>
      <c r="H395" t="s">
        <v>327</v>
      </c>
      <c r="I395" s="20">
        <v>40680</v>
      </c>
      <c r="J395">
        <v>101</v>
      </c>
      <c r="L395" t="s">
        <v>109</v>
      </c>
      <c r="M395" t="s">
        <v>328</v>
      </c>
      <c r="N395" t="s">
        <v>329</v>
      </c>
      <c r="O395" t="s">
        <v>330</v>
      </c>
      <c r="P395" t="s">
        <v>331</v>
      </c>
      <c r="U395">
        <v>0.5</v>
      </c>
      <c r="V395">
        <v>0.28499999999999998</v>
      </c>
      <c r="W395" t="s">
        <v>399</v>
      </c>
      <c r="Y395" t="s">
        <v>337</v>
      </c>
      <c r="AB395" t="s">
        <v>343</v>
      </c>
      <c r="AC395" t="s">
        <v>342</v>
      </c>
      <c r="AD395" s="34">
        <v>46.306796669999997</v>
      </c>
      <c r="AE395" s="34">
        <v>-84.061593329999994</v>
      </c>
      <c r="AF395" s="18">
        <v>40683.040277777778</v>
      </c>
      <c r="AG395" s="19">
        <v>40682.873611111114</v>
      </c>
      <c r="AH395" t="s">
        <v>161</v>
      </c>
      <c r="AL395" t="s">
        <v>335</v>
      </c>
      <c r="AM395" s="20">
        <v>40680</v>
      </c>
      <c r="AR395" s="39" t="s">
        <v>400</v>
      </c>
      <c r="AS395" s="39"/>
      <c r="AT395" s="39">
        <v>200</v>
      </c>
      <c r="AZ395" t="s">
        <v>108</v>
      </c>
      <c r="BC395" t="s">
        <v>336</v>
      </c>
    </row>
    <row r="396" spans="1:55" x14ac:dyDescent="0.25">
      <c r="A396" t="str">
        <f t="shared" si="6"/>
        <v>A69-1601-1160</v>
      </c>
      <c r="B396" t="s">
        <v>398</v>
      </c>
      <c r="C396" t="s">
        <v>324</v>
      </c>
      <c r="D396" t="s">
        <v>345</v>
      </c>
      <c r="F396">
        <v>1160</v>
      </c>
      <c r="G396" t="s">
        <v>346</v>
      </c>
      <c r="H396" t="s">
        <v>327</v>
      </c>
      <c r="I396" s="20">
        <v>40680</v>
      </c>
      <c r="J396">
        <v>101</v>
      </c>
      <c r="L396" t="s">
        <v>109</v>
      </c>
      <c r="M396" t="s">
        <v>328</v>
      </c>
      <c r="N396" t="s">
        <v>329</v>
      </c>
      <c r="O396" t="s">
        <v>330</v>
      </c>
      <c r="P396" t="s">
        <v>331</v>
      </c>
      <c r="U396">
        <v>0.48</v>
      </c>
      <c r="V396">
        <v>0.254</v>
      </c>
      <c r="W396" t="s">
        <v>399</v>
      </c>
      <c r="Y396" t="s">
        <v>337</v>
      </c>
      <c r="AB396" t="s">
        <v>343</v>
      </c>
      <c r="AC396" t="s">
        <v>342</v>
      </c>
      <c r="AD396" s="34">
        <v>46.306796669999997</v>
      </c>
      <c r="AE396" s="34">
        <v>-84.061593329999994</v>
      </c>
      <c r="AF396" s="18">
        <v>40683.040277777778</v>
      </c>
      <c r="AG396" s="19">
        <v>40682.873611111114</v>
      </c>
      <c r="AH396" t="s">
        <v>161</v>
      </c>
      <c r="AL396" t="s">
        <v>335</v>
      </c>
      <c r="AM396" s="20">
        <v>40680</v>
      </c>
      <c r="AR396" s="39" t="s">
        <v>400</v>
      </c>
      <c r="AS396" s="39"/>
      <c r="AT396" s="39">
        <v>200</v>
      </c>
      <c r="AZ396" t="s">
        <v>108</v>
      </c>
      <c r="BC396" t="s">
        <v>336</v>
      </c>
    </row>
    <row r="397" spans="1:55" x14ac:dyDescent="0.25">
      <c r="A397" t="str">
        <f t="shared" si="6"/>
        <v>A69-1601-1161</v>
      </c>
      <c r="B397" t="s">
        <v>398</v>
      </c>
      <c r="C397" t="s">
        <v>324</v>
      </c>
      <c r="D397" t="s">
        <v>345</v>
      </c>
      <c r="F397">
        <v>1161</v>
      </c>
      <c r="G397" t="s">
        <v>346</v>
      </c>
      <c r="H397" t="s">
        <v>327</v>
      </c>
      <c r="I397" s="20">
        <v>40680</v>
      </c>
      <c r="J397">
        <v>101</v>
      </c>
      <c r="L397" t="s">
        <v>109</v>
      </c>
      <c r="M397" t="s">
        <v>328</v>
      </c>
      <c r="N397" t="s">
        <v>329</v>
      </c>
      <c r="O397" t="s">
        <v>330</v>
      </c>
      <c r="P397" t="s">
        <v>331</v>
      </c>
      <c r="U397">
        <v>0.49</v>
      </c>
      <c r="V397">
        <v>0.25</v>
      </c>
      <c r="W397" t="s">
        <v>399</v>
      </c>
      <c r="Y397" t="s">
        <v>337</v>
      </c>
      <c r="AB397" t="s">
        <v>343</v>
      </c>
      <c r="AC397" t="s">
        <v>342</v>
      </c>
      <c r="AD397" s="34">
        <v>46.306796669999997</v>
      </c>
      <c r="AE397" s="34">
        <v>-84.061593329999994</v>
      </c>
      <c r="AF397" s="18">
        <v>40683.040277777778</v>
      </c>
      <c r="AG397" s="19">
        <v>40682.873611111114</v>
      </c>
      <c r="AH397" t="s">
        <v>161</v>
      </c>
      <c r="AL397" t="s">
        <v>335</v>
      </c>
      <c r="AM397" s="20">
        <v>40680</v>
      </c>
      <c r="AR397" s="39" t="s">
        <v>400</v>
      </c>
      <c r="AS397" s="39"/>
      <c r="AT397" s="39">
        <v>200</v>
      </c>
      <c r="AZ397" t="s">
        <v>108</v>
      </c>
      <c r="BC397" t="s">
        <v>336</v>
      </c>
    </row>
    <row r="398" spans="1:55" x14ac:dyDescent="0.25">
      <c r="A398" t="str">
        <f t="shared" si="6"/>
        <v>A69-1601-1162</v>
      </c>
      <c r="B398" t="s">
        <v>398</v>
      </c>
      <c r="C398" t="s">
        <v>324</v>
      </c>
      <c r="D398" t="s">
        <v>345</v>
      </c>
      <c r="F398">
        <v>1162</v>
      </c>
      <c r="G398" t="s">
        <v>346</v>
      </c>
      <c r="H398" t="s">
        <v>327</v>
      </c>
      <c r="I398" s="20">
        <v>40680</v>
      </c>
      <c r="J398">
        <v>101</v>
      </c>
      <c r="L398" t="s">
        <v>109</v>
      </c>
      <c r="M398" t="s">
        <v>328</v>
      </c>
      <c r="N398" t="s">
        <v>329</v>
      </c>
      <c r="O398" t="s">
        <v>330</v>
      </c>
      <c r="P398" t="s">
        <v>331</v>
      </c>
      <c r="U398">
        <v>0.47</v>
      </c>
      <c r="V398">
        <v>0.252</v>
      </c>
      <c r="W398" t="s">
        <v>399</v>
      </c>
      <c r="Y398" t="s">
        <v>337</v>
      </c>
      <c r="AB398" t="s">
        <v>343</v>
      </c>
      <c r="AC398" t="s">
        <v>342</v>
      </c>
      <c r="AD398" s="34">
        <v>46.306796669999997</v>
      </c>
      <c r="AE398" s="34">
        <v>-84.061593329999994</v>
      </c>
      <c r="AF398" s="18">
        <v>40683.040277777778</v>
      </c>
      <c r="AG398" s="19">
        <v>40682.873611111114</v>
      </c>
      <c r="AH398" t="s">
        <v>161</v>
      </c>
      <c r="AL398" t="s">
        <v>335</v>
      </c>
      <c r="AM398" s="20">
        <v>40680</v>
      </c>
      <c r="AR398" s="39" t="s">
        <v>400</v>
      </c>
      <c r="AS398" s="39"/>
      <c r="AT398" s="39">
        <v>200</v>
      </c>
      <c r="AZ398" t="s">
        <v>108</v>
      </c>
      <c r="BC398" t="s">
        <v>336</v>
      </c>
    </row>
    <row r="399" spans="1:55" x14ac:dyDescent="0.25">
      <c r="A399" t="str">
        <f t="shared" si="6"/>
        <v>A69-1601-1163</v>
      </c>
      <c r="B399" t="s">
        <v>398</v>
      </c>
      <c r="C399" t="s">
        <v>324</v>
      </c>
      <c r="D399" t="s">
        <v>345</v>
      </c>
      <c r="F399">
        <v>1163</v>
      </c>
      <c r="G399" t="s">
        <v>346</v>
      </c>
      <c r="H399" t="s">
        <v>327</v>
      </c>
      <c r="I399" s="20">
        <v>40680</v>
      </c>
      <c r="J399">
        <v>101</v>
      </c>
      <c r="L399" t="s">
        <v>109</v>
      </c>
      <c r="M399" t="s">
        <v>328</v>
      </c>
      <c r="N399" t="s">
        <v>329</v>
      </c>
      <c r="O399" t="s">
        <v>330</v>
      </c>
      <c r="P399" t="s">
        <v>331</v>
      </c>
      <c r="U399">
        <v>0.5</v>
      </c>
      <c r="V399">
        <v>0.248</v>
      </c>
      <c r="W399" t="s">
        <v>399</v>
      </c>
      <c r="Y399" t="s">
        <v>337</v>
      </c>
      <c r="AB399" t="s">
        <v>343</v>
      </c>
      <c r="AC399" t="s">
        <v>342</v>
      </c>
      <c r="AD399" s="34">
        <v>46.306796669999997</v>
      </c>
      <c r="AE399" s="34">
        <v>-84.061593329999994</v>
      </c>
      <c r="AF399" s="18">
        <v>40683.040277777778</v>
      </c>
      <c r="AG399" s="19">
        <v>40682.873611111114</v>
      </c>
      <c r="AH399" t="s">
        <v>161</v>
      </c>
      <c r="AL399" t="s">
        <v>335</v>
      </c>
      <c r="AM399" s="20">
        <v>40680</v>
      </c>
      <c r="AR399" s="39" t="s">
        <v>400</v>
      </c>
      <c r="AS399" s="39"/>
      <c r="AT399" s="39">
        <v>200</v>
      </c>
      <c r="AZ399" t="s">
        <v>108</v>
      </c>
      <c r="BC399" t="s">
        <v>336</v>
      </c>
    </row>
    <row r="400" spans="1:55" x14ac:dyDescent="0.25">
      <c r="A400" t="str">
        <f t="shared" si="6"/>
        <v>A69-1601-1164</v>
      </c>
      <c r="B400" t="s">
        <v>398</v>
      </c>
      <c r="C400" t="s">
        <v>324</v>
      </c>
      <c r="D400" t="s">
        <v>345</v>
      </c>
      <c r="F400">
        <v>1164</v>
      </c>
      <c r="G400" t="s">
        <v>346</v>
      </c>
      <c r="H400" t="s">
        <v>327</v>
      </c>
      <c r="I400" s="20">
        <v>40680</v>
      </c>
      <c r="J400">
        <v>101</v>
      </c>
      <c r="L400" t="s">
        <v>109</v>
      </c>
      <c r="M400" t="s">
        <v>328</v>
      </c>
      <c r="N400" t="s">
        <v>329</v>
      </c>
      <c r="O400" t="s">
        <v>330</v>
      </c>
      <c r="P400" t="s">
        <v>331</v>
      </c>
      <c r="U400">
        <v>0.57999999999999996</v>
      </c>
      <c r="V400">
        <v>0.33100000000000002</v>
      </c>
      <c r="W400" t="s">
        <v>399</v>
      </c>
      <c r="Y400" t="s">
        <v>337</v>
      </c>
      <c r="AB400" t="s">
        <v>343</v>
      </c>
      <c r="AC400" t="s">
        <v>342</v>
      </c>
      <c r="AD400" s="34">
        <v>46.306796669999997</v>
      </c>
      <c r="AE400" s="34">
        <v>-84.061593329999994</v>
      </c>
      <c r="AF400" s="18">
        <v>40683.040277777778</v>
      </c>
      <c r="AG400" s="19">
        <v>40682.873611111114</v>
      </c>
      <c r="AH400" t="s">
        <v>161</v>
      </c>
      <c r="AL400" t="s">
        <v>335</v>
      </c>
      <c r="AM400" s="20">
        <v>40680</v>
      </c>
      <c r="AR400" s="39" t="s">
        <v>400</v>
      </c>
      <c r="AS400" s="39"/>
      <c r="AT400" s="39">
        <v>200</v>
      </c>
      <c r="AZ400" t="s">
        <v>108</v>
      </c>
      <c r="BC400" t="s">
        <v>336</v>
      </c>
    </row>
    <row r="401" spans="1:73" x14ac:dyDescent="0.25">
      <c r="A401" t="str">
        <f t="shared" si="6"/>
        <v>A69-1601-1165</v>
      </c>
      <c r="B401" t="s">
        <v>398</v>
      </c>
      <c r="C401" t="s">
        <v>324</v>
      </c>
      <c r="D401" t="s">
        <v>345</v>
      </c>
      <c r="F401">
        <v>1165</v>
      </c>
      <c r="G401" t="s">
        <v>346</v>
      </c>
      <c r="H401" t="s">
        <v>327</v>
      </c>
      <c r="I401" s="20">
        <v>40680</v>
      </c>
      <c r="J401">
        <v>101</v>
      </c>
      <c r="L401" t="s">
        <v>109</v>
      </c>
      <c r="M401" t="s">
        <v>328</v>
      </c>
      <c r="N401" t="s">
        <v>329</v>
      </c>
      <c r="O401" t="s">
        <v>330</v>
      </c>
      <c r="P401" t="s">
        <v>331</v>
      </c>
      <c r="U401">
        <v>0.52</v>
      </c>
      <c r="V401">
        <v>0.28399999999999997</v>
      </c>
      <c r="W401" t="s">
        <v>399</v>
      </c>
      <c r="Y401" t="s">
        <v>337</v>
      </c>
      <c r="AB401" t="s">
        <v>339</v>
      </c>
      <c r="AC401" t="s">
        <v>334</v>
      </c>
      <c r="AD401" s="34">
        <v>46.171861669999998</v>
      </c>
      <c r="AE401" s="34">
        <v>-84.078114999999997</v>
      </c>
      <c r="AF401" s="18">
        <v>40683.069444444445</v>
      </c>
      <c r="AG401" s="19">
        <v>40682.902777777781</v>
      </c>
      <c r="AH401" t="s">
        <v>161</v>
      </c>
      <c r="AL401" t="s">
        <v>335</v>
      </c>
      <c r="AM401" s="20">
        <v>40680</v>
      </c>
      <c r="AR401" s="39" t="s">
        <v>400</v>
      </c>
      <c r="AS401" s="39"/>
      <c r="AT401" s="39">
        <v>200</v>
      </c>
      <c r="AZ401" t="s">
        <v>108</v>
      </c>
      <c r="BC401" t="s">
        <v>336</v>
      </c>
    </row>
    <row r="402" spans="1:73" x14ac:dyDescent="0.25">
      <c r="A402" t="str">
        <f t="shared" si="6"/>
        <v>A69-1601-1166</v>
      </c>
      <c r="B402" t="s">
        <v>398</v>
      </c>
      <c r="C402" t="s">
        <v>324</v>
      </c>
      <c r="D402" t="s">
        <v>345</v>
      </c>
      <c r="F402">
        <v>1166</v>
      </c>
      <c r="G402" t="s">
        <v>346</v>
      </c>
      <c r="H402" t="s">
        <v>327</v>
      </c>
      <c r="I402" s="20">
        <v>40680</v>
      </c>
      <c r="J402">
        <v>101</v>
      </c>
      <c r="L402" t="s">
        <v>109</v>
      </c>
      <c r="M402" t="s">
        <v>328</v>
      </c>
      <c r="N402" t="s">
        <v>329</v>
      </c>
      <c r="O402" t="s">
        <v>330</v>
      </c>
      <c r="P402" t="s">
        <v>331</v>
      </c>
      <c r="U402">
        <v>0.5</v>
      </c>
      <c r="V402">
        <v>0.26100000000000001</v>
      </c>
      <c r="W402" t="s">
        <v>399</v>
      </c>
      <c r="Y402" t="s">
        <v>337</v>
      </c>
      <c r="AB402" t="s">
        <v>339</v>
      </c>
      <c r="AC402" t="s">
        <v>334</v>
      </c>
      <c r="AD402" s="34">
        <v>46.171861669999998</v>
      </c>
      <c r="AE402" s="34">
        <v>-84.078114999999997</v>
      </c>
      <c r="AF402" s="18">
        <v>40683.069444444445</v>
      </c>
      <c r="AG402" s="19">
        <v>40682.902777777781</v>
      </c>
      <c r="AH402" t="s">
        <v>161</v>
      </c>
      <c r="AL402" t="s">
        <v>335</v>
      </c>
      <c r="AM402" s="20">
        <v>40680</v>
      </c>
      <c r="AR402" s="39" t="s">
        <v>400</v>
      </c>
      <c r="AS402" s="39"/>
      <c r="AT402" s="39">
        <v>200</v>
      </c>
      <c r="AZ402" t="s">
        <v>108</v>
      </c>
      <c r="BC402" t="s">
        <v>336</v>
      </c>
    </row>
    <row r="403" spans="1:73" x14ac:dyDescent="0.25">
      <c r="A403" t="str">
        <f t="shared" si="6"/>
        <v>A69-1601-1167</v>
      </c>
      <c r="B403" t="s">
        <v>398</v>
      </c>
      <c r="C403" t="s">
        <v>324</v>
      </c>
      <c r="D403" t="s">
        <v>345</v>
      </c>
      <c r="F403">
        <v>1167</v>
      </c>
      <c r="G403" t="s">
        <v>346</v>
      </c>
      <c r="H403" t="s">
        <v>327</v>
      </c>
      <c r="I403" s="20">
        <v>40680</v>
      </c>
      <c r="J403">
        <v>101</v>
      </c>
      <c r="L403" t="s">
        <v>109</v>
      </c>
      <c r="M403" t="s">
        <v>328</v>
      </c>
      <c r="N403" t="s">
        <v>329</v>
      </c>
      <c r="O403" t="s">
        <v>330</v>
      </c>
      <c r="P403" t="s">
        <v>331</v>
      </c>
      <c r="U403">
        <v>0.52</v>
      </c>
      <c r="V403">
        <v>0.23799999999999999</v>
      </c>
      <c r="W403" t="s">
        <v>399</v>
      </c>
      <c r="Y403" t="s">
        <v>337</v>
      </c>
      <c r="AB403" t="s">
        <v>339</v>
      </c>
      <c r="AC403" t="s">
        <v>334</v>
      </c>
      <c r="AD403" s="34">
        <v>46.171861669999998</v>
      </c>
      <c r="AE403" s="34">
        <v>-84.078114999999997</v>
      </c>
      <c r="AF403" s="18">
        <v>40683.069444444445</v>
      </c>
      <c r="AG403" s="19">
        <v>40682.902777777781</v>
      </c>
      <c r="AH403" t="s">
        <v>161</v>
      </c>
      <c r="AL403" t="s">
        <v>335</v>
      </c>
      <c r="AM403" s="20">
        <v>40680</v>
      </c>
      <c r="AR403" s="39" t="s">
        <v>400</v>
      </c>
      <c r="AS403" s="39"/>
      <c r="AT403" s="39">
        <v>200</v>
      </c>
      <c r="AZ403" t="s">
        <v>108</v>
      </c>
      <c r="BC403" t="s">
        <v>336</v>
      </c>
    </row>
    <row r="404" spans="1:73" x14ac:dyDescent="0.25">
      <c r="A404" t="str">
        <f t="shared" si="6"/>
        <v>A69-1601-1168</v>
      </c>
      <c r="B404" t="s">
        <v>398</v>
      </c>
      <c r="C404" t="s">
        <v>324</v>
      </c>
      <c r="D404" t="s">
        <v>345</v>
      </c>
      <c r="F404">
        <v>1168</v>
      </c>
      <c r="G404" t="s">
        <v>346</v>
      </c>
      <c r="H404" t="s">
        <v>327</v>
      </c>
      <c r="I404" s="20">
        <v>40680</v>
      </c>
      <c r="J404">
        <v>101</v>
      </c>
      <c r="L404" t="s">
        <v>109</v>
      </c>
      <c r="M404" t="s">
        <v>328</v>
      </c>
      <c r="N404" t="s">
        <v>329</v>
      </c>
      <c r="O404" t="s">
        <v>330</v>
      </c>
      <c r="P404" t="s">
        <v>331</v>
      </c>
      <c r="U404">
        <v>0.52</v>
      </c>
      <c r="V404">
        <v>0.26300000000000001</v>
      </c>
      <c r="W404" t="s">
        <v>399</v>
      </c>
      <c r="Y404" t="s">
        <v>337</v>
      </c>
      <c r="AB404" t="s">
        <v>339</v>
      </c>
      <c r="AC404" t="s">
        <v>334</v>
      </c>
      <c r="AD404" s="34">
        <v>46.171861669999998</v>
      </c>
      <c r="AE404" s="34">
        <v>-84.078114999999997</v>
      </c>
      <c r="AF404" s="18">
        <v>40683.069444444445</v>
      </c>
      <c r="AG404" s="19">
        <v>40682.902777777781</v>
      </c>
      <c r="AH404" t="s">
        <v>161</v>
      </c>
      <c r="AL404" t="s">
        <v>335</v>
      </c>
      <c r="AM404" s="20">
        <v>40680</v>
      </c>
      <c r="AR404" s="39" t="s">
        <v>400</v>
      </c>
      <c r="AS404" s="39"/>
      <c r="AT404" s="39">
        <v>200</v>
      </c>
      <c r="AZ404" t="s">
        <v>108</v>
      </c>
      <c r="BC404" t="s">
        <v>336</v>
      </c>
    </row>
    <row r="405" spans="1:73" x14ac:dyDescent="0.25">
      <c r="A405" t="str">
        <f t="shared" si="6"/>
        <v>A69-1601-1169</v>
      </c>
      <c r="B405" t="s">
        <v>398</v>
      </c>
      <c r="C405" t="s">
        <v>324</v>
      </c>
      <c r="D405" t="s">
        <v>345</v>
      </c>
      <c r="F405">
        <v>1169</v>
      </c>
      <c r="G405" t="s">
        <v>346</v>
      </c>
      <c r="H405" t="s">
        <v>327</v>
      </c>
      <c r="I405" s="20">
        <v>40680</v>
      </c>
      <c r="J405">
        <v>101</v>
      </c>
      <c r="L405" t="s">
        <v>109</v>
      </c>
      <c r="M405" t="s">
        <v>328</v>
      </c>
      <c r="N405" t="s">
        <v>329</v>
      </c>
      <c r="O405" t="s">
        <v>330</v>
      </c>
      <c r="P405" t="s">
        <v>331</v>
      </c>
      <c r="U405">
        <v>0.5</v>
      </c>
      <c r="V405">
        <v>0.26500000000000001</v>
      </c>
      <c r="W405" t="s">
        <v>399</v>
      </c>
      <c r="Y405" t="s">
        <v>337</v>
      </c>
      <c r="AB405" t="s">
        <v>339</v>
      </c>
      <c r="AC405" t="s">
        <v>334</v>
      </c>
      <c r="AD405" s="34">
        <v>46.171861669999998</v>
      </c>
      <c r="AE405" s="34">
        <v>-84.078114999999997</v>
      </c>
      <c r="AF405" s="18">
        <v>40683.069444444445</v>
      </c>
      <c r="AG405" s="19">
        <v>40682.902777777781</v>
      </c>
      <c r="AH405" t="s">
        <v>161</v>
      </c>
      <c r="AL405" t="s">
        <v>335</v>
      </c>
      <c r="AM405" s="20">
        <v>40680</v>
      </c>
      <c r="AR405" s="39" t="s">
        <v>400</v>
      </c>
      <c r="AS405" s="39"/>
      <c r="AT405" s="39">
        <v>200</v>
      </c>
      <c r="AZ405" t="s">
        <v>108</v>
      </c>
      <c r="BC405" t="s">
        <v>336</v>
      </c>
    </row>
    <row r="406" spans="1:73" x14ac:dyDescent="0.25">
      <c r="A406" t="str">
        <f t="shared" si="6"/>
        <v>A69-1601-1170</v>
      </c>
      <c r="B406" t="s">
        <v>398</v>
      </c>
      <c r="C406" t="s">
        <v>324</v>
      </c>
      <c r="D406" t="s">
        <v>345</v>
      </c>
      <c r="F406">
        <v>1170</v>
      </c>
      <c r="G406" t="s">
        <v>346</v>
      </c>
      <c r="H406" t="s">
        <v>327</v>
      </c>
      <c r="I406" s="20">
        <v>40680</v>
      </c>
      <c r="J406">
        <v>101</v>
      </c>
      <c r="L406" t="s">
        <v>109</v>
      </c>
      <c r="M406" t="s">
        <v>328</v>
      </c>
      <c r="N406" t="s">
        <v>329</v>
      </c>
      <c r="O406" t="s">
        <v>330</v>
      </c>
      <c r="P406" t="s">
        <v>331</v>
      </c>
      <c r="U406">
        <v>0.51</v>
      </c>
      <c r="V406">
        <v>0.254</v>
      </c>
      <c r="W406" t="s">
        <v>399</v>
      </c>
      <c r="Y406" t="s">
        <v>337</v>
      </c>
      <c r="AB406" t="s">
        <v>339</v>
      </c>
      <c r="AC406" t="s">
        <v>334</v>
      </c>
      <c r="AD406" s="34">
        <v>46.171861669999998</v>
      </c>
      <c r="AE406" s="34">
        <v>-84.078114999999997</v>
      </c>
      <c r="AF406" s="18">
        <v>40683.069444444445</v>
      </c>
      <c r="AG406" s="19">
        <v>40682.902777777781</v>
      </c>
      <c r="AH406" t="s">
        <v>161</v>
      </c>
      <c r="AL406" t="s">
        <v>335</v>
      </c>
      <c r="AM406" s="20">
        <v>40680</v>
      </c>
      <c r="AR406" s="39" t="s">
        <v>400</v>
      </c>
      <c r="AS406" s="39"/>
      <c r="AT406" s="39">
        <v>200</v>
      </c>
      <c r="AZ406" t="s">
        <v>108</v>
      </c>
      <c r="BC406" t="s">
        <v>336</v>
      </c>
    </row>
    <row r="407" spans="1:73" x14ac:dyDescent="0.25">
      <c r="A407" t="str">
        <f t="shared" si="6"/>
        <v>A69-1601-1171</v>
      </c>
      <c r="B407" t="s">
        <v>398</v>
      </c>
      <c r="C407" t="s">
        <v>324</v>
      </c>
      <c r="D407" t="s">
        <v>345</v>
      </c>
      <c r="F407">
        <v>1171</v>
      </c>
      <c r="G407" t="s">
        <v>346</v>
      </c>
      <c r="H407" t="s">
        <v>327</v>
      </c>
      <c r="I407" s="20">
        <v>40680</v>
      </c>
      <c r="J407">
        <v>101</v>
      </c>
      <c r="L407" t="s">
        <v>109</v>
      </c>
      <c r="M407" t="s">
        <v>328</v>
      </c>
      <c r="N407" t="s">
        <v>329</v>
      </c>
      <c r="O407" t="s">
        <v>330</v>
      </c>
      <c r="P407" t="s">
        <v>331</v>
      </c>
      <c r="U407">
        <v>0.54</v>
      </c>
      <c r="V407">
        <v>0.33</v>
      </c>
      <c r="W407" t="s">
        <v>399</v>
      </c>
      <c r="Y407" t="s">
        <v>337</v>
      </c>
      <c r="AB407" t="s">
        <v>339</v>
      </c>
      <c r="AC407" t="s">
        <v>334</v>
      </c>
      <c r="AD407" s="34">
        <v>46.171861669999998</v>
      </c>
      <c r="AE407" s="34">
        <v>-84.078114999999997</v>
      </c>
      <c r="AF407" s="18">
        <v>40683.069444444445</v>
      </c>
      <c r="AG407" s="19">
        <v>40682.902777777781</v>
      </c>
      <c r="AH407" t="s">
        <v>161</v>
      </c>
      <c r="AL407" t="s">
        <v>335</v>
      </c>
      <c r="AM407" s="20">
        <v>40680</v>
      </c>
      <c r="AR407" s="39" t="s">
        <v>400</v>
      </c>
      <c r="AS407" s="39"/>
      <c r="AT407" s="39">
        <v>200</v>
      </c>
      <c r="AZ407" t="s">
        <v>108</v>
      </c>
      <c r="BC407" t="s">
        <v>336</v>
      </c>
    </row>
    <row r="408" spans="1:73" x14ac:dyDescent="0.25">
      <c r="A408" t="str">
        <f t="shared" si="6"/>
        <v>A69-1601-1172</v>
      </c>
      <c r="B408" t="s">
        <v>398</v>
      </c>
      <c r="C408" t="s">
        <v>324</v>
      </c>
      <c r="D408" t="s">
        <v>345</v>
      </c>
      <c r="F408">
        <v>1172</v>
      </c>
      <c r="G408" t="s">
        <v>346</v>
      </c>
      <c r="H408" t="s">
        <v>327</v>
      </c>
      <c r="I408" s="20">
        <v>40680</v>
      </c>
      <c r="J408">
        <v>101</v>
      </c>
      <c r="L408" t="s">
        <v>109</v>
      </c>
      <c r="M408" t="s">
        <v>328</v>
      </c>
      <c r="N408" t="s">
        <v>329</v>
      </c>
      <c r="O408" t="s">
        <v>330</v>
      </c>
      <c r="P408" t="s">
        <v>331</v>
      </c>
      <c r="U408">
        <v>0.46</v>
      </c>
      <c r="V408">
        <v>0.191</v>
      </c>
      <c r="W408" t="s">
        <v>399</v>
      </c>
      <c r="Y408" t="s">
        <v>337</v>
      </c>
      <c r="AB408" t="s">
        <v>339</v>
      </c>
      <c r="AC408" t="s">
        <v>334</v>
      </c>
      <c r="AD408" s="34">
        <v>46.171861669999998</v>
      </c>
      <c r="AE408" s="34">
        <v>-84.078114999999997</v>
      </c>
      <c r="AF408" s="18">
        <v>40683.069444444445</v>
      </c>
      <c r="AG408" s="19">
        <v>40682.902777777781</v>
      </c>
      <c r="AH408" t="s">
        <v>161</v>
      </c>
      <c r="AL408" t="s">
        <v>335</v>
      </c>
      <c r="AM408" s="20">
        <v>40680</v>
      </c>
      <c r="AR408" s="39" t="s">
        <v>400</v>
      </c>
      <c r="AS408" s="39"/>
      <c r="AT408" s="39">
        <v>200</v>
      </c>
      <c r="AZ408" t="s">
        <v>108</v>
      </c>
      <c r="BC408" t="s">
        <v>336</v>
      </c>
    </row>
    <row r="409" spans="1:73" x14ac:dyDescent="0.25">
      <c r="A409" t="str">
        <f t="shared" si="6"/>
        <v>A69-1601-1174</v>
      </c>
      <c r="B409" t="s">
        <v>398</v>
      </c>
      <c r="C409" t="s">
        <v>324</v>
      </c>
      <c r="D409" t="s">
        <v>345</v>
      </c>
      <c r="F409">
        <v>1174</v>
      </c>
      <c r="G409" t="s">
        <v>346</v>
      </c>
      <c r="H409" t="s">
        <v>327</v>
      </c>
      <c r="I409" s="20">
        <v>40680</v>
      </c>
      <c r="J409">
        <v>101</v>
      </c>
      <c r="L409" t="s">
        <v>109</v>
      </c>
      <c r="M409" t="s">
        <v>328</v>
      </c>
      <c r="N409" t="s">
        <v>329</v>
      </c>
      <c r="O409" t="s">
        <v>330</v>
      </c>
      <c r="P409" t="s">
        <v>331</v>
      </c>
      <c r="U409">
        <v>0.5</v>
      </c>
      <c r="V409">
        <v>0.32700000000000001</v>
      </c>
      <c r="W409" t="s">
        <v>399</v>
      </c>
      <c r="Y409" t="s">
        <v>337</v>
      </c>
      <c r="AB409" t="s">
        <v>339</v>
      </c>
      <c r="AC409" t="s">
        <v>334</v>
      </c>
      <c r="AD409" s="34">
        <v>46.171861669999998</v>
      </c>
      <c r="AE409" s="34">
        <v>-84.078114999999997</v>
      </c>
      <c r="AF409" s="18">
        <v>40683.069444444445</v>
      </c>
      <c r="AG409" s="19">
        <v>40682.902777777781</v>
      </c>
      <c r="AH409" t="s">
        <v>161</v>
      </c>
      <c r="AL409" t="s">
        <v>335</v>
      </c>
      <c r="AM409" s="20">
        <v>40680</v>
      </c>
      <c r="AR409" s="39" t="s">
        <v>400</v>
      </c>
      <c r="AS409" s="39"/>
      <c r="AT409" s="39">
        <v>200</v>
      </c>
      <c r="AZ409" t="s">
        <v>108</v>
      </c>
      <c r="BC409" t="s">
        <v>336</v>
      </c>
    </row>
    <row r="410" spans="1:73" x14ac:dyDescent="0.25">
      <c r="A410" t="str">
        <f t="shared" si="6"/>
        <v>A69-1601-1175</v>
      </c>
      <c r="B410" t="s">
        <v>398</v>
      </c>
      <c r="C410" t="s">
        <v>324</v>
      </c>
      <c r="D410" t="s">
        <v>345</v>
      </c>
      <c r="F410">
        <v>1175</v>
      </c>
      <c r="G410" t="s">
        <v>346</v>
      </c>
      <c r="H410" t="s">
        <v>327</v>
      </c>
      <c r="I410" s="20">
        <v>40680</v>
      </c>
      <c r="J410">
        <v>101</v>
      </c>
      <c r="L410" t="s">
        <v>109</v>
      </c>
      <c r="M410" t="s">
        <v>328</v>
      </c>
      <c r="N410" t="s">
        <v>329</v>
      </c>
      <c r="O410" t="s">
        <v>330</v>
      </c>
      <c r="P410" t="s">
        <v>331</v>
      </c>
      <c r="U410">
        <v>0.49</v>
      </c>
      <c r="V410">
        <v>0.23300000000000001</v>
      </c>
      <c r="W410" t="s">
        <v>399</v>
      </c>
      <c r="Y410" t="s">
        <v>337</v>
      </c>
      <c r="AB410" t="s">
        <v>339</v>
      </c>
      <c r="AC410" t="s">
        <v>334</v>
      </c>
      <c r="AD410" s="34">
        <v>46.171861669999998</v>
      </c>
      <c r="AE410" s="34">
        <v>-84.078114999999997</v>
      </c>
      <c r="AF410" s="18">
        <v>40683.069444444445</v>
      </c>
      <c r="AG410" s="19">
        <v>40682.902777777781</v>
      </c>
      <c r="AH410" t="s">
        <v>161</v>
      </c>
      <c r="AL410" t="s">
        <v>335</v>
      </c>
      <c r="AM410" s="20">
        <v>40680</v>
      </c>
      <c r="AR410" s="39" t="s">
        <v>400</v>
      </c>
      <c r="AS410" s="39"/>
      <c r="AT410" s="39">
        <v>200</v>
      </c>
      <c r="AZ410" t="s">
        <v>108</v>
      </c>
      <c r="BC410" t="s">
        <v>336</v>
      </c>
    </row>
    <row r="411" spans="1:73" x14ac:dyDescent="0.25">
      <c r="A411" t="str">
        <f t="shared" si="6"/>
        <v>A69-1601-1176</v>
      </c>
      <c r="B411" t="s">
        <v>398</v>
      </c>
      <c r="C411" t="s">
        <v>324</v>
      </c>
      <c r="D411" t="s">
        <v>345</v>
      </c>
      <c r="F411">
        <v>1176</v>
      </c>
      <c r="G411" t="s">
        <v>346</v>
      </c>
      <c r="H411" t="s">
        <v>327</v>
      </c>
      <c r="I411" s="20">
        <v>40680</v>
      </c>
      <c r="J411">
        <v>101</v>
      </c>
      <c r="L411" t="s">
        <v>109</v>
      </c>
      <c r="M411" t="s">
        <v>328</v>
      </c>
      <c r="N411" t="s">
        <v>329</v>
      </c>
      <c r="O411" t="s">
        <v>330</v>
      </c>
      <c r="P411" t="s">
        <v>331</v>
      </c>
      <c r="U411">
        <v>0.53</v>
      </c>
      <c r="V411">
        <v>0.311</v>
      </c>
      <c r="W411" t="s">
        <v>399</v>
      </c>
      <c r="Y411" t="s">
        <v>337</v>
      </c>
      <c r="AB411" t="s">
        <v>339</v>
      </c>
      <c r="AC411" t="s">
        <v>334</v>
      </c>
      <c r="AD411" s="34">
        <v>46.171861669999998</v>
      </c>
      <c r="AE411" s="34">
        <v>-84.078114999999997</v>
      </c>
      <c r="AF411" s="18">
        <v>40683.069444444445</v>
      </c>
      <c r="AG411" s="19">
        <v>40682.902777777781</v>
      </c>
      <c r="AH411" t="s">
        <v>161</v>
      </c>
      <c r="AL411" t="s">
        <v>335</v>
      </c>
      <c r="AM411" s="20">
        <v>40680</v>
      </c>
      <c r="AR411" s="39" t="s">
        <v>400</v>
      </c>
      <c r="AS411" s="39"/>
      <c r="AT411" s="39">
        <v>200</v>
      </c>
      <c r="AZ411" t="s">
        <v>108</v>
      </c>
      <c r="BC411" t="s">
        <v>163</v>
      </c>
      <c r="BD411" s="20">
        <v>40711</v>
      </c>
      <c r="BF411" s="21" t="s">
        <v>406</v>
      </c>
      <c r="BG411" s="38" t="s">
        <v>113</v>
      </c>
      <c r="BH411" s="1" t="s">
        <v>408</v>
      </c>
      <c r="BI411" s="1">
        <v>46.514783999999999</v>
      </c>
      <c r="BJ411" s="1">
        <v>-84.346945000000005</v>
      </c>
      <c r="BK411" s="1" t="s">
        <v>404</v>
      </c>
      <c r="BL411" s="1" t="s">
        <v>163</v>
      </c>
      <c r="BM411" s="1" t="s">
        <v>163</v>
      </c>
      <c r="BN411" s="1" t="s">
        <v>410</v>
      </c>
      <c r="BO411" s="1" t="s">
        <v>235</v>
      </c>
      <c r="BP411" s="1" t="s">
        <v>235</v>
      </c>
      <c r="BQ411" s="39" t="s">
        <v>337</v>
      </c>
      <c r="BR411" s="39">
        <v>510</v>
      </c>
      <c r="BS411" s="39">
        <v>290</v>
      </c>
      <c r="BU411" t="s">
        <v>419</v>
      </c>
    </row>
    <row r="412" spans="1:73" x14ac:dyDescent="0.25">
      <c r="A412" t="str">
        <f t="shared" si="6"/>
        <v>A69-1601-1177</v>
      </c>
      <c r="B412" t="s">
        <v>398</v>
      </c>
      <c r="C412" t="s">
        <v>324</v>
      </c>
      <c r="D412" t="s">
        <v>345</v>
      </c>
      <c r="F412">
        <v>1177</v>
      </c>
      <c r="G412" t="s">
        <v>346</v>
      </c>
      <c r="H412" t="s">
        <v>327</v>
      </c>
      <c r="I412" s="20">
        <v>40680</v>
      </c>
      <c r="J412">
        <v>101</v>
      </c>
      <c r="L412" t="s">
        <v>109</v>
      </c>
      <c r="M412" t="s">
        <v>328</v>
      </c>
      <c r="N412" t="s">
        <v>329</v>
      </c>
      <c r="O412" t="s">
        <v>330</v>
      </c>
      <c r="P412" t="s">
        <v>331</v>
      </c>
      <c r="U412">
        <v>0.54</v>
      </c>
      <c r="V412">
        <v>0.26600000000000001</v>
      </c>
      <c r="W412" t="s">
        <v>399</v>
      </c>
      <c r="Y412" t="s">
        <v>337</v>
      </c>
      <c r="AB412" t="s">
        <v>339</v>
      </c>
      <c r="AC412" t="s">
        <v>334</v>
      </c>
      <c r="AD412" s="34">
        <v>46.171861669999998</v>
      </c>
      <c r="AE412" s="34">
        <v>-84.078114999999997</v>
      </c>
      <c r="AF412" s="18">
        <v>40683.069444444445</v>
      </c>
      <c r="AG412" s="19">
        <v>40682.902777777781</v>
      </c>
      <c r="AH412" t="s">
        <v>161</v>
      </c>
      <c r="AL412" t="s">
        <v>335</v>
      </c>
      <c r="AM412" s="20">
        <v>40680</v>
      </c>
      <c r="AR412" s="39" t="s">
        <v>400</v>
      </c>
      <c r="AS412" s="39"/>
      <c r="AT412" s="39">
        <v>200</v>
      </c>
      <c r="AZ412" t="s">
        <v>108</v>
      </c>
      <c r="BC412" t="s">
        <v>336</v>
      </c>
    </row>
    <row r="413" spans="1:73" x14ac:dyDescent="0.25">
      <c r="A413" t="str">
        <f t="shared" si="6"/>
        <v>A69-1601-1178</v>
      </c>
      <c r="B413" t="s">
        <v>398</v>
      </c>
      <c r="C413" t="s">
        <v>324</v>
      </c>
      <c r="D413" t="s">
        <v>345</v>
      </c>
      <c r="F413">
        <v>1178</v>
      </c>
      <c r="G413" t="s">
        <v>346</v>
      </c>
      <c r="H413" t="s">
        <v>327</v>
      </c>
      <c r="I413" s="20">
        <v>40680</v>
      </c>
      <c r="J413">
        <v>101</v>
      </c>
      <c r="L413" t="s">
        <v>109</v>
      </c>
      <c r="M413" t="s">
        <v>328</v>
      </c>
      <c r="N413" t="s">
        <v>329</v>
      </c>
      <c r="O413" t="s">
        <v>330</v>
      </c>
      <c r="P413" t="s">
        <v>331</v>
      </c>
      <c r="U413">
        <v>0.46</v>
      </c>
      <c r="V413">
        <v>0.223</v>
      </c>
      <c r="W413" t="s">
        <v>399</v>
      </c>
      <c r="Y413" t="s">
        <v>337</v>
      </c>
      <c r="AB413" t="s">
        <v>339</v>
      </c>
      <c r="AC413" t="s">
        <v>334</v>
      </c>
      <c r="AD413" s="34">
        <v>46.171861669999998</v>
      </c>
      <c r="AE413" s="34">
        <v>-84.078114999999997</v>
      </c>
      <c r="AF413" s="18">
        <v>40683.069444444445</v>
      </c>
      <c r="AG413" s="19">
        <v>40682.902777777781</v>
      </c>
      <c r="AH413" t="s">
        <v>161</v>
      </c>
      <c r="AL413" t="s">
        <v>335</v>
      </c>
      <c r="AM413" s="20">
        <v>40680</v>
      </c>
      <c r="AR413" s="39" t="s">
        <v>400</v>
      </c>
      <c r="AS413" s="39"/>
      <c r="AT413" s="39">
        <v>200</v>
      </c>
      <c r="AZ413" t="s">
        <v>108</v>
      </c>
      <c r="BC413" t="s">
        <v>336</v>
      </c>
    </row>
    <row r="414" spans="1:73" x14ac:dyDescent="0.25">
      <c r="A414" t="str">
        <f t="shared" si="6"/>
        <v>A69-1601-1179</v>
      </c>
      <c r="B414" t="s">
        <v>398</v>
      </c>
      <c r="C414" t="s">
        <v>324</v>
      </c>
      <c r="D414" t="s">
        <v>345</v>
      </c>
      <c r="F414">
        <v>1179</v>
      </c>
      <c r="G414" t="s">
        <v>346</v>
      </c>
      <c r="H414" t="s">
        <v>327</v>
      </c>
      <c r="I414" s="20">
        <v>40680</v>
      </c>
      <c r="J414">
        <v>101</v>
      </c>
      <c r="L414" t="s">
        <v>109</v>
      </c>
      <c r="M414" t="s">
        <v>328</v>
      </c>
      <c r="N414" t="s">
        <v>329</v>
      </c>
      <c r="O414" t="s">
        <v>330</v>
      </c>
      <c r="P414" t="s">
        <v>331</v>
      </c>
      <c r="U414">
        <v>0.5</v>
      </c>
      <c r="V414">
        <v>0.246</v>
      </c>
      <c r="W414" t="s">
        <v>399</v>
      </c>
      <c r="Y414" t="s">
        <v>337</v>
      </c>
      <c r="AB414" t="s">
        <v>339</v>
      </c>
      <c r="AC414" t="s">
        <v>334</v>
      </c>
      <c r="AD414" s="34">
        <v>46.171861669999998</v>
      </c>
      <c r="AE414" s="34">
        <v>-84.078114999999997</v>
      </c>
      <c r="AF414" s="18">
        <v>40683.069444444445</v>
      </c>
      <c r="AG414" s="19">
        <v>40682.902777777781</v>
      </c>
      <c r="AH414" t="s">
        <v>161</v>
      </c>
      <c r="AL414" t="s">
        <v>335</v>
      </c>
      <c r="AM414" s="20">
        <v>40680</v>
      </c>
      <c r="AR414" s="39" t="s">
        <v>400</v>
      </c>
      <c r="AS414" s="39"/>
      <c r="AT414" s="39">
        <v>200</v>
      </c>
      <c r="AZ414" t="s">
        <v>108</v>
      </c>
      <c r="BC414" t="s">
        <v>336</v>
      </c>
    </row>
    <row r="415" spans="1:73" x14ac:dyDescent="0.25">
      <c r="A415" t="str">
        <f t="shared" si="6"/>
        <v>A69-1601-1180</v>
      </c>
      <c r="B415" t="s">
        <v>398</v>
      </c>
      <c r="C415" t="s">
        <v>324</v>
      </c>
      <c r="D415" t="s">
        <v>345</v>
      </c>
      <c r="F415">
        <v>1180</v>
      </c>
      <c r="G415" t="s">
        <v>346</v>
      </c>
      <c r="H415" t="s">
        <v>327</v>
      </c>
      <c r="I415" s="20">
        <v>40680</v>
      </c>
      <c r="J415">
        <v>101</v>
      </c>
      <c r="L415" t="s">
        <v>109</v>
      </c>
      <c r="M415" t="s">
        <v>328</v>
      </c>
      <c r="N415" t="s">
        <v>329</v>
      </c>
      <c r="O415" t="s">
        <v>330</v>
      </c>
      <c r="P415" t="s">
        <v>331</v>
      </c>
      <c r="U415">
        <v>0.5</v>
      </c>
      <c r="V415">
        <v>0.252</v>
      </c>
      <c r="W415" t="s">
        <v>399</v>
      </c>
      <c r="Y415" t="s">
        <v>337</v>
      </c>
      <c r="AB415" t="s">
        <v>339</v>
      </c>
      <c r="AC415" t="s">
        <v>334</v>
      </c>
      <c r="AD415" s="34">
        <v>46.171861669999998</v>
      </c>
      <c r="AE415" s="34">
        <v>-84.078114999999997</v>
      </c>
      <c r="AF415" s="18">
        <v>40683.069444444445</v>
      </c>
      <c r="AG415" s="19">
        <v>40682.902777777781</v>
      </c>
      <c r="AH415" t="s">
        <v>161</v>
      </c>
      <c r="AL415" t="s">
        <v>335</v>
      </c>
      <c r="AM415" s="20">
        <v>40680</v>
      </c>
      <c r="AR415" s="39" t="s">
        <v>400</v>
      </c>
      <c r="AS415" s="39"/>
      <c r="AT415" s="39">
        <v>200</v>
      </c>
      <c r="AZ415" t="s">
        <v>108</v>
      </c>
      <c r="BC415" t="s">
        <v>336</v>
      </c>
    </row>
    <row r="416" spans="1:73" x14ac:dyDescent="0.25">
      <c r="A416" t="str">
        <f t="shared" si="6"/>
        <v>A69-1601-1181</v>
      </c>
      <c r="B416" t="s">
        <v>398</v>
      </c>
      <c r="C416" t="s">
        <v>324</v>
      </c>
      <c r="D416" t="s">
        <v>345</v>
      </c>
      <c r="F416">
        <v>1181</v>
      </c>
      <c r="G416" t="s">
        <v>346</v>
      </c>
      <c r="H416" t="s">
        <v>327</v>
      </c>
      <c r="I416" s="20">
        <v>40680</v>
      </c>
      <c r="J416">
        <v>101</v>
      </c>
      <c r="L416" t="s">
        <v>109</v>
      </c>
      <c r="M416" t="s">
        <v>328</v>
      </c>
      <c r="N416" t="s">
        <v>329</v>
      </c>
      <c r="O416" t="s">
        <v>330</v>
      </c>
      <c r="P416" t="s">
        <v>331</v>
      </c>
      <c r="U416">
        <v>0.5</v>
      </c>
      <c r="V416">
        <v>0.30099999999999999</v>
      </c>
      <c r="W416" t="s">
        <v>399</v>
      </c>
      <c r="Y416" t="s">
        <v>337</v>
      </c>
      <c r="AB416" t="s">
        <v>339</v>
      </c>
      <c r="AC416" t="s">
        <v>334</v>
      </c>
      <c r="AD416" s="34">
        <v>46.171861669999998</v>
      </c>
      <c r="AE416" s="34">
        <v>-84.078114999999997</v>
      </c>
      <c r="AF416" s="18">
        <v>40683.069444444445</v>
      </c>
      <c r="AG416" s="19">
        <v>40682.902777777781</v>
      </c>
      <c r="AH416" t="s">
        <v>161</v>
      </c>
      <c r="AL416" t="s">
        <v>335</v>
      </c>
      <c r="AM416" s="20">
        <v>40680</v>
      </c>
      <c r="AR416" s="39" t="s">
        <v>400</v>
      </c>
      <c r="AS416" s="39"/>
      <c r="AT416" s="39">
        <v>200</v>
      </c>
      <c r="AZ416" t="s">
        <v>108</v>
      </c>
      <c r="BC416" t="s">
        <v>336</v>
      </c>
    </row>
    <row r="417" spans="1:55" x14ac:dyDescent="0.25">
      <c r="A417" t="str">
        <f t="shared" si="6"/>
        <v>A69-1601-1182</v>
      </c>
      <c r="B417" t="s">
        <v>398</v>
      </c>
      <c r="C417" t="s">
        <v>324</v>
      </c>
      <c r="D417" t="s">
        <v>345</v>
      </c>
      <c r="F417">
        <v>1182</v>
      </c>
      <c r="G417" t="s">
        <v>346</v>
      </c>
      <c r="H417" t="s">
        <v>327</v>
      </c>
      <c r="I417" s="20">
        <v>40680</v>
      </c>
      <c r="J417">
        <v>101</v>
      </c>
      <c r="L417" t="s">
        <v>109</v>
      </c>
      <c r="M417" t="s">
        <v>328</v>
      </c>
      <c r="N417" t="s">
        <v>329</v>
      </c>
      <c r="O417" t="s">
        <v>330</v>
      </c>
      <c r="P417" t="s">
        <v>331</v>
      </c>
      <c r="U417">
        <v>0.52</v>
      </c>
      <c r="V417">
        <v>0.27900000000000003</v>
      </c>
      <c r="W417" t="s">
        <v>399</v>
      </c>
      <c r="Y417" t="s">
        <v>337</v>
      </c>
      <c r="AB417" t="s">
        <v>339</v>
      </c>
      <c r="AC417" t="s">
        <v>334</v>
      </c>
      <c r="AD417" s="34">
        <v>46.171861669999998</v>
      </c>
      <c r="AE417" s="34">
        <v>-84.078114999999997</v>
      </c>
      <c r="AF417" s="18">
        <v>40683.069444444445</v>
      </c>
      <c r="AG417" s="19">
        <v>40682.902777777781</v>
      </c>
      <c r="AH417" t="s">
        <v>161</v>
      </c>
      <c r="AL417" t="s">
        <v>335</v>
      </c>
      <c r="AM417" s="20">
        <v>40680</v>
      </c>
      <c r="AR417" s="39" t="s">
        <v>400</v>
      </c>
      <c r="AS417" s="39"/>
      <c r="AT417" s="39">
        <v>200</v>
      </c>
      <c r="AZ417" t="s">
        <v>108</v>
      </c>
      <c r="BC417" t="s">
        <v>336</v>
      </c>
    </row>
    <row r="418" spans="1:55" x14ac:dyDescent="0.25">
      <c r="A418" t="str">
        <f t="shared" si="6"/>
        <v>A69-1601-1183</v>
      </c>
      <c r="B418" t="s">
        <v>398</v>
      </c>
      <c r="C418" t="s">
        <v>324</v>
      </c>
      <c r="D418" t="s">
        <v>345</v>
      </c>
      <c r="F418">
        <v>1183</v>
      </c>
      <c r="G418" t="s">
        <v>346</v>
      </c>
      <c r="H418" t="s">
        <v>327</v>
      </c>
      <c r="I418" s="20">
        <v>40680</v>
      </c>
      <c r="J418">
        <v>101</v>
      </c>
      <c r="L418" t="s">
        <v>109</v>
      </c>
      <c r="M418" t="s">
        <v>328</v>
      </c>
      <c r="N418" t="s">
        <v>329</v>
      </c>
      <c r="O418" t="s">
        <v>330</v>
      </c>
      <c r="P418" t="s">
        <v>331</v>
      </c>
      <c r="U418">
        <v>0.51</v>
      </c>
      <c r="V418">
        <v>0.28399999999999997</v>
      </c>
      <c r="W418" t="s">
        <v>399</v>
      </c>
      <c r="Y418" t="s">
        <v>337</v>
      </c>
      <c r="AB418" t="s">
        <v>339</v>
      </c>
      <c r="AC418" t="s">
        <v>334</v>
      </c>
      <c r="AD418" s="34">
        <v>46.171861669999998</v>
      </c>
      <c r="AE418" s="34">
        <v>-84.078114999999997</v>
      </c>
      <c r="AF418" s="18">
        <v>40683.069444444445</v>
      </c>
      <c r="AG418" s="19">
        <v>40682.902777777781</v>
      </c>
      <c r="AH418" t="s">
        <v>161</v>
      </c>
      <c r="AL418" t="s">
        <v>335</v>
      </c>
      <c r="AM418" s="20">
        <v>40680</v>
      </c>
      <c r="AR418" s="39" t="s">
        <v>400</v>
      </c>
      <c r="AS418" s="39"/>
      <c r="AT418" s="39">
        <v>200</v>
      </c>
      <c r="AZ418" t="s">
        <v>108</v>
      </c>
      <c r="BC418" t="s">
        <v>336</v>
      </c>
    </row>
    <row r="419" spans="1:55" x14ac:dyDescent="0.25">
      <c r="A419" t="str">
        <f t="shared" si="6"/>
        <v>A69-1601-1184</v>
      </c>
      <c r="B419" t="s">
        <v>398</v>
      </c>
      <c r="C419" t="s">
        <v>324</v>
      </c>
      <c r="D419" t="s">
        <v>345</v>
      </c>
      <c r="F419">
        <v>1184</v>
      </c>
      <c r="G419" t="s">
        <v>346</v>
      </c>
      <c r="H419" t="s">
        <v>327</v>
      </c>
      <c r="I419" s="20">
        <v>40680</v>
      </c>
      <c r="J419">
        <v>101</v>
      </c>
      <c r="L419" t="s">
        <v>109</v>
      </c>
      <c r="M419" t="s">
        <v>328</v>
      </c>
      <c r="N419" t="s">
        <v>329</v>
      </c>
      <c r="O419" t="s">
        <v>330</v>
      </c>
      <c r="P419" t="s">
        <v>331</v>
      </c>
      <c r="U419">
        <v>0.54</v>
      </c>
      <c r="V419">
        <v>0.30199999999999999</v>
      </c>
      <c r="W419" t="s">
        <v>399</v>
      </c>
      <c r="Y419" t="s">
        <v>337</v>
      </c>
      <c r="AB419" t="s">
        <v>339</v>
      </c>
      <c r="AC419" t="s">
        <v>334</v>
      </c>
      <c r="AD419" s="34">
        <v>46.171861669999998</v>
      </c>
      <c r="AE419" s="34">
        <v>-84.078114999999997</v>
      </c>
      <c r="AF419" s="18">
        <v>40683.069444444445</v>
      </c>
      <c r="AG419" s="19">
        <v>40682.902777777781</v>
      </c>
      <c r="AH419" t="s">
        <v>161</v>
      </c>
      <c r="AL419" t="s">
        <v>335</v>
      </c>
      <c r="AM419" s="20">
        <v>40680</v>
      </c>
      <c r="AR419" s="39" t="s">
        <v>400</v>
      </c>
      <c r="AS419" s="39"/>
      <c r="AT419" s="39">
        <v>200</v>
      </c>
      <c r="AZ419" t="s">
        <v>108</v>
      </c>
      <c r="BC419" t="s">
        <v>336</v>
      </c>
    </row>
    <row r="420" spans="1:55" x14ac:dyDescent="0.25">
      <c r="A420" t="str">
        <f t="shared" si="6"/>
        <v>A69-1601-1185</v>
      </c>
      <c r="B420" t="s">
        <v>398</v>
      </c>
      <c r="C420" t="s">
        <v>324</v>
      </c>
      <c r="D420" t="s">
        <v>345</v>
      </c>
      <c r="F420">
        <v>1185</v>
      </c>
      <c r="G420" t="s">
        <v>346</v>
      </c>
      <c r="H420" t="s">
        <v>327</v>
      </c>
      <c r="I420" s="20">
        <v>40680</v>
      </c>
      <c r="J420">
        <v>101</v>
      </c>
      <c r="L420" t="s">
        <v>109</v>
      </c>
      <c r="M420" t="s">
        <v>328</v>
      </c>
      <c r="N420" t="s">
        <v>329</v>
      </c>
      <c r="O420" t="s">
        <v>330</v>
      </c>
      <c r="P420" t="s">
        <v>331</v>
      </c>
      <c r="U420">
        <v>0.52</v>
      </c>
      <c r="V420">
        <v>0.28799999999999998</v>
      </c>
      <c r="W420" t="s">
        <v>399</v>
      </c>
      <c r="Y420" t="s">
        <v>337</v>
      </c>
      <c r="AB420" t="s">
        <v>339</v>
      </c>
      <c r="AC420" t="s">
        <v>334</v>
      </c>
      <c r="AD420" s="34">
        <v>46.171861669999998</v>
      </c>
      <c r="AE420" s="34">
        <v>-84.078114999999997</v>
      </c>
      <c r="AF420" s="18">
        <v>40683.069444444445</v>
      </c>
      <c r="AG420" s="19">
        <v>40682.902777777781</v>
      </c>
      <c r="AH420" t="s">
        <v>161</v>
      </c>
      <c r="AL420" t="s">
        <v>335</v>
      </c>
      <c r="AM420" s="20">
        <v>40680</v>
      </c>
      <c r="AR420" s="39" t="s">
        <v>400</v>
      </c>
      <c r="AS420" s="39"/>
      <c r="AT420" s="39">
        <v>200</v>
      </c>
      <c r="AZ420" t="s">
        <v>108</v>
      </c>
      <c r="BC420" t="s">
        <v>336</v>
      </c>
    </row>
    <row r="421" spans="1:55" x14ac:dyDescent="0.25">
      <c r="A421" t="str">
        <f t="shared" si="6"/>
        <v>A69-1601-1186</v>
      </c>
      <c r="B421" t="s">
        <v>398</v>
      </c>
      <c r="C421" t="s">
        <v>324</v>
      </c>
      <c r="D421" t="s">
        <v>345</v>
      </c>
      <c r="F421">
        <v>1186</v>
      </c>
      <c r="G421" t="s">
        <v>346</v>
      </c>
      <c r="H421" t="s">
        <v>327</v>
      </c>
      <c r="I421" s="20">
        <v>40680</v>
      </c>
      <c r="J421">
        <v>101</v>
      </c>
      <c r="L421" t="s">
        <v>109</v>
      </c>
      <c r="M421" t="s">
        <v>328</v>
      </c>
      <c r="N421" t="s">
        <v>329</v>
      </c>
      <c r="O421" t="s">
        <v>330</v>
      </c>
      <c r="P421" t="s">
        <v>331</v>
      </c>
      <c r="U421">
        <v>0.49</v>
      </c>
      <c r="V421">
        <v>0.22600000000000001</v>
      </c>
      <c r="W421" t="s">
        <v>399</v>
      </c>
      <c r="Y421" t="s">
        <v>337</v>
      </c>
      <c r="AB421" t="s">
        <v>339</v>
      </c>
      <c r="AC421" t="s">
        <v>334</v>
      </c>
      <c r="AD421" s="34">
        <v>46.171861669999998</v>
      </c>
      <c r="AE421" s="34">
        <v>-84.078114999999997</v>
      </c>
      <c r="AF421" s="18">
        <v>40683.069444444445</v>
      </c>
      <c r="AG421" s="19">
        <v>40682.902777777781</v>
      </c>
      <c r="AH421" t="s">
        <v>161</v>
      </c>
      <c r="AL421" t="s">
        <v>335</v>
      </c>
      <c r="AM421" s="20">
        <v>40680</v>
      </c>
      <c r="AR421" s="39" t="s">
        <v>400</v>
      </c>
      <c r="AS421" s="39"/>
      <c r="AT421" s="39">
        <v>200</v>
      </c>
      <c r="AZ421" t="s">
        <v>108</v>
      </c>
      <c r="BC421" t="s">
        <v>336</v>
      </c>
    </row>
    <row r="422" spans="1:55" x14ac:dyDescent="0.25">
      <c r="A422" t="str">
        <f t="shared" si="6"/>
        <v>A69-1601-1187</v>
      </c>
      <c r="B422" t="s">
        <v>398</v>
      </c>
      <c r="C422" t="s">
        <v>324</v>
      </c>
      <c r="D422" t="s">
        <v>345</v>
      </c>
      <c r="F422">
        <v>1187</v>
      </c>
      <c r="G422" t="s">
        <v>346</v>
      </c>
      <c r="H422" t="s">
        <v>327</v>
      </c>
      <c r="I422" s="20">
        <v>40680</v>
      </c>
      <c r="J422">
        <v>101</v>
      </c>
      <c r="L422" t="s">
        <v>109</v>
      </c>
      <c r="M422" t="s">
        <v>328</v>
      </c>
      <c r="N422" t="s">
        <v>329</v>
      </c>
      <c r="O422" t="s">
        <v>330</v>
      </c>
      <c r="P422" t="s">
        <v>331</v>
      </c>
      <c r="U422">
        <v>0.46</v>
      </c>
      <c r="V422">
        <v>0.246</v>
      </c>
      <c r="W422" t="s">
        <v>399</v>
      </c>
      <c r="Y422" t="s">
        <v>337</v>
      </c>
      <c r="AB422" t="s">
        <v>339</v>
      </c>
      <c r="AC422" t="s">
        <v>334</v>
      </c>
      <c r="AD422" s="34">
        <v>46.171861669999998</v>
      </c>
      <c r="AE422" s="34">
        <v>-84.078114999999997</v>
      </c>
      <c r="AF422" s="18">
        <v>40683.069444444445</v>
      </c>
      <c r="AG422" s="19">
        <v>40682.902777777781</v>
      </c>
      <c r="AH422" t="s">
        <v>161</v>
      </c>
      <c r="AL422" t="s">
        <v>335</v>
      </c>
      <c r="AM422" s="20">
        <v>40680</v>
      </c>
      <c r="AR422" s="39" t="s">
        <v>400</v>
      </c>
      <c r="AS422" s="39"/>
      <c r="AT422" s="39">
        <v>200</v>
      </c>
      <c r="AZ422" t="s">
        <v>108</v>
      </c>
      <c r="BC422" t="s">
        <v>336</v>
      </c>
    </row>
    <row r="423" spans="1:55" x14ac:dyDescent="0.25">
      <c r="A423" t="str">
        <f t="shared" si="6"/>
        <v>A69-1601-1188</v>
      </c>
      <c r="B423" t="s">
        <v>398</v>
      </c>
      <c r="C423" t="s">
        <v>324</v>
      </c>
      <c r="D423" t="s">
        <v>345</v>
      </c>
      <c r="F423">
        <v>1188</v>
      </c>
      <c r="G423" t="s">
        <v>346</v>
      </c>
      <c r="H423" t="s">
        <v>327</v>
      </c>
      <c r="I423" s="20">
        <v>40680</v>
      </c>
      <c r="J423">
        <v>101</v>
      </c>
      <c r="L423" t="s">
        <v>109</v>
      </c>
      <c r="M423" t="s">
        <v>328</v>
      </c>
      <c r="N423" t="s">
        <v>329</v>
      </c>
      <c r="O423" t="s">
        <v>330</v>
      </c>
      <c r="P423" t="s">
        <v>331</v>
      </c>
      <c r="U423">
        <v>0.49</v>
      </c>
      <c r="V423">
        <v>0.23400000000000001</v>
      </c>
      <c r="W423" t="s">
        <v>399</v>
      </c>
      <c r="Y423" t="s">
        <v>337</v>
      </c>
      <c r="AB423" t="s">
        <v>339</v>
      </c>
      <c r="AC423" t="s">
        <v>334</v>
      </c>
      <c r="AD423" s="34">
        <v>46.171861669999998</v>
      </c>
      <c r="AE423" s="34">
        <v>-84.078114999999997</v>
      </c>
      <c r="AF423" s="18">
        <v>40683.069444444445</v>
      </c>
      <c r="AG423" s="19">
        <v>40682.902777777781</v>
      </c>
      <c r="AH423" t="s">
        <v>161</v>
      </c>
      <c r="AL423" t="s">
        <v>335</v>
      </c>
      <c r="AM423" s="20">
        <v>40680</v>
      </c>
      <c r="AR423" s="39" t="s">
        <v>400</v>
      </c>
      <c r="AS423" s="39"/>
      <c r="AT423" s="39">
        <v>200</v>
      </c>
      <c r="AZ423" t="s">
        <v>108</v>
      </c>
      <c r="BC423" t="s">
        <v>336</v>
      </c>
    </row>
    <row r="424" spans="1:55" x14ac:dyDescent="0.25">
      <c r="A424" t="str">
        <f t="shared" si="6"/>
        <v>A69-1601-1189</v>
      </c>
      <c r="B424" t="s">
        <v>398</v>
      </c>
      <c r="C424" t="s">
        <v>324</v>
      </c>
      <c r="D424" t="s">
        <v>345</v>
      </c>
      <c r="F424">
        <v>1189</v>
      </c>
      <c r="G424" t="s">
        <v>346</v>
      </c>
      <c r="H424" t="s">
        <v>327</v>
      </c>
      <c r="I424" s="20">
        <v>40680</v>
      </c>
      <c r="J424">
        <v>101</v>
      </c>
      <c r="L424" t="s">
        <v>109</v>
      </c>
      <c r="M424" t="s">
        <v>328</v>
      </c>
      <c r="N424" t="s">
        <v>329</v>
      </c>
      <c r="O424" t="s">
        <v>330</v>
      </c>
      <c r="P424" t="s">
        <v>331</v>
      </c>
      <c r="U424">
        <v>0.54</v>
      </c>
      <c r="V424">
        <v>0.36399999999999999</v>
      </c>
      <c r="W424" t="s">
        <v>399</v>
      </c>
      <c r="Y424" t="s">
        <v>337</v>
      </c>
      <c r="AB424" t="s">
        <v>339</v>
      </c>
      <c r="AC424" t="s">
        <v>334</v>
      </c>
      <c r="AD424" s="34">
        <v>46.171861669999998</v>
      </c>
      <c r="AE424" s="34">
        <v>-84.078114999999997</v>
      </c>
      <c r="AF424" s="18">
        <v>40683.069444444445</v>
      </c>
      <c r="AG424" s="19">
        <v>40682.902777777781</v>
      </c>
      <c r="AH424" t="s">
        <v>161</v>
      </c>
      <c r="AL424" t="s">
        <v>335</v>
      </c>
      <c r="AM424" s="20">
        <v>40680</v>
      </c>
      <c r="AR424" s="39" t="s">
        <v>400</v>
      </c>
      <c r="AS424" s="39"/>
      <c r="AT424" s="39">
        <v>200</v>
      </c>
      <c r="AZ424" t="s">
        <v>108</v>
      </c>
      <c r="BC424" t="s">
        <v>336</v>
      </c>
    </row>
    <row r="425" spans="1:55" x14ac:dyDescent="0.25">
      <c r="A425" t="str">
        <f t="shared" si="6"/>
        <v>A69-1601-1190</v>
      </c>
      <c r="B425" t="s">
        <v>398</v>
      </c>
      <c r="C425" t="s">
        <v>324</v>
      </c>
      <c r="D425" t="s">
        <v>345</v>
      </c>
      <c r="F425">
        <v>1190</v>
      </c>
      <c r="G425" t="s">
        <v>346</v>
      </c>
      <c r="H425" t="s">
        <v>327</v>
      </c>
      <c r="I425" s="20">
        <v>40680</v>
      </c>
      <c r="J425">
        <v>101</v>
      </c>
      <c r="L425" t="s">
        <v>109</v>
      </c>
      <c r="M425" t="s">
        <v>328</v>
      </c>
      <c r="N425" t="s">
        <v>329</v>
      </c>
      <c r="O425" t="s">
        <v>330</v>
      </c>
      <c r="P425" t="s">
        <v>331</v>
      </c>
      <c r="U425">
        <v>0.47</v>
      </c>
      <c r="V425">
        <v>0.23699999999999999</v>
      </c>
      <c r="W425" t="s">
        <v>399</v>
      </c>
      <c r="Y425" t="s">
        <v>332</v>
      </c>
      <c r="AB425" t="s">
        <v>339</v>
      </c>
      <c r="AC425" t="s">
        <v>334</v>
      </c>
      <c r="AD425" s="34">
        <v>46.171861669999998</v>
      </c>
      <c r="AE425" s="34">
        <v>-84.078114999999997</v>
      </c>
      <c r="AF425" s="18">
        <v>40683.069444444445</v>
      </c>
      <c r="AG425" s="19">
        <v>40682.902777777781</v>
      </c>
      <c r="AH425" t="s">
        <v>161</v>
      </c>
      <c r="AL425" t="s">
        <v>335</v>
      </c>
      <c r="AM425" s="20">
        <v>40680</v>
      </c>
      <c r="AR425" s="39" t="s">
        <v>400</v>
      </c>
      <c r="AS425" s="39"/>
      <c r="AT425" s="39">
        <v>200</v>
      </c>
      <c r="AZ425" t="s">
        <v>108</v>
      </c>
      <c r="BC425" t="s">
        <v>336</v>
      </c>
    </row>
    <row r="426" spans="1:55" x14ac:dyDescent="0.25">
      <c r="A426" t="str">
        <f t="shared" si="6"/>
        <v>A69-1601-1191</v>
      </c>
      <c r="B426" t="s">
        <v>398</v>
      </c>
      <c r="C426" t="s">
        <v>324</v>
      </c>
      <c r="D426" t="s">
        <v>345</v>
      </c>
      <c r="F426">
        <v>1191</v>
      </c>
      <c r="G426" t="s">
        <v>346</v>
      </c>
      <c r="H426" t="s">
        <v>327</v>
      </c>
      <c r="I426" s="20">
        <v>40680</v>
      </c>
      <c r="J426">
        <v>101</v>
      </c>
      <c r="L426" t="s">
        <v>109</v>
      </c>
      <c r="M426" t="s">
        <v>328</v>
      </c>
      <c r="N426" t="s">
        <v>329</v>
      </c>
      <c r="O426" t="s">
        <v>330</v>
      </c>
      <c r="P426" t="s">
        <v>331</v>
      </c>
      <c r="U426">
        <v>0.5</v>
      </c>
      <c r="V426">
        <v>0.25900000000000001</v>
      </c>
      <c r="W426" t="s">
        <v>399</v>
      </c>
      <c r="Y426" t="s">
        <v>332</v>
      </c>
      <c r="AB426" t="s">
        <v>339</v>
      </c>
      <c r="AC426" t="s">
        <v>334</v>
      </c>
      <c r="AD426" s="34">
        <v>46.171861669999998</v>
      </c>
      <c r="AE426" s="34">
        <v>-84.078114999999997</v>
      </c>
      <c r="AF426" s="18">
        <v>40683.069444444445</v>
      </c>
      <c r="AG426" s="19">
        <v>40682.902777777781</v>
      </c>
      <c r="AH426" t="s">
        <v>161</v>
      </c>
      <c r="AL426" t="s">
        <v>335</v>
      </c>
      <c r="AM426" s="20">
        <v>40680</v>
      </c>
      <c r="AR426" s="39" t="s">
        <v>400</v>
      </c>
      <c r="AS426" s="39"/>
      <c r="AT426" s="39">
        <v>200</v>
      </c>
      <c r="AZ426" t="s">
        <v>108</v>
      </c>
      <c r="BC426" t="s">
        <v>336</v>
      </c>
    </row>
    <row r="427" spans="1:55" x14ac:dyDescent="0.25">
      <c r="A427" t="str">
        <f t="shared" si="6"/>
        <v>A69-1601-1192</v>
      </c>
      <c r="B427" t="s">
        <v>398</v>
      </c>
      <c r="C427" t="s">
        <v>324</v>
      </c>
      <c r="D427" t="s">
        <v>345</v>
      </c>
      <c r="F427">
        <v>1192</v>
      </c>
      <c r="G427" t="s">
        <v>346</v>
      </c>
      <c r="H427" t="s">
        <v>327</v>
      </c>
      <c r="I427" s="20">
        <v>40680</v>
      </c>
      <c r="J427">
        <v>101</v>
      </c>
      <c r="L427" t="s">
        <v>109</v>
      </c>
      <c r="M427" t="s">
        <v>328</v>
      </c>
      <c r="N427" t="s">
        <v>329</v>
      </c>
      <c r="O427" t="s">
        <v>330</v>
      </c>
      <c r="P427" t="s">
        <v>331</v>
      </c>
      <c r="U427">
        <v>0.53</v>
      </c>
      <c r="V427">
        <v>0.34300000000000003</v>
      </c>
      <c r="W427" t="s">
        <v>399</v>
      </c>
      <c r="Y427" t="s">
        <v>332</v>
      </c>
      <c r="AB427" t="s">
        <v>339</v>
      </c>
      <c r="AC427" t="s">
        <v>334</v>
      </c>
      <c r="AD427" s="34">
        <v>46.171861669999998</v>
      </c>
      <c r="AE427" s="34">
        <v>-84.078114999999997</v>
      </c>
      <c r="AF427" s="18">
        <v>40683.069444444445</v>
      </c>
      <c r="AG427" s="19">
        <v>40682.902777777781</v>
      </c>
      <c r="AH427" t="s">
        <v>161</v>
      </c>
      <c r="AL427" t="s">
        <v>335</v>
      </c>
      <c r="AM427" s="20">
        <v>40680</v>
      </c>
      <c r="AR427" s="39" t="s">
        <v>400</v>
      </c>
      <c r="AS427" s="39"/>
      <c r="AT427" s="39">
        <v>200</v>
      </c>
      <c r="AZ427" t="s">
        <v>108</v>
      </c>
      <c r="BC427" t="s">
        <v>336</v>
      </c>
    </row>
    <row r="428" spans="1:55" x14ac:dyDescent="0.25">
      <c r="A428" t="str">
        <f t="shared" si="6"/>
        <v>A69-1601-1193</v>
      </c>
      <c r="B428" t="s">
        <v>398</v>
      </c>
      <c r="C428" t="s">
        <v>324</v>
      </c>
      <c r="D428" t="s">
        <v>345</v>
      </c>
      <c r="F428">
        <v>1193</v>
      </c>
      <c r="G428" t="s">
        <v>346</v>
      </c>
      <c r="H428" t="s">
        <v>327</v>
      </c>
      <c r="I428" s="20">
        <v>40680</v>
      </c>
      <c r="J428">
        <v>101</v>
      </c>
      <c r="L428" t="s">
        <v>109</v>
      </c>
      <c r="M428" t="s">
        <v>328</v>
      </c>
      <c r="N428" t="s">
        <v>329</v>
      </c>
      <c r="O428" t="s">
        <v>330</v>
      </c>
      <c r="P428" t="s">
        <v>331</v>
      </c>
      <c r="U428">
        <v>0.49</v>
      </c>
      <c r="V428">
        <v>0.25900000000000001</v>
      </c>
      <c r="W428" t="s">
        <v>399</v>
      </c>
      <c r="Y428" t="s">
        <v>332</v>
      </c>
      <c r="AB428" t="s">
        <v>339</v>
      </c>
      <c r="AC428" t="s">
        <v>334</v>
      </c>
      <c r="AD428" s="34">
        <v>46.171861669999998</v>
      </c>
      <c r="AE428" s="34">
        <v>-84.078114999999997</v>
      </c>
      <c r="AF428" s="18">
        <v>40683.069444444445</v>
      </c>
      <c r="AG428" s="19">
        <v>40682.902777777781</v>
      </c>
      <c r="AH428" t="s">
        <v>161</v>
      </c>
      <c r="AL428" t="s">
        <v>335</v>
      </c>
      <c r="AM428" s="20">
        <v>40680</v>
      </c>
      <c r="AR428" s="39" t="s">
        <v>400</v>
      </c>
      <c r="AS428" s="39"/>
      <c r="AT428" s="39">
        <v>200</v>
      </c>
      <c r="AZ428" t="s">
        <v>108</v>
      </c>
      <c r="BC428" t="s">
        <v>336</v>
      </c>
    </row>
    <row r="429" spans="1:55" x14ac:dyDescent="0.25">
      <c r="A429" t="str">
        <f t="shared" si="6"/>
        <v>A69-1601-1194</v>
      </c>
      <c r="B429" t="s">
        <v>398</v>
      </c>
      <c r="C429" t="s">
        <v>324</v>
      </c>
      <c r="D429" t="s">
        <v>345</v>
      </c>
      <c r="F429">
        <v>1194</v>
      </c>
      <c r="G429" t="s">
        <v>346</v>
      </c>
      <c r="H429" t="s">
        <v>327</v>
      </c>
      <c r="I429" s="20">
        <v>40680</v>
      </c>
      <c r="J429">
        <v>101</v>
      </c>
      <c r="L429" t="s">
        <v>109</v>
      </c>
      <c r="M429" t="s">
        <v>328</v>
      </c>
      <c r="N429" t="s">
        <v>329</v>
      </c>
      <c r="O429" t="s">
        <v>330</v>
      </c>
      <c r="P429" t="s">
        <v>331</v>
      </c>
      <c r="U429">
        <v>0.5</v>
      </c>
      <c r="V429">
        <v>0.27800000000000002</v>
      </c>
      <c r="W429" t="s">
        <v>399</v>
      </c>
      <c r="Y429" t="s">
        <v>332</v>
      </c>
      <c r="AB429" t="s">
        <v>339</v>
      </c>
      <c r="AC429" t="s">
        <v>334</v>
      </c>
      <c r="AD429" s="34">
        <v>46.171861669999998</v>
      </c>
      <c r="AE429" s="34">
        <v>-84.078114999999997</v>
      </c>
      <c r="AF429" s="18">
        <v>40683.069444444445</v>
      </c>
      <c r="AG429" s="19">
        <v>40682.902777777781</v>
      </c>
      <c r="AH429" t="s">
        <v>161</v>
      </c>
      <c r="AL429" t="s">
        <v>335</v>
      </c>
      <c r="AM429" s="20">
        <v>40680</v>
      </c>
      <c r="AR429" s="39" t="s">
        <v>400</v>
      </c>
      <c r="AS429" s="39"/>
      <c r="AT429" s="39">
        <v>200</v>
      </c>
      <c r="AZ429" t="s">
        <v>108</v>
      </c>
      <c r="BC429" t="s">
        <v>336</v>
      </c>
    </row>
    <row r="430" spans="1:55" x14ac:dyDescent="0.25">
      <c r="A430" t="str">
        <f t="shared" si="6"/>
        <v>A69-1601-1195</v>
      </c>
      <c r="B430" t="s">
        <v>398</v>
      </c>
      <c r="C430" t="s">
        <v>324</v>
      </c>
      <c r="D430" t="s">
        <v>345</v>
      </c>
      <c r="F430">
        <v>1195</v>
      </c>
      <c r="G430" t="s">
        <v>346</v>
      </c>
      <c r="H430" t="s">
        <v>327</v>
      </c>
      <c r="I430" s="20">
        <v>40680</v>
      </c>
      <c r="J430">
        <v>101</v>
      </c>
      <c r="L430" t="s">
        <v>109</v>
      </c>
      <c r="M430" t="s">
        <v>328</v>
      </c>
      <c r="N430" t="s">
        <v>329</v>
      </c>
      <c r="O430" t="s">
        <v>330</v>
      </c>
      <c r="P430" t="s">
        <v>331</v>
      </c>
      <c r="U430">
        <v>0.46</v>
      </c>
      <c r="V430">
        <v>0.193</v>
      </c>
      <c r="W430" t="s">
        <v>399</v>
      </c>
      <c r="Y430" t="s">
        <v>332</v>
      </c>
      <c r="AB430" t="s">
        <v>339</v>
      </c>
      <c r="AC430" t="s">
        <v>334</v>
      </c>
      <c r="AD430" s="34">
        <v>46.171861669999998</v>
      </c>
      <c r="AE430" s="34">
        <v>-84.078114999999997</v>
      </c>
      <c r="AF430" s="18">
        <v>40683.069444444445</v>
      </c>
      <c r="AG430" s="19">
        <v>40682.902777777781</v>
      </c>
      <c r="AH430" t="s">
        <v>161</v>
      </c>
      <c r="AL430" t="s">
        <v>335</v>
      </c>
      <c r="AM430" s="20">
        <v>40680</v>
      </c>
      <c r="AR430" s="39" t="s">
        <v>400</v>
      </c>
      <c r="AS430" s="39"/>
      <c r="AT430" s="39">
        <v>200</v>
      </c>
      <c r="AZ430" t="s">
        <v>108</v>
      </c>
      <c r="BC430" t="s">
        <v>336</v>
      </c>
    </row>
    <row r="431" spans="1:55" x14ac:dyDescent="0.25">
      <c r="A431" t="str">
        <f t="shared" si="6"/>
        <v>A69-1601-1196</v>
      </c>
      <c r="B431" t="s">
        <v>398</v>
      </c>
      <c r="C431" t="s">
        <v>324</v>
      </c>
      <c r="D431" t="s">
        <v>345</v>
      </c>
      <c r="F431">
        <v>1196</v>
      </c>
      <c r="G431" t="s">
        <v>346</v>
      </c>
      <c r="H431" t="s">
        <v>327</v>
      </c>
      <c r="I431" s="20">
        <v>40680</v>
      </c>
      <c r="J431">
        <v>101</v>
      </c>
      <c r="L431" t="s">
        <v>109</v>
      </c>
      <c r="M431" t="s">
        <v>328</v>
      </c>
      <c r="N431" t="s">
        <v>329</v>
      </c>
      <c r="O431" t="s">
        <v>330</v>
      </c>
      <c r="P431" t="s">
        <v>331</v>
      </c>
      <c r="U431">
        <v>0.46</v>
      </c>
      <c r="V431">
        <v>0.252</v>
      </c>
      <c r="W431" t="s">
        <v>399</v>
      </c>
      <c r="Y431" t="s">
        <v>332</v>
      </c>
      <c r="AB431" t="s">
        <v>339</v>
      </c>
      <c r="AC431" t="s">
        <v>334</v>
      </c>
      <c r="AD431" s="34">
        <v>46.171861669999998</v>
      </c>
      <c r="AE431" s="34">
        <v>-84.078114999999997</v>
      </c>
      <c r="AF431" s="18">
        <v>40683.069444444445</v>
      </c>
      <c r="AG431" s="19">
        <v>40682.902777777781</v>
      </c>
      <c r="AH431" t="s">
        <v>161</v>
      </c>
      <c r="AL431" t="s">
        <v>335</v>
      </c>
      <c r="AM431" s="20">
        <v>40680</v>
      </c>
      <c r="AR431" s="39" t="s">
        <v>400</v>
      </c>
      <c r="AS431" s="39"/>
      <c r="AT431" s="39">
        <v>200</v>
      </c>
      <c r="AZ431" t="s">
        <v>108</v>
      </c>
      <c r="BC431" t="s">
        <v>336</v>
      </c>
    </row>
    <row r="432" spans="1:55" x14ac:dyDescent="0.25">
      <c r="A432" t="str">
        <f t="shared" si="6"/>
        <v>A69-1601-1197</v>
      </c>
      <c r="B432" t="s">
        <v>398</v>
      </c>
      <c r="C432" t="s">
        <v>324</v>
      </c>
      <c r="D432" t="s">
        <v>345</v>
      </c>
      <c r="F432">
        <v>1197</v>
      </c>
      <c r="G432" t="s">
        <v>346</v>
      </c>
      <c r="H432" t="s">
        <v>327</v>
      </c>
      <c r="I432" s="20">
        <v>40680</v>
      </c>
      <c r="J432">
        <v>101</v>
      </c>
      <c r="L432" t="s">
        <v>109</v>
      </c>
      <c r="M432" t="s">
        <v>328</v>
      </c>
      <c r="N432" t="s">
        <v>329</v>
      </c>
      <c r="O432" t="s">
        <v>330</v>
      </c>
      <c r="P432" t="s">
        <v>331</v>
      </c>
      <c r="U432">
        <v>0.46</v>
      </c>
      <c r="V432">
        <v>0.21099999999999999</v>
      </c>
      <c r="W432" t="s">
        <v>399</v>
      </c>
      <c r="Y432" t="s">
        <v>332</v>
      </c>
      <c r="AB432" t="s">
        <v>339</v>
      </c>
      <c r="AC432" t="s">
        <v>334</v>
      </c>
      <c r="AD432" s="34">
        <v>46.171861669999998</v>
      </c>
      <c r="AE432" s="34">
        <v>-84.078114999999997</v>
      </c>
      <c r="AF432" s="18">
        <v>40683.069444444445</v>
      </c>
      <c r="AG432" s="19">
        <v>40682.902777777781</v>
      </c>
      <c r="AH432" t="s">
        <v>161</v>
      </c>
      <c r="AL432" t="s">
        <v>335</v>
      </c>
      <c r="AM432" s="20">
        <v>40680</v>
      </c>
      <c r="AR432" s="39" t="s">
        <v>400</v>
      </c>
      <c r="AS432" s="39"/>
      <c r="AT432" s="39">
        <v>200</v>
      </c>
      <c r="AZ432" t="s">
        <v>108</v>
      </c>
      <c r="BC432" t="s">
        <v>336</v>
      </c>
    </row>
    <row r="433" spans="1:71" x14ac:dyDescent="0.25">
      <c r="A433" t="str">
        <f t="shared" si="6"/>
        <v>A69-1601-1198</v>
      </c>
      <c r="B433" t="s">
        <v>398</v>
      </c>
      <c r="C433" t="s">
        <v>324</v>
      </c>
      <c r="D433" t="s">
        <v>345</v>
      </c>
      <c r="F433">
        <v>1198</v>
      </c>
      <c r="G433" t="s">
        <v>346</v>
      </c>
      <c r="H433" t="s">
        <v>327</v>
      </c>
      <c r="I433" s="20">
        <v>40680</v>
      </c>
      <c r="J433">
        <v>101</v>
      </c>
      <c r="L433" t="s">
        <v>109</v>
      </c>
      <c r="M433" t="s">
        <v>328</v>
      </c>
      <c r="N433" t="s">
        <v>329</v>
      </c>
      <c r="O433" t="s">
        <v>330</v>
      </c>
      <c r="P433" t="s">
        <v>331</v>
      </c>
      <c r="U433">
        <v>0.56999999999999995</v>
      </c>
      <c r="V433">
        <v>0.26600000000000001</v>
      </c>
      <c r="W433" t="s">
        <v>399</v>
      </c>
      <c r="Y433" t="s">
        <v>332</v>
      </c>
      <c r="AB433" t="s">
        <v>339</v>
      </c>
      <c r="AC433" t="s">
        <v>334</v>
      </c>
      <c r="AD433" s="34">
        <v>46.171861669999998</v>
      </c>
      <c r="AE433" s="34">
        <v>-84.078114999999997</v>
      </c>
      <c r="AF433" s="18">
        <v>40683.069444444445</v>
      </c>
      <c r="AG433" s="19">
        <v>40682.902777777781</v>
      </c>
      <c r="AH433" t="s">
        <v>161</v>
      </c>
      <c r="AL433" t="s">
        <v>335</v>
      </c>
      <c r="AM433" s="20">
        <v>40680</v>
      </c>
      <c r="AR433" s="39" t="s">
        <v>400</v>
      </c>
      <c r="AS433" s="39"/>
      <c r="AT433" s="39">
        <v>200</v>
      </c>
      <c r="AZ433" t="s">
        <v>108</v>
      </c>
      <c r="BC433" t="s">
        <v>163</v>
      </c>
      <c r="BD433" s="20">
        <v>40733</v>
      </c>
      <c r="BF433" s="21" t="s">
        <v>406</v>
      </c>
      <c r="BG433" s="38" t="s">
        <v>113</v>
      </c>
      <c r="BH433" s="1" t="s">
        <v>408</v>
      </c>
      <c r="BI433" s="1">
        <v>46.514783999999999</v>
      </c>
      <c r="BJ433" s="1">
        <v>-84.346945000000005</v>
      </c>
      <c r="BK433" s="1" t="s">
        <v>404</v>
      </c>
      <c r="BL433" s="1" t="s">
        <v>163</v>
      </c>
      <c r="BM433" s="1" t="s">
        <v>163</v>
      </c>
      <c r="BN433" s="1" t="s">
        <v>410</v>
      </c>
      <c r="BO433" s="39">
        <v>633</v>
      </c>
      <c r="BP433" s="39">
        <v>635</v>
      </c>
      <c r="BQ433" s="39" t="s">
        <v>332</v>
      </c>
      <c r="BR433" s="39">
        <v>498</v>
      </c>
      <c r="BS433" s="39">
        <v>241</v>
      </c>
    </row>
    <row r="434" spans="1:71" x14ac:dyDescent="0.25">
      <c r="A434" t="str">
        <f t="shared" si="6"/>
        <v>A69-1601-1199</v>
      </c>
      <c r="B434" t="s">
        <v>398</v>
      </c>
      <c r="C434" t="s">
        <v>324</v>
      </c>
      <c r="D434" t="s">
        <v>345</v>
      </c>
      <c r="F434">
        <v>1199</v>
      </c>
      <c r="G434" t="s">
        <v>346</v>
      </c>
      <c r="H434" t="s">
        <v>327</v>
      </c>
      <c r="I434" s="20">
        <v>40680</v>
      </c>
      <c r="J434">
        <v>101</v>
      </c>
      <c r="L434" t="s">
        <v>109</v>
      </c>
      <c r="M434" t="s">
        <v>328</v>
      </c>
      <c r="N434" t="s">
        <v>329</v>
      </c>
      <c r="O434" t="s">
        <v>330</v>
      </c>
      <c r="P434" t="s">
        <v>331</v>
      </c>
      <c r="U434">
        <v>0.44</v>
      </c>
      <c r="V434">
        <v>0.17299999999999999</v>
      </c>
      <c r="W434" t="s">
        <v>399</v>
      </c>
      <c r="Y434" t="s">
        <v>332</v>
      </c>
      <c r="AB434" t="s">
        <v>339</v>
      </c>
      <c r="AC434" t="s">
        <v>334</v>
      </c>
      <c r="AD434" s="34">
        <v>46.171861669999998</v>
      </c>
      <c r="AE434" s="34">
        <v>-84.078114999999997</v>
      </c>
      <c r="AF434" s="18">
        <v>40683.069444444445</v>
      </c>
      <c r="AG434" s="19">
        <v>40682.902777777781</v>
      </c>
      <c r="AH434" t="s">
        <v>161</v>
      </c>
      <c r="AL434" t="s">
        <v>335</v>
      </c>
      <c r="AM434" s="20">
        <v>40680</v>
      </c>
      <c r="AR434" s="39" t="s">
        <v>400</v>
      </c>
      <c r="AS434" s="39"/>
      <c r="AT434" s="39">
        <v>200</v>
      </c>
      <c r="AZ434" t="s">
        <v>108</v>
      </c>
      <c r="BC434" t="s">
        <v>336</v>
      </c>
    </row>
    <row r="435" spans="1:71" x14ac:dyDescent="0.25">
      <c r="A435" t="str">
        <f t="shared" si="6"/>
        <v>A69-1601-1200</v>
      </c>
      <c r="B435" t="s">
        <v>398</v>
      </c>
      <c r="C435" t="s">
        <v>324</v>
      </c>
      <c r="D435" t="s">
        <v>345</v>
      </c>
      <c r="F435">
        <v>1200</v>
      </c>
      <c r="G435" t="s">
        <v>346</v>
      </c>
      <c r="H435" t="s">
        <v>327</v>
      </c>
      <c r="I435" s="20">
        <v>40680</v>
      </c>
      <c r="J435">
        <v>101</v>
      </c>
      <c r="L435" t="s">
        <v>109</v>
      </c>
      <c r="M435" t="s">
        <v>328</v>
      </c>
      <c r="N435" t="s">
        <v>329</v>
      </c>
      <c r="O435" t="s">
        <v>330</v>
      </c>
      <c r="P435" t="s">
        <v>331</v>
      </c>
      <c r="U435">
        <v>0.52</v>
      </c>
      <c r="V435">
        <v>0.28299999999999997</v>
      </c>
      <c r="W435" t="s">
        <v>399</v>
      </c>
      <c r="Y435" t="s">
        <v>332</v>
      </c>
      <c r="AB435" t="s">
        <v>339</v>
      </c>
      <c r="AC435" t="s">
        <v>334</v>
      </c>
      <c r="AD435" s="34">
        <v>46.171861669999998</v>
      </c>
      <c r="AE435" s="34">
        <v>-84.078114999999997</v>
      </c>
      <c r="AF435" s="18">
        <v>40683.069444444445</v>
      </c>
      <c r="AG435" s="19">
        <v>40682.902777777781</v>
      </c>
      <c r="AH435" t="s">
        <v>161</v>
      </c>
      <c r="AL435" t="s">
        <v>335</v>
      </c>
      <c r="AM435" s="20">
        <v>40680</v>
      </c>
      <c r="AR435" s="39" t="s">
        <v>400</v>
      </c>
      <c r="AS435" s="39"/>
      <c r="AT435" s="39">
        <v>200</v>
      </c>
      <c r="AZ435" t="s">
        <v>108</v>
      </c>
      <c r="BC435" t="s">
        <v>336</v>
      </c>
    </row>
    <row r="436" spans="1:71" x14ac:dyDescent="0.25">
      <c r="A436" t="str">
        <f t="shared" si="6"/>
        <v>A69-1601-1201</v>
      </c>
      <c r="B436" t="s">
        <v>398</v>
      </c>
      <c r="C436" t="s">
        <v>324</v>
      </c>
      <c r="D436" t="s">
        <v>345</v>
      </c>
      <c r="F436">
        <v>1201</v>
      </c>
      <c r="G436" t="s">
        <v>346</v>
      </c>
      <c r="H436" t="s">
        <v>327</v>
      </c>
      <c r="I436" s="20">
        <v>40680</v>
      </c>
      <c r="J436">
        <v>101</v>
      </c>
      <c r="L436" t="s">
        <v>109</v>
      </c>
      <c r="M436" t="s">
        <v>328</v>
      </c>
      <c r="N436" t="s">
        <v>329</v>
      </c>
      <c r="O436" t="s">
        <v>330</v>
      </c>
      <c r="P436" t="s">
        <v>331</v>
      </c>
      <c r="U436">
        <v>0.52</v>
      </c>
      <c r="V436">
        <v>0.26200000000000001</v>
      </c>
      <c r="W436" t="s">
        <v>399</v>
      </c>
      <c r="Y436" t="s">
        <v>332</v>
      </c>
      <c r="AB436" t="s">
        <v>339</v>
      </c>
      <c r="AC436" t="s">
        <v>334</v>
      </c>
      <c r="AD436" s="34">
        <v>46.171861669999998</v>
      </c>
      <c r="AE436" s="34">
        <v>-84.078114999999997</v>
      </c>
      <c r="AF436" s="18">
        <v>40683.069444444445</v>
      </c>
      <c r="AG436" s="19">
        <v>40682.902777777781</v>
      </c>
      <c r="AH436" t="s">
        <v>161</v>
      </c>
      <c r="AL436" t="s">
        <v>335</v>
      </c>
      <c r="AM436" s="20">
        <v>40680</v>
      </c>
      <c r="AR436" s="39" t="s">
        <v>400</v>
      </c>
      <c r="AS436" s="39"/>
      <c r="AT436" s="39">
        <v>200</v>
      </c>
      <c r="AZ436" t="s">
        <v>108</v>
      </c>
      <c r="BC436" t="s">
        <v>336</v>
      </c>
    </row>
    <row r="437" spans="1:71" x14ac:dyDescent="0.25">
      <c r="A437" t="str">
        <f t="shared" si="6"/>
        <v>A69-1601-1202</v>
      </c>
      <c r="B437" t="s">
        <v>398</v>
      </c>
      <c r="C437" t="s">
        <v>324</v>
      </c>
      <c r="D437" t="s">
        <v>345</v>
      </c>
      <c r="F437">
        <v>1202</v>
      </c>
      <c r="G437" t="s">
        <v>346</v>
      </c>
      <c r="H437" t="s">
        <v>327</v>
      </c>
      <c r="I437" s="20">
        <v>40680</v>
      </c>
      <c r="J437">
        <v>101</v>
      </c>
      <c r="L437" t="s">
        <v>109</v>
      </c>
      <c r="M437" t="s">
        <v>328</v>
      </c>
      <c r="N437" t="s">
        <v>329</v>
      </c>
      <c r="O437" t="s">
        <v>330</v>
      </c>
      <c r="P437" t="s">
        <v>331</v>
      </c>
      <c r="U437">
        <v>0.5</v>
      </c>
      <c r="V437">
        <v>0.24099999999999999</v>
      </c>
      <c r="W437" t="s">
        <v>399</v>
      </c>
      <c r="Y437" t="s">
        <v>332</v>
      </c>
      <c r="AB437" t="s">
        <v>339</v>
      </c>
      <c r="AC437" t="s">
        <v>334</v>
      </c>
      <c r="AD437" s="34">
        <v>46.171861669999998</v>
      </c>
      <c r="AE437" s="34">
        <v>-84.078114999999997</v>
      </c>
      <c r="AF437" s="18">
        <v>40683.069444444445</v>
      </c>
      <c r="AG437" s="19">
        <v>40682.902777777781</v>
      </c>
      <c r="AH437" t="s">
        <v>161</v>
      </c>
      <c r="AL437" t="s">
        <v>335</v>
      </c>
      <c r="AM437" s="20">
        <v>40680</v>
      </c>
      <c r="AR437" s="39" t="s">
        <v>400</v>
      </c>
      <c r="AS437" s="39"/>
      <c r="AT437" s="39">
        <v>200</v>
      </c>
      <c r="AZ437" t="s">
        <v>108</v>
      </c>
      <c r="BC437" t="s">
        <v>336</v>
      </c>
    </row>
    <row r="438" spans="1:71" x14ac:dyDescent="0.25">
      <c r="A438" t="str">
        <f t="shared" si="6"/>
        <v>A69-1601-1203</v>
      </c>
      <c r="B438" t="s">
        <v>398</v>
      </c>
      <c r="C438" t="s">
        <v>324</v>
      </c>
      <c r="D438" t="s">
        <v>345</v>
      </c>
      <c r="F438">
        <v>1203</v>
      </c>
      <c r="G438" t="s">
        <v>346</v>
      </c>
      <c r="H438" t="s">
        <v>327</v>
      </c>
      <c r="I438" s="20">
        <v>40680</v>
      </c>
      <c r="J438">
        <v>101</v>
      </c>
      <c r="L438" t="s">
        <v>109</v>
      </c>
      <c r="M438" t="s">
        <v>328</v>
      </c>
      <c r="N438" t="s">
        <v>329</v>
      </c>
      <c r="O438" t="s">
        <v>330</v>
      </c>
      <c r="P438" t="s">
        <v>331</v>
      </c>
      <c r="U438">
        <v>0.49</v>
      </c>
      <c r="V438">
        <v>0.23699999999999999</v>
      </c>
      <c r="W438" t="s">
        <v>399</v>
      </c>
      <c r="Y438" t="s">
        <v>332</v>
      </c>
      <c r="AB438" t="s">
        <v>339</v>
      </c>
      <c r="AC438" t="s">
        <v>334</v>
      </c>
      <c r="AD438" s="34">
        <v>46.171861669999998</v>
      </c>
      <c r="AE438" s="34">
        <v>-84.078114999999997</v>
      </c>
      <c r="AF438" s="18">
        <v>40683.069444444445</v>
      </c>
      <c r="AG438" s="19">
        <v>40682.902777777781</v>
      </c>
      <c r="AH438" t="s">
        <v>161</v>
      </c>
      <c r="AL438" t="s">
        <v>335</v>
      </c>
      <c r="AM438" s="20">
        <v>40680</v>
      </c>
      <c r="AR438" s="39" t="s">
        <v>400</v>
      </c>
      <c r="AS438" s="39"/>
      <c r="AT438" s="39">
        <v>200</v>
      </c>
      <c r="AZ438" t="s">
        <v>108</v>
      </c>
      <c r="BC438" t="s">
        <v>336</v>
      </c>
    </row>
    <row r="439" spans="1:71" x14ac:dyDescent="0.25">
      <c r="A439" t="str">
        <f t="shared" si="6"/>
        <v>A69-1601-1204</v>
      </c>
      <c r="B439" t="s">
        <v>398</v>
      </c>
      <c r="C439" t="s">
        <v>324</v>
      </c>
      <c r="D439" t="s">
        <v>345</v>
      </c>
      <c r="F439">
        <v>1204</v>
      </c>
      <c r="G439" t="s">
        <v>346</v>
      </c>
      <c r="H439" t="s">
        <v>327</v>
      </c>
      <c r="I439" s="20">
        <v>40680</v>
      </c>
      <c r="J439">
        <v>101</v>
      </c>
      <c r="L439" t="s">
        <v>109</v>
      </c>
      <c r="M439" t="s">
        <v>328</v>
      </c>
      <c r="N439" t="s">
        <v>329</v>
      </c>
      <c r="O439" t="s">
        <v>330</v>
      </c>
      <c r="P439" t="s">
        <v>331</v>
      </c>
      <c r="U439">
        <v>0.5</v>
      </c>
      <c r="V439">
        <v>0.22500000000000001</v>
      </c>
      <c r="W439" t="s">
        <v>399</v>
      </c>
      <c r="Y439" t="s">
        <v>332</v>
      </c>
      <c r="AB439" t="s">
        <v>339</v>
      </c>
      <c r="AC439" t="s">
        <v>334</v>
      </c>
      <c r="AD439" s="34">
        <v>46.171861669999998</v>
      </c>
      <c r="AE439" s="34">
        <v>-84.078114999999997</v>
      </c>
      <c r="AF439" s="18">
        <v>40683.069444444445</v>
      </c>
      <c r="AG439" s="19">
        <v>40682.902777777781</v>
      </c>
      <c r="AH439" t="s">
        <v>161</v>
      </c>
      <c r="AL439" t="s">
        <v>335</v>
      </c>
      <c r="AM439" s="20">
        <v>40680</v>
      </c>
      <c r="AR439" s="39" t="s">
        <v>400</v>
      </c>
      <c r="AS439" s="39"/>
      <c r="AT439" s="39">
        <v>200</v>
      </c>
      <c r="AZ439" t="s">
        <v>108</v>
      </c>
      <c r="BC439" t="s">
        <v>336</v>
      </c>
    </row>
    <row r="440" spans="1:71" x14ac:dyDescent="0.25">
      <c r="A440" t="str">
        <f t="shared" si="6"/>
        <v>A69-1601-1205</v>
      </c>
      <c r="B440" t="s">
        <v>398</v>
      </c>
      <c r="C440" t="s">
        <v>324</v>
      </c>
      <c r="D440" t="s">
        <v>345</v>
      </c>
      <c r="F440">
        <v>1205</v>
      </c>
      <c r="G440" t="s">
        <v>346</v>
      </c>
      <c r="H440" t="s">
        <v>327</v>
      </c>
      <c r="I440" s="20">
        <v>40680</v>
      </c>
      <c r="J440">
        <v>101</v>
      </c>
      <c r="L440" t="s">
        <v>109</v>
      </c>
      <c r="M440" t="s">
        <v>328</v>
      </c>
      <c r="N440" t="s">
        <v>329</v>
      </c>
      <c r="O440" t="s">
        <v>330</v>
      </c>
      <c r="P440" t="s">
        <v>331</v>
      </c>
      <c r="U440">
        <v>0.56000000000000005</v>
      </c>
      <c r="V440">
        <v>0.35299999999999998</v>
      </c>
      <c r="W440" t="s">
        <v>399</v>
      </c>
      <c r="Y440" t="s">
        <v>332</v>
      </c>
      <c r="AB440" t="s">
        <v>339</v>
      </c>
      <c r="AC440" t="s">
        <v>334</v>
      </c>
      <c r="AD440" s="34">
        <v>46.171861669999998</v>
      </c>
      <c r="AE440" s="34">
        <v>-84.078114999999997</v>
      </c>
      <c r="AF440" s="18">
        <v>40683.069444444445</v>
      </c>
      <c r="AG440" s="19">
        <v>40682.902777777781</v>
      </c>
      <c r="AH440" t="s">
        <v>161</v>
      </c>
      <c r="AL440" t="s">
        <v>335</v>
      </c>
      <c r="AM440" s="20">
        <v>40680</v>
      </c>
      <c r="AR440" s="39" t="s">
        <v>400</v>
      </c>
      <c r="AS440" s="39"/>
      <c r="AT440" s="39">
        <v>200</v>
      </c>
      <c r="AZ440" t="s">
        <v>108</v>
      </c>
      <c r="BC440" t="s">
        <v>336</v>
      </c>
    </row>
    <row r="441" spans="1:71" x14ac:dyDescent="0.25">
      <c r="A441" t="str">
        <f t="shared" si="6"/>
        <v>A69-1601-1206</v>
      </c>
      <c r="B441" t="s">
        <v>398</v>
      </c>
      <c r="C441" t="s">
        <v>324</v>
      </c>
      <c r="D441" t="s">
        <v>345</v>
      </c>
      <c r="F441">
        <v>1206</v>
      </c>
      <c r="G441" t="s">
        <v>346</v>
      </c>
      <c r="H441" t="s">
        <v>327</v>
      </c>
      <c r="I441" s="20">
        <v>40680</v>
      </c>
      <c r="J441">
        <v>101</v>
      </c>
      <c r="L441" t="s">
        <v>109</v>
      </c>
      <c r="M441" t="s">
        <v>328</v>
      </c>
      <c r="N441" t="s">
        <v>329</v>
      </c>
      <c r="O441" t="s">
        <v>330</v>
      </c>
      <c r="P441" t="s">
        <v>331</v>
      </c>
      <c r="U441">
        <v>0.46</v>
      </c>
      <c r="V441">
        <v>0.185</v>
      </c>
      <c r="W441" t="s">
        <v>399</v>
      </c>
      <c r="Y441" t="s">
        <v>332</v>
      </c>
      <c r="AB441" t="s">
        <v>339</v>
      </c>
      <c r="AC441" t="s">
        <v>334</v>
      </c>
      <c r="AD441" s="34">
        <v>46.171861669999998</v>
      </c>
      <c r="AE441" s="34">
        <v>-84.078114999999997</v>
      </c>
      <c r="AF441" s="18">
        <v>40683.069444444445</v>
      </c>
      <c r="AG441" s="19">
        <v>40682.902777777781</v>
      </c>
      <c r="AH441" t="s">
        <v>161</v>
      </c>
      <c r="AL441" t="s">
        <v>335</v>
      </c>
      <c r="AM441" s="20">
        <v>40680</v>
      </c>
      <c r="AR441" s="39" t="s">
        <v>400</v>
      </c>
      <c r="AS441" s="39"/>
      <c r="AT441" s="39">
        <v>200</v>
      </c>
      <c r="AZ441" t="s">
        <v>108</v>
      </c>
      <c r="BC441" t="s">
        <v>336</v>
      </c>
    </row>
    <row r="442" spans="1:71" x14ac:dyDescent="0.25">
      <c r="A442" t="str">
        <f t="shared" si="6"/>
        <v>A69-1601-1207</v>
      </c>
      <c r="B442" t="s">
        <v>398</v>
      </c>
      <c r="C442" t="s">
        <v>324</v>
      </c>
      <c r="D442" t="s">
        <v>345</v>
      </c>
      <c r="F442">
        <v>1207</v>
      </c>
      <c r="G442" t="s">
        <v>346</v>
      </c>
      <c r="H442" t="s">
        <v>327</v>
      </c>
      <c r="I442" s="20">
        <v>40680</v>
      </c>
      <c r="J442">
        <v>101</v>
      </c>
      <c r="L442" t="s">
        <v>109</v>
      </c>
      <c r="M442" t="s">
        <v>328</v>
      </c>
      <c r="N442" t="s">
        <v>329</v>
      </c>
      <c r="O442" t="s">
        <v>330</v>
      </c>
      <c r="P442" t="s">
        <v>331</v>
      </c>
      <c r="U442">
        <v>0.49</v>
      </c>
      <c r="V442">
        <v>0.217</v>
      </c>
      <c r="W442" t="s">
        <v>399</v>
      </c>
      <c r="Y442" t="s">
        <v>332</v>
      </c>
      <c r="AB442" t="s">
        <v>339</v>
      </c>
      <c r="AC442" t="s">
        <v>334</v>
      </c>
      <c r="AD442" s="34">
        <v>46.171861669999998</v>
      </c>
      <c r="AE442" s="34">
        <v>-84.078114999999997</v>
      </c>
      <c r="AF442" s="18">
        <v>40683.069444444445</v>
      </c>
      <c r="AG442" s="19">
        <v>40682.902777777781</v>
      </c>
      <c r="AH442" t="s">
        <v>161</v>
      </c>
      <c r="AL442" t="s">
        <v>335</v>
      </c>
      <c r="AM442" s="20">
        <v>40680</v>
      </c>
      <c r="AR442" s="39" t="s">
        <v>400</v>
      </c>
      <c r="AS442" s="39"/>
      <c r="AT442" s="39">
        <v>200</v>
      </c>
      <c r="AZ442" t="s">
        <v>108</v>
      </c>
      <c r="BC442" t="s">
        <v>336</v>
      </c>
    </row>
    <row r="443" spans="1:71" x14ac:dyDescent="0.25">
      <c r="A443" t="str">
        <f t="shared" si="6"/>
        <v>A69-1601-1208</v>
      </c>
      <c r="B443" t="s">
        <v>398</v>
      </c>
      <c r="C443" t="s">
        <v>324</v>
      </c>
      <c r="D443" t="s">
        <v>345</v>
      </c>
      <c r="F443">
        <v>1208</v>
      </c>
      <c r="G443" t="s">
        <v>346</v>
      </c>
      <c r="H443" t="s">
        <v>327</v>
      </c>
      <c r="I443" s="20">
        <v>40680</v>
      </c>
      <c r="J443">
        <v>101</v>
      </c>
      <c r="L443" t="s">
        <v>109</v>
      </c>
      <c r="M443" t="s">
        <v>328</v>
      </c>
      <c r="N443" t="s">
        <v>329</v>
      </c>
      <c r="O443" t="s">
        <v>330</v>
      </c>
      <c r="P443" t="s">
        <v>331</v>
      </c>
      <c r="U443">
        <v>0.56999999999999995</v>
      </c>
      <c r="V443">
        <v>0.27900000000000003</v>
      </c>
      <c r="W443" t="s">
        <v>399</v>
      </c>
      <c r="Y443" t="s">
        <v>332</v>
      </c>
      <c r="AB443" t="s">
        <v>339</v>
      </c>
      <c r="AC443" t="s">
        <v>334</v>
      </c>
      <c r="AD443" s="34">
        <v>46.171861669999998</v>
      </c>
      <c r="AE443" s="34">
        <v>-84.078114999999997</v>
      </c>
      <c r="AF443" s="18">
        <v>40683.069444444445</v>
      </c>
      <c r="AG443" s="19">
        <v>40682.902777777781</v>
      </c>
      <c r="AH443" t="s">
        <v>161</v>
      </c>
      <c r="AL443" t="s">
        <v>335</v>
      </c>
      <c r="AM443" s="20">
        <v>40680</v>
      </c>
      <c r="AR443" s="39" t="s">
        <v>400</v>
      </c>
      <c r="AS443" s="39"/>
      <c r="AT443" s="39">
        <v>200</v>
      </c>
      <c r="AZ443" t="s">
        <v>108</v>
      </c>
      <c r="BC443" t="s">
        <v>336</v>
      </c>
    </row>
    <row r="444" spans="1:71" x14ac:dyDescent="0.25">
      <c r="A444" t="str">
        <f t="shared" si="6"/>
        <v>A69-1601-1209</v>
      </c>
      <c r="B444" t="s">
        <v>398</v>
      </c>
      <c r="C444" t="s">
        <v>324</v>
      </c>
      <c r="D444" t="s">
        <v>345</v>
      </c>
      <c r="F444">
        <v>1209</v>
      </c>
      <c r="G444" t="s">
        <v>346</v>
      </c>
      <c r="H444" t="s">
        <v>327</v>
      </c>
      <c r="I444" s="20">
        <v>40680</v>
      </c>
      <c r="J444">
        <v>101</v>
      </c>
      <c r="L444" t="s">
        <v>109</v>
      </c>
      <c r="M444" t="s">
        <v>328</v>
      </c>
      <c r="N444" t="s">
        <v>329</v>
      </c>
      <c r="O444" t="s">
        <v>330</v>
      </c>
      <c r="P444" t="s">
        <v>331</v>
      </c>
      <c r="U444">
        <v>0.5</v>
      </c>
      <c r="V444">
        <v>0.30299999999999999</v>
      </c>
      <c r="W444" t="s">
        <v>399</v>
      </c>
      <c r="Y444" t="s">
        <v>332</v>
      </c>
      <c r="AB444" t="s">
        <v>339</v>
      </c>
      <c r="AC444" t="s">
        <v>334</v>
      </c>
      <c r="AD444" s="34">
        <v>46.171861669999998</v>
      </c>
      <c r="AE444" s="34">
        <v>-84.078114999999997</v>
      </c>
      <c r="AF444" s="18">
        <v>40683.069444444445</v>
      </c>
      <c r="AG444" s="19">
        <v>40682.902777777781</v>
      </c>
      <c r="AH444" t="s">
        <v>161</v>
      </c>
      <c r="AL444" t="s">
        <v>335</v>
      </c>
      <c r="AM444" s="20">
        <v>40680</v>
      </c>
      <c r="AR444" s="39" t="s">
        <v>400</v>
      </c>
      <c r="AS444" s="39"/>
      <c r="AT444" s="39">
        <v>200</v>
      </c>
      <c r="AZ444" t="s">
        <v>108</v>
      </c>
      <c r="BC444" t="s">
        <v>336</v>
      </c>
    </row>
    <row r="445" spans="1:71" x14ac:dyDescent="0.25">
      <c r="A445" t="str">
        <f t="shared" si="6"/>
        <v>A69-1601-1210</v>
      </c>
      <c r="B445" t="s">
        <v>398</v>
      </c>
      <c r="C445" t="s">
        <v>324</v>
      </c>
      <c r="D445" t="s">
        <v>345</v>
      </c>
      <c r="F445">
        <v>1210</v>
      </c>
      <c r="G445" t="s">
        <v>346</v>
      </c>
      <c r="H445" t="s">
        <v>327</v>
      </c>
      <c r="I445" s="20">
        <v>40680</v>
      </c>
      <c r="J445">
        <v>101</v>
      </c>
      <c r="L445" t="s">
        <v>109</v>
      </c>
      <c r="M445" t="s">
        <v>328</v>
      </c>
      <c r="N445" t="s">
        <v>329</v>
      </c>
      <c r="O445" t="s">
        <v>330</v>
      </c>
      <c r="P445" t="s">
        <v>331</v>
      </c>
      <c r="U445">
        <v>0.48</v>
      </c>
      <c r="V445">
        <v>0.22700000000000001</v>
      </c>
      <c r="W445" t="s">
        <v>399</v>
      </c>
      <c r="Y445" t="s">
        <v>332</v>
      </c>
      <c r="AB445" t="s">
        <v>339</v>
      </c>
      <c r="AC445" t="s">
        <v>334</v>
      </c>
      <c r="AD445" s="34">
        <v>46.171861669999998</v>
      </c>
      <c r="AE445" s="34">
        <v>-84.078114999999997</v>
      </c>
      <c r="AF445" s="18">
        <v>40683.069444444445</v>
      </c>
      <c r="AG445" s="19">
        <v>40682.902777777781</v>
      </c>
      <c r="AH445" t="s">
        <v>161</v>
      </c>
      <c r="AL445" t="s">
        <v>335</v>
      </c>
      <c r="AM445" s="20">
        <v>40680</v>
      </c>
      <c r="AR445" s="39" t="s">
        <v>400</v>
      </c>
      <c r="AS445" s="39"/>
      <c r="AT445" s="39">
        <v>200</v>
      </c>
      <c r="AZ445" t="s">
        <v>108</v>
      </c>
      <c r="BC445" t="s">
        <v>336</v>
      </c>
    </row>
    <row r="446" spans="1:71" x14ac:dyDescent="0.25">
      <c r="A446" t="str">
        <f t="shared" si="6"/>
        <v>A69-1601-1211</v>
      </c>
      <c r="B446" t="s">
        <v>398</v>
      </c>
      <c r="C446" t="s">
        <v>324</v>
      </c>
      <c r="D446" t="s">
        <v>345</v>
      </c>
      <c r="F446">
        <v>1211</v>
      </c>
      <c r="G446" t="s">
        <v>346</v>
      </c>
      <c r="H446" t="s">
        <v>327</v>
      </c>
      <c r="I446" s="20">
        <v>40686</v>
      </c>
      <c r="J446">
        <v>101</v>
      </c>
      <c r="L446" t="s">
        <v>109</v>
      </c>
      <c r="M446" t="s">
        <v>328</v>
      </c>
      <c r="N446" t="s">
        <v>329</v>
      </c>
      <c r="O446" t="s">
        <v>330</v>
      </c>
      <c r="P446" t="s">
        <v>331</v>
      </c>
      <c r="U446">
        <v>0.47</v>
      </c>
      <c r="V446">
        <v>0.27</v>
      </c>
      <c r="W446" t="s">
        <v>399</v>
      </c>
      <c r="Y446" t="s">
        <v>332</v>
      </c>
      <c r="AB446" t="s">
        <v>344</v>
      </c>
      <c r="AC446" t="s">
        <v>342</v>
      </c>
      <c r="AD446" s="34">
        <v>46.307445000000001</v>
      </c>
      <c r="AE446" s="34">
        <v>-84.307389999999998</v>
      </c>
      <c r="AF446" s="18">
        <v>40688.935416666667</v>
      </c>
      <c r="AG446" s="19">
        <v>40688.768750000003</v>
      </c>
      <c r="AH446" t="s">
        <v>161</v>
      </c>
      <c r="AL446" t="s">
        <v>335</v>
      </c>
      <c r="AM446" s="20">
        <v>40686</v>
      </c>
      <c r="AR446" s="39" t="s">
        <v>400</v>
      </c>
      <c r="AS446" s="39"/>
      <c r="AT446" s="39">
        <v>200</v>
      </c>
      <c r="AZ446" t="s">
        <v>108</v>
      </c>
      <c r="BC446" t="s">
        <v>336</v>
      </c>
    </row>
    <row r="447" spans="1:71" x14ac:dyDescent="0.25">
      <c r="A447" t="str">
        <f t="shared" si="6"/>
        <v>A69-1601-1212</v>
      </c>
      <c r="B447" t="s">
        <v>398</v>
      </c>
      <c r="C447" t="s">
        <v>324</v>
      </c>
      <c r="D447" t="s">
        <v>345</v>
      </c>
      <c r="F447">
        <v>1212</v>
      </c>
      <c r="G447" t="s">
        <v>346</v>
      </c>
      <c r="H447" t="s">
        <v>327</v>
      </c>
      <c r="I447" s="20">
        <v>40686</v>
      </c>
      <c r="J447">
        <v>101</v>
      </c>
      <c r="L447" t="s">
        <v>109</v>
      </c>
      <c r="M447" t="s">
        <v>328</v>
      </c>
      <c r="N447" t="s">
        <v>329</v>
      </c>
      <c r="O447" t="s">
        <v>330</v>
      </c>
      <c r="P447" t="s">
        <v>331</v>
      </c>
      <c r="U447">
        <v>0.54</v>
      </c>
      <c r="V447">
        <v>0.32</v>
      </c>
      <c r="W447" t="s">
        <v>399</v>
      </c>
      <c r="Y447" t="s">
        <v>332</v>
      </c>
      <c r="AB447" t="s">
        <v>344</v>
      </c>
      <c r="AC447" t="s">
        <v>342</v>
      </c>
      <c r="AD447" s="34">
        <v>46.307445000000001</v>
      </c>
      <c r="AE447" s="34">
        <v>-84.307389999999998</v>
      </c>
      <c r="AF447" s="18">
        <v>40688.935416666667</v>
      </c>
      <c r="AG447" s="19">
        <v>40688.768750000003</v>
      </c>
      <c r="AH447" t="s">
        <v>161</v>
      </c>
      <c r="AL447" t="s">
        <v>335</v>
      </c>
      <c r="AM447" s="20">
        <v>40686</v>
      </c>
      <c r="AR447" s="39" t="s">
        <v>400</v>
      </c>
      <c r="AS447" s="39"/>
      <c r="AT447" s="39">
        <v>200</v>
      </c>
      <c r="AZ447" t="s">
        <v>108</v>
      </c>
      <c r="BC447" t="s">
        <v>336</v>
      </c>
    </row>
    <row r="448" spans="1:71" x14ac:dyDescent="0.25">
      <c r="A448" t="str">
        <f t="shared" si="6"/>
        <v>A69-1601-1213</v>
      </c>
      <c r="B448" t="s">
        <v>398</v>
      </c>
      <c r="C448" t="s">
        <v>324</v>
      </c>
      <c r="D448" t="s">
        <v>345</v>
      </c>
      <c r="F448">
        <v>1213</v>
      </c>
      <c r="G448" t="s">
        <v>346</v>
      </c>
      <c r="H448" t="s">
        <v>327</v>
      </c>
      <c r="I448" s="20">
        <v>40686</v>
      </c>
      <c r="J448">
        <v>101</v>
      </c>
      <c r="L448" t="s">
        <v>109</v>
      </c>
      <c r="M448" t="s">
        <v>328</v>
      </c>
      <c r="N448" t="s">
        <v>329</v>
      </c>
      <c r="O448" t="s">
        <v>330</v>
      </c>
      <c r="P448" t="s">
        <v>331</v>
      </c>
      <c r="U448">
        <v>0.49</v>
      </c>
      <c r="V448">
        <v>0.23100000000000001</v>
      </c>
      <c r="W448" t="s">
        <v>399</v>
      </c>
      <c r="Y448" t="s">
        <v>332</v>
      </c>
      <c r="AB448" t="s">
        <v>344</v>
      </c>
      <c r="AC448" t="s">
        <v>342</v>
      </c>
      <c r="AD448" s="34">
        <v>46.307445000000001</v>
      </c>
      <c r="AE448" s="34">
        <v>-84.307389999999998</v>
      </c>
      <c r="AF448" s="18">
        <v>40688.935416666667</v>
      </c>
      <c r="AG448" s="19">
        <v>40688.768750000003</v>
      </c>
      <c r="AH448" t="s">
        <v>161</v>
      </c>
      <c r="AL448" t="s">
        <v>335</v>
      </c>
      <c r="AM448" s="20">
        <v>40686</v>
      </c>
      <c r="AR448" s="39" t="s">
        <v>400</v>
      </c>
      <c r="AS448" s="39"/>
      <c r="AT448" s="39">
        <v>200</v>
      </c>
      <c r="AZ448" t="s">
        <v>108</v>
      </c>
      <c r="BC448" t="s">
        <v>336</v>
      </c>
    </row>
    <row r="449" spans="1:55" x14ac:dyDescent="0.25">
      <c r="A449" t="str">
        <f t="shared" si="6"/>
        <v>A69-1601-1214</v>
      </c>
      <c r="B449" t="s">
        <v>398</v>
      </c>
      <c r="C449" t="s">
        <v>324</v>
      </c>
      <c r="D449" t="s">
        <v>345</v>
      </c>
      <c r="F449">
        <v>1214</v>
      </c>
      <c r="G449" t="s">
        <v>346</v>
      </c>
      <c r="H449" t="s">
        <v>327</v>
      </c>
      <c r="I449" s="20">
        <v>40686</v>
      </c>
      <c r="J449">
        <v>101</v>
      </c>
      <c r="L449" t="s">
        <v>109</v>
      </c>
      <c r="M449" t="s">
        <v>328</v>
      </c>
      <c r="N449" t="s">
        <v>329</v>
      </c>
      <c r="O449" t="s">
        <v>330</v>
      </c>
      <c r="P449" t="s">
        <v>331</v>
      </c>
      <c r="U449">
        <v>0.51</v>
      </c>
      <c r="V449">
        <v>0.25600000000000001</v>
      </c>
      <c r="W449" t="s">
        <v>399</v>
      </c>
      <c r="Y449" t="s">
        <v>332</v>
      </c>
      <c r="AB449" t="s">
        <v>344</v>
      </c>
      <c r="AC449" t="s">
        <v>342</v>
      </c>
      <c r="AD449" s="34">
        <v>46.307445000000001</v>
      </c>
      <c r="AE449" s="34">
        <v>-84.307389999999998</v>
      </c>
      <c r="AF449" s="18">
        <v>40688.935416666667</v>
      </c>
      <c r="AG449" s="19">
        <v>40688.768750000003</v>
      </c>
      <c r="AH449" t="s">
        <v>161</v>
      </c>
      <c r="AL449" t="s">
        <v>335</v>
      </c>
      <c r="AM449" s="20">
        <v>40686</v>
      </c>
      <c r="AR449" s="39" t="s">
        <v>400</v>
      </c>
      <c r="AS449" s="39"/>
      <c r="AT449" s="39">
        <v>200</v>
      </c>
      <c r="AZ449" t="s">
        <v>108</v>
      </c>
      <c r="BC449" t="s">
        <v>336</v>
      </c>
    </row>
    <row r="450" spans="1:55" x14ac:dyDescent="0.25">
      <c r="A450" t="str">
        <f t="shared" si="6"/>
        <v>A69-1601-1215</v>
      </c>
      <c r="B450" t="s">
        <v>398</v>
      </c>
      <c r="C450" t="s">
        <v>324</v>
      </c>
      <c r="D450" t="s">
        <v>345</v>
      </c>
      <c r="F450">
        <v>1215</v>
      </c>
      <c r="G450" t="s">
        <v>346</v>
      </c>
      <c r="H450" t="s">
        <v>327</v>
      </c>
      <c r="I450" s="20">
        <v>40686</v>
      </c>
      <c r="J450">
        <v>101</v>
      </c>
      <c r="L450" t="s">
        <v>109</v>
      </c>
      <c r="M450" t="s">
        <v>328</v>
      </c>
      <c r="N450" t="s">
        <v>329</v>
      </c>
      <c r="O450" t="s">
        <v>330</v>
      </c>
      <c r="P450" t="s">
        <v>331</v>
      </c>
      <c r="U450">
        <v>0.5</v>
      </c>
      <c r="V450">
        <v>0.24099999999999999</v>
      </c>
      <c r="W450" t="s">
        <v>399</v>
      </c>
      <c r="Y450" t="s">
        <v>332</v>
      </c>
      <c r="AB450" t="s">
        <v>344</v>
      </c>
      <c r="AC450" t="s">
        <v>342</v>
      </c>
      <c r="AD450" s="34">
        <v>46.307445000000001</v>
      </c>
      <c r="AE450" s="34">
        <v>-84.307389999999998</v>
      </c>
      <c r="AF450" s="18">
        <v>40688.935416666667</v>
      </c>
      <c r="AG450" s="19">
        <v>40688.768750000003</v>
      </c>
      <c r="AH450" t="s">
        <v>161</v>
      </c>
      <c r="AL450" t="s">
        <v>335</v>
      </c>
      <c r="AM450" s="20">
        <v>40686</v>
      </c>
      <c r="AR450" s="39" t="s">
        <v>400</v>
      </c>
      <c r="AS450" s="39"/>
      <c r="AT450" s="39">
        <v>200</v>
      </c>
      <c r="AZ450" t="s">
        <v>108</v>
      </c>
      <c r="BC450" t="s">
        <v>336</v>
      </c>
    </row>
    <row r="451" spans="1:55" x14ac:dyDescent="0.25">
      <c r="A451" t="str">
        <f t="shared" si="6"/>
        <v>A69-1601-1216</v>
      </c>
      <c r="B451" t="s">
        <v>398</v>
      </c>
      <c r="C451" t="s">
        <v>324</v>
      </c>
      <c r="D451" t="s">
        <v>345</v>
      </c>
      <c r="F451">
        <v>1216</v>
      </c>
      <c r="G451" t="s">
        <v>346</v>
      </c>
      <c r="H451" t="s">
        <v>327</v>
      </c>
      <c r="I451" s="20">
        <v>40686</v>
      </c>
      <c r="J451">
        <v>101</v>
      </c>
      <c r="L451" t="s">
        <v>109</v>
      </c>
      <c r="M451" t="s">
        <v>328</v>
      </c>
      <c r="N451" t="s">
        <v>329</v>
      </c>
      <c r="O451" t="s">
        <v>330</v>
      </c>
      <c r="P451" t="s">
        <v>331</v>
      </c>
      <c r="U451">
        <v>0.53</v>
      </c>
      <c r="V451">
        <v>0.29399999999999998</v>
      </c>
      <c r="W451" t="s">
        <v>399</v>
      </c>
      <c r="Y451" t="s">
        <v>332</v>
      </c>
      <c r="AB451" t="s">
        <v>344</v>
      </c>
      <c r="AC451" t="s">
        <v>342</v>
      </c>
      <c r="AD451" s="34">
        <v>46.307445000000001</v>
      </c>
      <c r="AE451" s="34">
        <v>-84.307389999999998</v>
      </c>
      <c r="AF451" s="18">
        <v>40688.935416666667</v>
      </c>
      <c r="AG451" s="19">
        <v>40688.768750000003</v>
      </c>
      <c r="AH451" t="s">
        <v>161</v>
      </c>
      <c r="AL451" t="s">
        <v>335</v>
      </c>
      <c r="AM451" s="20">
        <v>40686</v>
      </c>
      <c r="AR451" s="39" t="s">
        <v>400</v>
      </c>
      <c r="AS451" s="39"/>
      <c r="AT451" s="39">
        <v>200</v>
      </c>
      <c r="AZ451" t="s">
        <v>108</v>
      </c>
      <c r="BC451" t="s">
        <v>336</v>
      </c>
    </row>
    <row r="452" spans="1:55" x14ac:dyDescent="0.25">
      <c r="A452" t="str">
        <f t="shared" ref="A452:A515" si="7">CONCATENATE(G452,"-",F452)</f>
        <v>A69-1601-1217</v>
      </c>
      <c r="B452" t="s">
        <v>398</v>
      </c>
      <c r="C452" t="s">
        <v>324</v>
      </c>
      <c r="D452" t="s">
        <v>345</v>
      </c>
      <c r="F452">
        <v>1217</v>
      </c>
      <c r="G452" t="s">
        <v>346</v>
      </c>
      <c r="H452" t="s">
        <v>327</v>
      </c>
      <c r="I452" s="20">
        <v>40686</v>
      </c>
      <c r="J452">
        <v>101</v>
      </c>
      <c r="L452" t="s">
        <v>109</v>
      </c>
      <c r="M452" t="s">
        <v>328</v>
      </c>
      <c r="N452" t="s">
        <v>329</v>
      </c>
      <c r="O452" t="s">
        <v>330</v>
      </c>
      <c r="P452" t="s">
        <v>331</v>
      </c>
      <c r="U452">
        <v>0.56999999999999995</v>
      </c>
      <c r="V452">
        <v>0.318</v>
      </c>
      <c r="W452" t="s">
        <v>399</v>
      </c>
      <c r="Y452" t="s">
        <v>332</v>
      </c>
      <c r="AB452" t="s">
        <v>340</v>
      </c>
      <c r="AC452" t="s">
        <v>334</v>
      </c>
      <c r="AD452" s="34">
        <v>46.171861669999998</v>
      </c>
      <c r="AE452" s="34">
        <v>-84.078114999999997</v>
      </c>
      <c r="AF452" s="18">
        <v>40688.90902777778</v>
      </c>
      <c r="AG452" s="19">
        <v>40688.742361111108</v>
      </c>
      <c r="AH452" t="s">
        <v>161</v>
      </c>
      <c r="AL452" t="s">
        <v>335</v>
      </c>
      <c r="AM452" s="20">
        <v>40686</v>
      </c>
      <c r="AR452" s="39" t="s">
        <v>400</v>
      </c>
      <c r="AS452" s="39"/>
      <c r="AT452" s="39">
        <v>200</v>
      </c>
      <c r="AZ452" t="s">
        <v>108</v>
      </c>
      <c r="BC452" t="s">
        <v>336</v>
      </c>
    </row>
    <row r="453" spans="1:55" x14ac:dyDescent="0.25">
      <c r="A453" t="str">
        <f t="shared" si="7"/>
        <v>A69-1601-1218</v>
      </c>
      <c r="B453" t="s">
        <v>398</v>
      </c>
      <c r="C453" t="s">
        <v>324</v>
      </c>
      <c r="D453" t="s">
        <v>345</v>
      </c>
      <c r="F453">
        <v>1218</v>
      </c>
      <c r="G453" t="s">
        <v>346</v>
      </c>
      <c r="H453" t="s">
        <v>327</v>
      </c>
      <c r="I453" s="20">
        <v>40686</v>
      </c>
      <c r="J453">
        <v>101</v>
      </c>
      <c r="L453" t="s">
        <v>109</v>
      </c>
      <c r="M453" t="s">
        <v>328</v>
      </c>
      <c r="N453" t="s">
        <v>329</v>
      </c>
      <c r="O453" t="s">
        <v>330</v>
      </c>
      <c r="P453" t="s">
        <v>331</v>
      </c>
      <c r="U453">
        <v>0.47</v>
      </c>
      <c r="V453">
        <v>0.18</v>
      </c>
      <c r="W453" t="s">
        <v>399</v>
      </c>
      <c r="Y453" t="s">
        <v>332</v>
      </c>
      <c r="AB453" t="s">
        <v>340</v>
      </c>
      <c r="AC453" t="s">
        <v>334</v>
      </c>
      <c r="AD453" s="34">
        <v>46.171861669999998</v>
      </c>
      <c r="AE453" s="34">
        <v>-84.078114999999997</v>
      </c>
      <c r="AF453" s="18">
        <v>40688.90902777778</v>
      </c>
      <c r="AG453" s="19">
        <v>40688.742361111108</v>
      </c>
      <c r="AH453" t="s">
        <v>161</v>
      </c>
      <c r="AL453" t="s">
        <v>335</v>
      </c>
      <c r="AM453" s="20">
        <v>40686</v>
      </c>
      <c r="AR453" s="39" t="s">
        <v>400</v>
      </c>
      <c r="AS453" s="39"/>
      <c r="AT453" s="39">
        <v>200</v>
      </c>
      <c r="AZ453" t="s">
        <v>108</v>
      </c>
      <c r="BC453" t="s">
        <v>336</v>
      </c>
    </row>
    <row r="454" spans="1:55" x14ac:dyDescent="0.25">
      <c r="A454" t="str">
        <f t="shared" si="7"/>
        <v>A69-1601-1219</v>
      </c>
      <c r="B454" t="s">
        <v>398</v>
      </c>
      <c r="C454" t="s">
        <v>324</v>
      </c>
      <c r="D454" t="s">
        <v>345</v>
      </c>
      <c r="F454">
        <v>1219</v>
      </c>
      <c r="G454" t="s">
        <v>346</v>
      </c>
      <c r="H454" t="s">
        <v>327</v>
      </c>
      <c r="I454" s="20">
        <v>40686</v>
      </c>
      <c r="J454">
        <v>101</v>
      </c>
      <c r="L454" t="s">
        <v>109</v>
      </c>
      <c r="M454" t="s">
        <v>328</v>
      </c>
      <c r="N454" t="s">
        <v>329</v>
      </c>
      <c r="O454" t="s">
        <v>330</v>
      </c>
      <c r="P454" t="s">
        <v>331</v>
      </c>
      <c r="U454">
        <v>0.54</v>
      </c>
      <c r="V454">
        <v>0.36099999999999999</v>
      </c>
      <c r="W454" t="s">
        <v>399</v>
      </c>
      <c r="Y454" t="s">
        <v>332</v>
      </c>
      <c r="AB454" t="s">
        <v>340</v>
      </c>
      <c r="AC454" t="s">
        <v>334</v>
      </c>
      <c r="AD454" s="34">
        <v>46.171861669999998</v>
      </c>
      <c r="AE454" s="34">
        <v>-84.078114999999997</v>
      </c>
      <c r="AF454" s="18">
        <v>40688.90902777778</v>
      </c>
      <c r="AG454" s="19">
        <v>40688.742361111108</v>
      </c>
      <c r="AH454" t="s">
        <v>161</v>
      </c>
      <c r="AL454" t="s">
        <v>335</v>
      </c>
      <c r="AM454" s="20">
        <v>40686</v>
      </c>
      <c r="AR454" s="39" t="s">
        <v>400</v>
      </c>
      <c r="AS454" s="39"/>
      <c r="AT454" s="39">
        <v>200</v>
      </c>
      <c r="AZ454" t="s">
        <v>108</v>
      </c>
      <c r="BC454" t="s">
        <v>336</v>
      </c>
    </row>
    <row r="455" spans="1:55" x14ac:dyDescent="0.25">
      <c r="A455" t="str">
        <f t="shared" si="7"/>
        <v>A69-1601-1220</v>
      </c>
      <c r="B455" t="s">
        <v>398</v>
      </c>
      <c r="C455" t="s">
        <v>324</v>
      </c>
      <c r="D455" t="s">
        <v>345</v>
      </c>
      <c r="F455">
        <v>1220</v>
      </c>
      <c r="G455" t="s">
        <v>346</v>
      </c>
      <c r="H455" t="s">
        <v>327</v>
      </c>
      <c r="I455" s="20">
        <v>40686</v>
      </c>
      <c r="J455">
        <v>101</v>
      </c>
      <c r="L455" t="s">
        <v>109</v>
      </c>
      <c r="M455" t="s">
        <v>328</v>
      </c>
      <c r="N455" t="s">
        <v>329</v>
      </c>
      <c r="O455" t="s">
        <v>330</v>
      </c>
      <c r="P455" t="s">
        <v>331</v>
      </c>
      <c r="U455">
        <v>0.49</v>
      </c>
      <c r="V455">
        <v>0.28399999999999997</v>
      </c>
      <c r="W455" t="s">
        <v>399</v>
      </c>
      <c r="Y455" t="s">
        <v>332</v>
      </c>
      <c r="AB455" t="s">
        <v>340</v>
      </c>
      <c r="AC455" t="s">
        <v>334</v>
      </c>
      <c r="AD455" s="34">
        <v>46.171861669999998</v>
      </c>
      <c r="AE455" s="34">
        <v>-84.078114999999997</v>
      </c>
      <c r="AF455" s="18">
        <v>40688.90902777778</v>
      </c>
      <c r="AG455" s="19">
        <v>40688.742361111108</v>
      </c>
      <c r="AH455" t="s">
        <v>161</v>
      </c>
      <c r="AL455" t="s">
        <v>335</v>
      </c>
      <c r="AM455" s="20">
        <v>40686</v>
      </c>
      <c r="AR455" s="39" t="s">
        <v>400</v>
      </c>
      <c r="AS455" s="39"/>
      <c r="AT455" s="39">
        <v>200</v>
      </c>
      <c r="AZ455" t="s">
        <v>108</v>
      </c>
      <c r="BC455" t="s">
        <v>336</v>
      </c>
    </row>
    <row r="456" spans="1:55" x14ac:dyDescent="0.25">
      <c r="A456" t="str">
        <f t="shared" si="7"/>
        <v>A69-1601-1221</v>
      </c>
      <c r="B456" t="s">
        <v>398</v>
      </c>
      <c r="C456" t="s">
        <v>324</v>
      </c>
      <c r="D456" t="s">
        <v>345</v>
      </c>
      <c r="F456">
        <v>1221</v>
      </c>
      <c r="G456" t="s">
        <v>346</v>
      </c>
      <c r="H456" t="s">
        <v>327</v>
      </c>
      <c r="I456" s="20">
        <v>40686</v>
      </c>
      <c r="J456">
        <v>101</v>
      </c>
      <c r="L456" t="s">
        <v>109</v>
      </c>
      <c r="M456" t="s">
        <v>328</v>
      </c>
      <c r="N456" t="s">
        <v>329</v>
      </c>
      <c r="O456" t="s">
        <v>330</v>
      </c>
      <c r="P456" t="s">
        <v>331</v>
      </c>
      <c r="U456">
        <v>0.48</v>
      </c>
      <c r="V456">
        <v>0.24299999999999999</v>
      </c>
      <c r="W456" t="s">
        <v>399</v>
      </c>
      <c r="Y456" t="s">
        <v>332</v>
      </c>
      <c r="AB456" t="s">
        <v>340</v>
      </c>
      <c r="AC456" t="s">
        <v>334</v>
      </c>
      <c r="AD456" s="34">
        <v>46.171861669999998</v>
      </c>
      <c r="AE456" s="34">
        <v>-84.078114999999997</v>
      </c>
      <c r="AF456" s="18">
        <v>40688.90902777778</v>
      </c>
      <c r="AG456" s="19">
        <v>40688.742361111108</v>
      </c>
      <c r="AH456" t="s">
        <v>161</v>
      </c>
      <c r="AL456" t="s">
        <v>335</v>
      </c>
      <c r="AM456" s="20">
        <v>40686</v>
      </c>
      <c r="AR456" s="39" t="s">
        <v>400</v>
      </c>
      <c r="AS456" s="39"/>
      <c r="AT456" s="39">
        <v>200</v>
      </c>
      <c r="AZ456" t="s">
        <v>108</v>
      </c>
      <c r="BC456" t="s">
        <v>336</v>
      </c>
    </row>
    <row r="457" spans="1:55" x14ac:dyDescent="0.25">
      <c r="A457" t="str">
        <f t="shared" si="7"/>
        <v>A69-1601-1222</v>
      </c>
      <c r="B457" t="s">
        <v>398</v>
      </c>
      <c r="C457" t="s">
        <v>324</v>
      </c>
      <c r="D457" t="s">
        <v>345</v>
      </c>
      <c r="F457">
        <v>1222</v>
      </c>
      <c r="G457" t="s">
        <v>346</v>
      </c>
      <c r="H457" t="s">
        <v>327</v>
      </c>
      <c r="I457" s="20">
        <v>40686</v>
      </c>
      <c r="J457">
        <v>101</v>
      </c>
      <c r="L457" t="s">
        <v>109</v>
      </c>
      <c r="M457" t="s">
        <v>328</v>
      </c>
      <c r="N457" t="s">
        <v>329</v>
      </c>
      <c r="O457" t="s">
        <v>330</v>
      </c>
      <c r="P457" t="s">
        <v>331</v>
      </c>
      <c r="U457">
        <v>0.5</v>
      </c>
      <c r="V457">
        <v>0.28899999999999998</v>
      </c>
      <c r="W457" t="s">
        <v>399</v>
      </c>
      <c r="Y457" t="s">
        <v>332</v>
      </c>
      <c r="AB457" t="s">
        <v>340</v>
      </c>
      <c r="AC457" t="s">
        <v>334</v>
      </c>
      <c r="AD457" s="34">
        <v>46.171861669999998</v>
      </c>
      <c r="AE457" s="34">
        <v>-84.078114999999997</v>
      </c>
      <c r="AF457" s="18">
        <v>40688.90902777778</v>
      </c>
      <c r="AG457" s="19">
        <v>40688.742361111108</v>
      </c>
      <c r="AH457" t="s">
        <v>161</v>
      </c>
      <c r="AL457" t="s">
        <v>335</v>
      </c>
      <c r="AM457" s="20">
        <v>40686</v>
      </c>
      <c r="AR457" s="39" t="s">
        <v>400</v>
      </c>
      <c r="AS457" s="39"/>
      <c r="AT457" s="39">
        <v>200</v>
      </c>
      <c r="AZ457" t="s">
        <v>108</v>
      </c>
      <c r="BC457" t="s">
        <v>336</v>
      </c>
    </row>
    <row r="458" spans="1:55" x14ac:dyDescent="0.25">
      <c r="A458" t="str">
        <f t="shared" si="7"/>
        <v>A69-1601-1223</v>
      </c>
      <c r="B458" t="s">
        <v>398</v>
      </c>
      <c r="C458" t="s">
        <v>324</v>
      </c>
      <c r="D458" t="s">
        <v>345</v>
      </c>
      <c r="F458">
        <v>1223</v>
      </c>
      <c r="G458" t="s">
        <v>346</v>
      </c>
      <c r="H458" t="s">
        <v>327</v>
      </c>
      <c r="I458" s="20">
        <v>40686</v>
      </c>
      <c r="J458">
        <v>101</v>
      </c>
      <c r="L458" t="s">
        <v>109</v>
      </c>
      <c r="M458" t="s">
        <v>328</v>
      </c>
      <c r="N458" t="s">
        <v>329</v>
      </c>
      <c r="O458" t="s">
        <v>330</v>
      </c>
      <c r="P458" t="s">
        <v>331</v>
      </c>
      <c r="U458">
        <v>0.52</v>
      </c>
      <c r="V458">
        <v>0.25700000000000001</v>
      </c>
      <c r="W458" t="s">
        <v>399</v>
      </c>
      <c r="Y458" t="s">
        <v>332</v>
      </c>
      <c r="AB458" t="s">
        <v>340</v>
      </c>
      <c r="AC458" t="s">
        <v>334</v>
      </c>
      <c r="AD458" s="34">
        <v>46.171861669999998</v>
      </c>
      <c r="AE458" s="34">
        <v>-84.078114999999997</v>
      </c>
      <c r="AF458" s="18">
        <v>40688.90902777778</v>
      </c>
      <c r="AG458" s="19">
        <v>40688.742361111108</v>
      </c>
      <c r="AH458" t="s">
        <v>161</v>
      </c>
      <c r="AL458" t="s">
        <v>335</v>
      </c>
      <c r="AM458" s="20">
        <v>40686</v>
      </c>
      <c r="AR458" s="39" t="s">
        <v>400</v>
      </c>
      <c r="AS458" s="39"/>
      <c r="AT458" s="39">
        <v>200</v>
      </c>
      <c r="AZ458" t="s">
        <v>108</v>
      </c>
      <c r="BC458" t="s">
        <v>336</v>
      </c>
    </row>
    <row r="459" spans="1:55" x14ac:dyDescent="0.25">
      <c r="A459" t="str">
        <f t="shared" si="7"/>
        <v>A69-1601-1224</v>
      </c>
      <c r="B459" t="s">
        <v>398</v>
      </c>
      <c r="C459" t="s">
        <v>324</v>
      </c>
      <c r="D459" t="s">
        <v>345</v>
      </c>
      <c r="F459">
        <v>1224</v>
      </c>
      <c r="G459" t="s">
        <v>346</v>
      </c>
      <c r="H459" t="s">
        <v>327</v>
      </c>
      <c r="I459" s="20">
        <v>40686</v>
      </c>
      <c r="J459">
        <v>101</v>
      </c>
      <c r="L459" t="s">
        <v>109</v>
      </c>
      <c r="M459" t="s">
        <v>328</v>
      </c>
      <c r="N459" t="s">
        <v>329</v>
      </c>
      <c r="O459" t="s">
        <v>330</v>
      </c>
      <c r="P459" t="s">
        <v>331</v>
      </c>
      <c r="U459">
        <v>0.45</v>
      </c>
      <c r="V459">
        <v>0.18</v>
      </c>
      <c r="W459" t="s">
        <v>399</v>
      </c>
      <c r="Y459" t="s">
        <v>332</v>
      </c>
      <c r="AB459" t="s">
        <v>340</v>
      </c>
      <c r="AC459" t="s">
        <v>334</v>
      </c>
      <c r="AD459" s="34">
        <v>46.171861669999998</v>
      </c>
      <c r="AE459" s="34">
        <v>-84.078114999999997</v>
      </c>
      <c r="AF459" s="18">
        <v>40688.90902777778</v>
      </c>
      <c r="AG459" s="19">
        <v>40688.742361111108</v>
      </c>
      <c r="AH459" t="s">
        <v>161</v>
      </c>
      <c r="AL459" t="s">
        <v>335</v>
      </c>
      <c r="AM459" s="20">
        <v>40686</v>
      </c>
      <c r="AR459" s="39" t="s">
        <v>400</v>
      </c>
      <c r="AS459" s="39"/>
      <c r="AT459" s="39">
        <v>200</v>
      </c>
      <c r="AZ459" t="s">
        <v>108</v>
      </c>
      <c r="BC459" t="s">
        <v>336</v>
      </c>
    </row>
    <row r="460" spans="1:55" x14ac:dyDescent="0.25">
      <c r="A460" t="str">
        <f t="shared" si="7"/>
        <v>A69-1601-1225</v>
      </c>
      <c r="B460" t="s">
        <v>398</v>
      </c>
      <c r="C460" t="s">
        <v>324</v>
      </c>
      <c r="D460" t="s">
        <v>345</v>
      </c>
      <c r="F460">
        <v>1225</v>
      </c>
      <c r="G460" t="s">
        <v>346</v>
      </c>
      <c r="H460" t="s">
        <v>327</v>
      </c>
      <c r="I460" s="20">
        <v>40686</v>
      </c>
      <c r="J460">
        <v>101</v>
      </c>
      <c r="L460" t="s">
        <v>109</v>
      </c>
      <c r="M460" t="s">
        <v>328</v>
      </c>
      <c r="N460" t="s">
        <v>329</v>
      </c>
      <c r="O460" t="s">
        <v>330</v>
      </c>
      <c r="P460" t="s">
        <v>331</v>
      </c>
      <c r="U460">
        <v>0.48</v>
      </c>
      <c r="V460">
        <v>0.25700000000000001</v>
      </c>
      <c r="W460" t="s">
        <v>399</v>
      </c>
      <c r="Y460" t="s">
        <v>332</v>
      </c>
      <c r="AB460" t="s">
        <v>340</v>
      </c>
      <c r="AC460" t="s">
        <v>334</v>
      </c>
      <c r="AD460" s="34">
        <v>46.171861669999998</v>
      </c>
      <c r="AE460" s="34">
        <v>-84.078114999999997</v>
      </c>
      <c r="AF460" s="18">
        <v>40688.90902777778</v>
      </c>
      <c r="AG460" s="19">
        <v>40688.742361111108</v>
      </c>
      <c r="AH460" t="s">
        <v>161</v>
      </c>
      <c r="AL460" t="s">
        <v>335</v>
      </c>
      <c r="AM460" s="20">
        <v>40686</v>
      </c>
      <c r="AR460" s="39" t="s">
        <v>400</v>
      </c>
      <c r="AS460" s="39"/>
      <c r="AT460" s="39">
        <v>200</v>
      </c>
      <c r="AZ460" t="s">
        <v>108</v>
      </c>
      <c r="BC460" t="s">
        <v>336</v>
      </c>
    </row>
    <row r="461" spans="1:55" x14ac:dyDescent="0.25">
      <c r="A461" t="str">
        <f t="shared" si="7"/>
        <v>A69-1601-1226</v>
      </c>
      <c r="B461" t="s">
        <v>398</v>
      </c>
      <c r="C461" t="s">
        <v>324</v>
      </c>
      <c r="D461" t="s">
        <v>345</v>
      </c>
      <c r="F461">
        <v>1226</v>
      </c>
      <c r="G461" t="s">
        <v>346</v>
      </c>
      <c r="H461" t="s">
        <v>327</v>
      </c>
      <c r="I461" s="20">
        <v>40686</v>
      </c>
      <c r="J461">
        <v>101</v>
      </c>
      <c r="L461" t="s">
        <v>109</v>
      </c>
      <c r="M461" t="s">
        <v>328</v>
      </c>
      <c r="N461" t="s">
        <v>329</v>
      </c>
      <c r="O461" t="s">
        <v>330</v>
      </c>
      <c r="P461" t="s">
        <v>331</v>
      </c>
      <c r="U461">
        <v>0.52</v>
      </c>
      <c r="V461">
        <v>0.25600000000000001</v>
      </c>
      <c r="W461" t="s">
        <v>399</v>
      </c>
      <c r="Y461" t="s">
        <v>332</v>
      </c>
      <c r="AB461" t="s">
        <v>340</v>
      </c>
      <c r="AC461" t="s">
        <v>334</v>
      </c>
      <c r="AD461" s="34">
        <v>46.171861669999998</v>
      </c>
      <c r="AE461" s="34">
        <v>-84.078114999999997</v>
      </c>
      <c r="AF461" s="18">
        <v>40688.90902777778</v>
      </c>
      <c r="AG461" s="19">
        <v>40688.742361111108</v>
      </c>
      <c r="AH461" t="s">
        <v>161</v>
      </c>
      <c r="AL461" t="s">
        <v>335</v>
      </c>
      <c r="AM461" s="20">
        <v>40686</v>
      </c>
      <c r="AR461" s="39" t="s">
        <v>400</v>
      </c>
      <c r="AS461" s="39"/>
      <c r="AT461" s="39">
        <v>200</v>
      </c>
      <c r="AZ461" t="s">
        <v>108</v>
      </c>
      <c r="BC461" t="s">
        <v>336</v>
      </c>
    </row>
    <row r="462" spans="1:55" x14ac:dyDescent="0.25">
      <c r="A462" t="str">
        <f t="shared" si="7"/>
        <v>A69-1601-1227</v>
      </c>
      <c r="B462" t="s">
        <v>398</v>
      </c>
      <c r="C462" t="s">
        <v>324</v>
      </c>
      <c r="D462" t="s">
        <v>345</v>
      </c>
      <c r="F462">
        <v>1227</v>
      </c>
      <c r="G462" t="s">
        <v>346</v>
      </c>
      <c r="H462" t="s">
        <v>327</v>
      </c>
      <c r="I462" s="20">
        <v>40686</v>
      </c>
      <c r="J462">
        <v>101</v>
      </c>
      <c r="L462" t="s">
        <v>109</v>
      </c>
      <c r="M462" t="s">
        <v>328</v>
      </c>
      <c r="N462" t="s">
        <v>329</v>
      </c>
      <c r="O462" t="s">
        <v>330</v>
      </c>
      <c r="P462" t="s">
        <v>331</v>
      </c>
      <c r="U462">
        <v>0.5</v>
      </c>
      <c r="V462">
        <v>0.246</v>
      </c>
      <c r="W462" t="s">
        <v>399</v>
      </c>
      <c r="Y462" t="s">
        <v>332</v>
      </c>
      <c r="AB462" t="s">
        <v>340</v>
      </c>
      <c r="AC462" t="s">
        <v>334</v>
      </c>
      <c r="AD462" s="34">
        <v>46.171861669999998</v>
      </c>
      <c r="AE462" s="34">
        <v>-84.078114999999997</v>
      </c>
      <c r="AF462" s="18">
        <v>40688.90902777778</v>
      </c>
      <c r="AG462" s="19">
        <v>40688.742361111108</v>
      </c>
      <c r="AH462" t="s">
        <v>161</v>
      </c>
      <c r="AL462" t="s">
        <v>335</v>
      </c>
      <c r="AM462" s="20">
        <v>40686</v>
      </c>
      <c r="AR462" s="39" t="s">
        <v>400</v>
      </c>
      <c r="AS462" s="39"/>
      <c r="AT462" s="39">
        <v>200</v>
      </c>
      <c r="AZ462" t="s">
        <v>108</v>
      </c>
      <c r="BC462" t="s">
        <v>336</v>
      </c>
    </row>
    <row r="463" spans="1:55" x14ac:dyDescent="0.25">
      <c r="A463" t="str">
        <f t="shared" si="7"/>
        <v>A69-1601-1228</v>
      </c>
      <c r="B463" t="s">
        <v>398</v>
      </c>
      <c r="C463" t="s">
        <v>324</v>
      </c>
      <c r="D463" t="s">
        <v>345</v>
      </c>
      <c r="F463">
        <v>1228</v>
      </c>
      <c r="G463" t="s">
        <v>346</v>
      </c>
      <c r="H463" t="s">
        <v>327</v>
      </c>
      <c r="I463" s="20">
        <v>40686</v>
      </c>
      <c r="J463">
        <v>101</v>
      </c>
      <c r="L463" t="s">
        <v>109</v>
      </c>
      <c r="M463" t="s">
        <v>328</v>
      </c>
      <c r="N463" t="s">
        <v>329</v>
      </c>
      <c r="O463" t="s">
        <v>330</v>
      </c>
      <c r="P463" t="s">
        <v>331</v>
      </c>
      <c r="U463">
        <v>0.47</v>
      </c>
      <c r="V463">
        <v>0.246</v>
      </c>
      <c r="W463" t="s">
        <v>399</v>
      </c>
      <c r="Y463" t="s">
        <v>332</v>
      </c>
      <c r="AB463" t="s">
        <v>340</v>
      </c>
      <c r="AC463" t="s">
        <v>334</v>
      </c>
      <c r="AD463" s="34">
        <v>46.171861669999998</v>
      </c>
      <c r="AE463" s="34">
        <v>-84.078114999999997</v>
      </c>
      <c r="AF463" s="18">
        <v>40688.90902777778</v>
      </c>
      <c r="AG463" s="19">
        <v>40688.742361111108</v>
      </c>
      <c r="AH463" t="s">
        <v>161</v>
      </c>
      <c r="AL463" t="s">
        <v>335</v>
      </c>
      <c r="AM463" s="20">
        <v>40686</v>
      </c>
      <c r="AR463" s="39" t="s">
        <v>400</v>
      </c>
      <c r="AS463" s="39"/>
      <c r="AT463" s="39">
        <v>200</v>
      </c>
      <c r="AZ463" t="s">
        <v>108</v>
      </c>
      <c r="BC463" t="s">
        <v>336</v>
      </c>
    </row>
    <row r="464" spans="1:55" x14ac:dyDescent="0.25">
      <c r="A464" t="str">
        <f t="shared" si="7"/>
        <v>A69-1601-1229</v>
      </c>
      <c r="B464" t="s">
        <v>398</v>
      </c>
      <c r="C464" t="s">
        <v>324</v>
      </c>
      <c r="D464" t="s">
        <v>345</v>
      </c>
      <c r="F464">
        <v>1229</v>
      </c>
      <c r="G464" t="s">
        <v>346</v>
      </c>
      <c r="H464" t="s">
        <v>327</v>
      </c>
      <c r="I464" s="20">
        <v>40686</v>
      </c>
      <c r="J464">
        <v>101</v>
      </c>
      <c r="L464" t="s">
        <v>109</v>
      </c>
      <c r="M464" t="s">
        <v>328</v>
      </c>
      <c r="N464" t="s">
        <v>329</v>
      </c>
      <c r="O464" t="s">
        <v>330</v>
      </c>
      <c r="P464" t="s">
        <v>331</v>
      </c>
      <c r="U464">
        <v>0.53</v>
      </c>
      <c r="V464">
        <v>0.33100000000000002</v>
      </c>
      <c r="W464" t="s">
        <v>399</v>
      </c>
      <c r="Y464" t="s">
        <v>332</v>
      </c>
      <c r="AB464" t="s">
        <v>340</v>
      </c>
      <c r="AC464" t="s">
        <v>334</v>
      </c>
      <c r="AD464" s="34">
        <v>46.171861669999998</v>
      </c>
      <c r="AE464" s="34">
        <v>-84.078114999999997</v>
      </c>
      <c r="AF464" s="18">
        <v>40688.90902777778</v>
      </c>
      <c r="AG464" s="19">
        <v>40688.742361111108</v>
      </c>
      <c r="AH464" t="s">
        <v>161</v>
      </c>
      <c r="AL464" t="s">
        <v>335</v>
      </c>
      <c r="AM464" s="20">
        <v>40686</v>
      </c>
      <c r="AR464" s="39" t="s">
        <v>400</v>
      </c>
      <c r="AS464" s="39"/>
      <c r="AT464" s="39">
        <v>200</v>
      </c>
      <c r="AZ464" t="s">
        <v>108</v>
      </c>
      <c r="BC464" t="s">
        <v>336</v>
      </c>
    </row>
    <row r="465" spans="1:71" x14ac:dyDescent="0.25">
      <c r="A465" t="str">
        <f t="shared" si="7"/>
        <v>A69-1601-1230</v>
      </c>
      <c r="B465" t="s">
        <v>398</v>
      </c>
      <c r="C465" t="s">
        <v>324</v>
      </c>
      <c r="D465" t="s">
        <v>345</v>
      </c>
      <c r="F465">
        <v>1230</v>
      </c>
      <c r="G465" t="s">
        <v>346</v>
      </c>
      <c r="H465" t="s">
        <v>327</v>
      </c>
      <c r="I465" s="20">
        <v>40686</v>
      </c>
      <c r="J465">
        <v>101</v>
      </c>
      <c r="L465" t="s">
        <v>109</v>
      </c>
      <c r="M465" t="s">
        <v>328</v>
      </c>
      <c r="N465" t="s">
        <v>329</v>
      </c>
      <c r="O465" t="s">
        <v>330</v>
      </c>
      <c r="P465" t="s">
        <v>331</v>
      </c>
      <c r="U465">
        <v>0.52</v>
      </c>
      <c r="V465">
        <v>0.308</v>
      </c>
      <c r="W465" t="s">
        <v>399</v>
      </c>
      <c r="Y465" t="s">
        <v>332</v>
      </c>
      <c r="AB465" t="s">
        <v>340</v>
      </c>
      <c r="AC465" t="s">
        <v>334</v>
      </c>
      <c r="AD465" s="34">
        <v>46.171861669999998</v>
      </c>
      <c r="AE465" s="34">
        <v>-84.078114999999997</v>
      </c>
      <c r="AF465" s="18">
        <v>40688.90902777778</v>
      </c>
      <c r="AG465" s="19">
        <v>40688.742361111108</v>
      </c>
      <c r="AH465" t="s">
        <v>161</v>
      </c>
      <c r="AL465" t="s">
        <v>335</v>
      </c>
      <c r="AM465" s="20">
        <v>40686</v>
      </c>
      <c r="AR465" s="39" t="s">
        <v>400</v>
      </c>
      <c r="AS465" s="39"/>
      <c r="AT465" s="39">
        <v>200</v>
      </c>
      <c r="AZ465" t="s">
        <v>108</v>
      </c>
      <c r="BC465" t="s">
        <v>336</v>
      </c>
    </row>
    <row r="466" spans="1:71" x14ac:dyDescent="0.25">
      <c r="A466" t="str">
        <f t="shared" si="7"/>
        <v>A69-1601-1231</v>
      </c>
      <c r="B466" t="s">
        <v>398</v>
      </c>
      <c r="C466" t="s">
        <v>324</v>
      </c>
      <c r="D466" t="s">
        <v>345</v>
      </c>
      <c r="F466">
        <v>1231</v>
      </c>
      <c r="G466" t="s">
        <v>346</v>
      </c>
      <c r="H466" t="s">
        <v>327</v>
      </c>
      <c r="I466" s="20">
        <v>40686</v>
      </c>
      <c r="J466">
        <v>101</v>
      </c>
      <c r="L466" t="s">
        <v>109</v>
      </c>
      <c r="M466" t="s">
        <v>328</v>
      </c>
      <c r="N466" t="s">
        <v>329</v>
      </c>
      <c r="O466" t="s">
        <v>330</v>
      </c>
      <c r="P466" t="s">
        <v>331</v>
      </c>
      <c r="U466">
        <v>0.48</v>
      </c>
      <c r="V466">
        <v>0.30099999999999999</v>
      </c>
      <c r="W466" t="s">
        <v>399</v>
      </c>
      <c r="Y466" t="s">
        <v>332</v>
      </c>
      <c r="AB466" t="s">
        <v>340</v>
      </c>
      <c r="AC466" t="s">
        <v>334</v>
      </c>
      <c r="AD466" s="34">
        <v>46.171861669999998</v>
      </c>
      <c r="AE466" s="34">
        <v>-84.078114999999997</v>
      </c>
      <c r="AF466" s="18">
        <v>40688.90902777778</v>
      </c>
      <c r="AG466" s="19">
        <v>40688.742361111108</v>
      </c>
      <c r="AH466" t="s">
        <v>161</v>
      </c>
      <c r="AL466" t="s">
        <v>335</v>
      </c>
      <c r="AM466" s="20">
        <v>40686</v>
      </c>
      <c r="AR466" s="39" t="s">
        <v>400</v>
      </c>
      <c r="AS466" s="39"/>
      <c r="AT466" s="39">
        <v>200</v>
      </c>
      <c r="AZ466" t="s">
        <v>108</v>
      </c>
      <c r="BC466" t="s">
        <v>336</v>
      </c>
    </row>
    <row r="467" spans="1:71" x14ac:dyDescent="0.25">
      <c r="A467" t="str">
        <f t="shared" si="7"/>
        <v>A69-1601-1232</v>
      </c>
      <c r="B467" t="s">
        <v>398</v>
      </c>
      <c r="C467" t="s">
        <v>324</v>
      </c>
      <c r="D467" t="s">
        <v>345</v>
      </c>
      <c r="F467">
        <v>1232</v>
      </c>
      <c r="G467" t="s">
        <v>346</v>
      </c>
      <c r="H467" t="s">
        <v>327</v>
      </c>
      <c r="I467" s="20">
        <v>40686</v>
      </c>
      <c r="J467">
        <v>101</v>
      </c>
      <c r="L467" t="s">
        <v>109</v>
      </c>
      <c r="M467" t="s">
        <v>328</v>
      </c>
      <c r="N467" t="s">
        <v>329</v>
      </c>
      <c r="O467" t="s">
        <v>330</v>
      </c>
      <c r="P467" t="s">
        <v>331</v>
      </c>
      <c r="U467">
        <v>0.48</v>
      </c>
      <c r="V467">
        <v>0.22600000000000001</v>
      </c>
      <c r="W467" t="s">
        <v>399</v>
      </c>
      <c r="Y467" t="s">
        <v>332</v>
      </c>
      <c r="AB467" t="s">
        <v>340</v>
      </c>
      <c r="AC467" t="s">
        <v>334</v>
      </c>
      <c r="AD467" s="34">
        <v>46.171861669999998</v>
      </c>
      <c r="AE467" s="34">
        <v>-84.078114999999997</v>
      </c>
      <c r="AF467" s="18">
        <v>40688.90902777778</v>
      </c>
      <c r="AG467" s="19">
        <v>40688.742361111108</v>
      </c>
      <c r="AH467" t="s">
        <v>161</v>
      </c>
      <c r="AL467" t="s">
        <v>335</v>
      </c>
      <c r="AM467" s="20">
        <v>40686</v>
      </c>
      <c r="AR467" s="39" t="s">
        <v>400</v>
      </c>
      <c r="AS467" s="39"/>
      <c r="AT467" s="39">
        <v>200</v>
      </c>
      <c r="AZ467" t="s">
        <v>108</v>
      </c>
      <c r="BC467" t="s">
        <v>336</v>
      </c>
    </row>
    <row r="468" spans="1:71" x14ac:dyDescent="0.25">
      <c r="A468" t="str">
        <f t="shared" si="7"/>
        <v>A69-1601-1233</v>
      </c>
      <c r="B468" t="s">
        <v>398</v>
      </c>
      <c r="C468" t="s">
        <v>324</v>
      </c>
      <c r="D468" t="s">
        <v>345</v>
      </c>
      <c r="F468">
        <v>1233</v>
      </c>
      <c r="G468" t="s">
        <v>346</v>
      </c>
      <c r="H468" t="s">
        <v>327</v>
      </c>
      <c r="I468" s="20">
        <v>40686</v>
      </c>
      <c r="J468">
        <v>101</v>
      </c>
      <c r="L468" t="s">
        <v>109</v>
      </c>
      <c r="M468" t="s">
        <v>328</v>
      </c>
      <c r="N468" t="s">
        <v>329</v>
      </c>
      <c r="O468" t="s">
        <v>330</v>
      </c>
      <c r="P468" t="s">
        <v>331</v>
      </c>
      <c r="U468">
        <v>0.52</v>
      </c>
      <c r="V468">
        <v>0.27500000000000002</v>
      </c>
      <c r="W468" t="s">
        <v>399</v>
      </c>
      <c r="Y468" t="s">
        <v>332</v>
      </c>
      <c r="AB468" t="s">
        <v>340</v>
      </c>
      <c r="AC468" t="s">
        <v>334</v>
      </c>
      <c r="AD468" s="34">
        <v>46.171861669999998</v>
      </c>
      <c r="AE468" s="34">
        <v>-84.078114999999997</v>
      </c>
      <c r="AF468" s="18">
        <v>40688.90902777778</v>
      </c>
      <c r="AG468" s="19">
        <v>40688.742361111108</v>
      </c>
      <c r="AH468" t="s">
        <v>161</v>
      </c>
      <c r="AL468" t="s">
        <v>335</v>
      </c>
      <c r="AM468" s="20">
        <v>40686</v>
      </c>
      <c r="AR468" s="39" t="s">
        <v>400</v>
      </c>
      <c r="AS468" s="39"/>
      <c r="AT468" s="39">
        <v>200</v>
      </c>
      <c r="AZ468" t="s">
        <v>108</v>
      </c>
      <c r="BC468" t="s">
        <v>336</v>
      </c>
    </row>
    <row r="469" spans="1:71" x14ac:dyDescent="0.25">
      <c r="A469" t="str">
        <f t="shared" si="7"/>
        <v>A69-1601-1234</v>
      </c>
      <c r="B469" t="s">
        <v>398</v>
      </c>
      <c r="C469" t="s">
        <v>324</v>
      </c>
      <c r="D469" t="s">
        <v>345</v>
      </c>
      <c r="F469">
        <v>1234</v>
      </c>
      <c r="G469" t="s">
        <v>346</v>
      </c>
      <c r="H469" t="s">
        <v>327</v>
      </c>
      <c r="I469" s="20">
        <v>40686</v>
      </c>
      <c r="J469">
        <v>101</v>
      </c>
      <c r="L469" t="s">
        <v>109</v>
      </c>
      <c r="M469" t="s">
        <v>328</v>
      </c>
      <c r="N469" t="s">
        <v>329</v>
      </c>
      <c r="O469" t="s">
        <v>330</v>
      </c>
      <c r="P469" t="s">
        <v>331</v>
      </c>
      <c r="U469">
        <v>0.48</v>
      </c>
      <c r="V469">
        <v>0.218</v>
      </c>
      <c r="W469" t="s">
        <v>399</v>
      </c>
      <c r="Y469" t="s">
        <v>332</v>
      </c>
      <c r="AB469" t="s">
        <v>340</v>
      </c>
      <c r="AC469" t="s">
        <v>334</v>
      </c>
      <c r="AD469" s="34">
        <v>46.171861669999998</v>
      </c>
      <c r="AE469" s="34">
        <v>-84.078114999999997</v>
      </c>
      <c r="AF469" s="18">
        <v>40688.90902777778</v>
      </c>
      <c r="AG469" s="19">
        <v>40688.742361111108</v>
      </c>
      <c r="AH469" t="s">
        <v>161</v>
      </c>
      <c r="AL469" t="s">
        <v>335</v>
      </c>
      <c r="AM469" s="20">
        <v>40686</v>
      </c>
      <c r="AR469" s="39" t="s">
        <v>400</v>
      </c>
      <c r="AS469" s="39"/>
      <c r="AT469" s="39">
        <v>200</v>
      </c>
      <c r="AZ469" t="s">
        <v>108</v>
      </c>
      <c r="BC469" t="s">
        <v>336</v>
      </c>
    </row>
    <row r="470" spans="1:71" x14ac:dyDescent="0.25">
      <c r="A470" t="str">
        <f t="shared" si="7"/>
        <v>A69-1601-1235</v>
      </c>
      <c r="B470" t="s">
        <v>398</v>
      </c>
      <c r="C470" t="s">
        <v>324</v>
      </c>
      <c r="D470" t="s">
        <v>345</v>
      </c>
      <c r="F470">
        <v>1235</v>
      </c>
      <c r="G470" t="s">
        <v>346</v>
      </c>
      <c r="H470" t="s">
        <v>327</v>
      </c>
      <c r="I470" s="20">
        <v>40686</v>
      </c>
      <c r="J470">
        <v>101</v>
      </c>
      <c r="L470" t="s">
        <v>109</v>
      </c>
      <c r="M470" t="s">
        <v>328</v>
      </c>
      <c r="N470" t="s">
        <v>329</v>
      </c>
      <c r="O470" t="s">
        <v>330</v>
      </c>
      <c r="P470" t="s">
        <v>331</v>
      </c>
      <c r="U470">
        <v>0.53</v>
      </c>
      <c r="V470">
        <v>0.29799999999999999</v>
      </c>
      <c r="W470" t="s">
        <v>399</v>
      </c>
      <c r="Y470" t="s">
        <v>332</v>
      </c>
      <c r="AB470" t="s">
        <v>340</v>
      </c>
      <c r="AC470" t="s">
        <v>334</v>
      </c>
      <c r="AD470" s="34">
        <v>46.171861669999998</v>
      </c>
      <c r="AE470" s="34">
        <v>-84.078114999999997</v>
      </c>
      <c r="AF470" s="18">
        <v>40688.90902777778</v>
      </c>
      <c r="AG470" s="19">
        <v>40688.742361111108</v>
      </c>
      <c r="AH470" t="s">
        <v>161</v>
      </c>
      <c r="AL470" t="s">
        <v>335</v>
      </c>
      <c r="AM470" s="20">
        <v>40686</v>
      </c>
      <c r="AR470" s="39" t="s">
        <v>400</v>
      </c>
      <c r="AS470" s="39"/>
      <c r="AT470" s="39">
        <v>200</v>
      </c>
      <c r="AZ470" t="s">
        <v>108</v>
      </c>
      <c r="BC470" t="s">
        <v>163</v>
      </c>
      <c r="BD470" s="20">
        <v>40712</v>
      </c>
      <c r="BF470" s="21" t="s">
        <v>406</v>
      </c>
      <c r="BG470" s="38" t="s">
        <v>113</v>
      </c>
      <c r="BH470" s="1" t="s">
        <v>425</v>
      </c>
      <c r="BI470" s="39">
        <v>46.504829000000001</v>
      </c>
      <c r="BJ470" s="39">
        <v>-84.354651000000004</v>
      </c>
      <c r="BK470" s="1" t="s">
        <v>405</v>
      </c>
      <c r="BL470" s="1" t="s">
        <v>163</v>
      </c>
      <c r="BM470" s="1" t="s">
        <v>163</v>
      </c>
      <c r="BN470" s="1" t="s">
        <v>410</v>
      </c>
      <c r="BO470" s="39">
        <v>1908</v>
      </c>
      <c r="BP470" s="39">
        <v>1909</v>
      </c>
      <c r="BQ470" s="39" t="s">
        <v>332</v>
      </c>
      <c r="BR470" s="39">
        <v>510</v>
      </c>
      <c r="BS470" s="39">
        <v>279</v>
      </c>
    </row>
    <row r="471" spans="1:71" x14ac:dyDescent="0.25">
      <c r="A471" t="str">
        <f t="shared" si="7"/>
        <v>A69-1601-1236</v>
      </c>
      <c r="B471" t="s">
        <v>398</v>
      </c>
      <c r="C471" t="s">
        <v>324</v>
      </c>
      <c r="D471" t="s">
        <v>345</v>
      </c>
      <c r="F471">
        <v>1236</v>
      </c>
      <c r="G471" t="s">
        <v>346</v>
      </c>
      <c r="H471" t="s">
        <v>327</v>
      </c>
      <c r="I471" s="20">
        <v>40686</v>
      </c>
      <c r="J471">
        <v>101</v>
      </c>
      <c r="L471" t="s">
        <v>109</v>
      </c>
      <c r="M471" t="s">
        <v>328</v>
      </c>
      <c r="N471" t="s">
        <v>329</v>
      </c>
      <c r="O471" t="s">
        <v>330</v>
      </c>
      <c r="P471" t="s">
        <v>331</v>
      </c>
      <c r="U471">
        <v>0.56000000000000005</v>
      </c>
      <c r="V471">
        <v>0.32100000000000001</v>
      </c>
      <c r="W471" t="s">
        <v>399</v>
      </c>
      <c r="Y471" t="s">
        <v>332</v>
      </c>
      <c r="AB471" t="s">
        <v>340</v>
      </c>
      <c r="AC471" t="s">
        <v>334</v>
      </c>
      <c r="AD471" s="34">
        <v>46.171861669999998</v>
      </c>
      <c r="AE471" s="34">
        <v>-84.078114999999997</v>
      </c>
      <c r="AF471" s="18">
        <v>40688.90902777778</v>
      </c>
      <c r="AG471" s="19">
        <v>40688.742361111108</v>
      </c>
      <c r="AH471" t="s">
        <v>161</v>
      </c>
      <c r="AL471" t="s">
        <v>335</v>
      </c>
      <c r="AM471" s="20">
        <v>40686</v>
      </c>
      <c r="AR471" s="39" t="s">
        <v>400</v>
      </c>
      <c r="AS471" s="39"/>
      <c r="AT471" s="39">
        <v>200</v>
      </c>
      <c r="AZ471" t="s">
        <v>108</v>
      </c>
      <c r="BC471" t="s">
        <v>336</v>
      </c>
    </row>
    <row r="472" spans="1:71" x14ac:dyDescent="0.25">
      <c r="A472" t="str">
        <f t="shared" si="7"/>
        <v>A69-1601-1237</v>
      </c>
      <c r="B472" t="s">
        <v>398</v>
      </c>
      <c r="C472" t="s">
        <v>324</v>
      </c>
      <c r="D472" t="s">
        <v>345</v>
      </c>
      <c r="F472">
        <v>1237</v>
      </c>
      <c r="G472" t="s">
        <v>346</v>
      </c>
      <c r="H472" t="s">
        <v>327</v>
      </c>
      <c r="I472" s="20">
        <v>40686</v>
      </c>
      <c r="J472">
        <v>101</v>
      </c>
      <c r="L472" t="s">
        <v>109</v>
      </c>
      <c r="M472" t="s">
        <v>328</v>
      </c>
      <c r="N472" t="s">
        <v>329</v>
      </c>
      <c r="O472" t="s">
        <v>330</v>
      </c>
      <c r="P472" t="s">
        <v>331</v>
      </c>
      <c r="U472">
        <v>0.48</v>
      </c>
      <c r="V472">
        <v>0.20599999999999999</v>
      </c>
      <c r="W472" t="s">
        <v>399</v>
      </c>
      <c r="Y472" t="s">
        <v>332</v>
      </c>
      <c r="AB472" t="s">
        <v>340</v>
      </c>
      <c r="AC472" t="s">
        <v>334</v>
      </c>
      <c r="AD472" s="34">
        <v>46.171861669999998</v>
      </c>
      <c r="AE472" s="34">
        <v>-84.078114999999997</v>
      </c>
      <c r="AF472" s="18">
        <v>40688.90902777778</v>
      </c>
      <c r="AG472" s="19">
        <v>40688.742361111108</v>
      </c>
      <c r="AH472" t="s">
        <v>161</v>
      </c>
      <c r="AL472" t="s">
        <v>335</v>
      </c>
      <c r="AM472" s="20">
        <v>40686</v>
      </c>
      <c r="AR472" s="39" t="s">
        <v>400</v>
      </c>
      <c r="AS472" s="39"/>
      <c r="AT472" s="39">
        <v>200</v>
      </c>
      <c r="AZ472" t="s">
        <v>108</v>
      </c>
      <c r="BC472" t="s">
        <v>336</v>
      </c>
    </row>
    <row r="473" spans="1:71" x14ac:dyDescent="0.25">
      <c r="A473" t="str">
        <f t="shared" si="7"/>
        <v>A69-1601-1238</v>
      </c>
      <c r="B473" t="s">
        <v>398</v>
      </c>
      <c r="C473" t="s">
        <v>324</v>
      </c>
      <c r="D473" t="s">
        <v>345</v>
      </c>
      <c r="F473">
        <v>1238</v>
      </c>
      <c r="G473" t="s">
        <v>346</v>
      </c>
      <c r="H473" t="s">
        <v>327</v>
      </c>
      <c r="I473" s="20">
        <v>40686</v>
      </c>
      <c r="J473">
        <v>101</v>
      </c>
      <c r="L473" t="s">
        <v>109</v>
      </c>
      <c r="M473" t="s">
        <v>328</v>
      </c>
      <c r="N473" t="s">
        <v>329</v>
      </c>
      <c r="O473" t="s">
        <v>330</v>
      </c>
      <c r="P473" t="s">
        <v>331</v>
      </c>
      <c r="U473">
        <v>0.49</v>
      </c>
      <c r="V473">
        <v>0.25600000000000001</v>
      </c>
      <c r="W473" t="s">
        <v>399</v>
      </c>
      <c r="Y473" t="s">
        <v>332</v>
      </c>
      <c r="AB473" t="s">
        <v>340</v>
      </c>
      <c r="AC473" t="s">
        <v>334</v>
      </c>
      <c r="AD473" s="34">
        <v>46.171861669999998</v>
      </c>
      <c r="AE473" s="34">
        <v>-84.078114999999997</v>
      </c>
      <c r="AF473" s="18">
        <v>40688.90902777778</v>
      </c>
      <c r="AG473" s="19">
        <v>40688.742361111108</v>
      </c>
      <c r="AH473" t="s">
        <v>161</v>
      </c>
      <c r="AL473" t="s">
        <v>335</v>
      </c>
      <c r="AM473" s="20">
        <v>40686</v>
      </c>
      <c r="AR473" s="39" t="s">
        <v>400</v>
      </c>
      <c r="AS473" s="39"/>
      <c r="AT473" s="39">
        <v>200</v>
      </c>
      <c r="AZ473" t="s">
        <v>108</v>
      </c>
      <c r="BC473" t="s">
        <v>336</v>
      </c>
    </row>
    <row r="474" spans="1:71" x14ac:dyDescent="0.25">
      <c r="A474" t="str">
        <f t="shared" si="7"/>
        <v>A69-1601-1239</v>
      </c>
      <c r="B474" t="s">
        <v>398</v>
      </c>
      <c r="C474" t="s">
        <v>324</v>
      </c>
      <c r="D474" t="s">
        <v>345</v>
      </c>
      <c r="F474">
        <v>1239</v>
      </c>
      <c r="G474" t="s">
        <v>346</v>
      </c>
      <c r="H474" t="s">
        <v>327</v>
      </c>
      <c r="I474" s="20">
        <v>40686</v>
      </c>
      <c r="J474">
        <v>101</v>
      </c>
      <c r="L474" t="s">
        <v>109</v>
      </c>
      <c r="M474" t="s">
        <v>328</v>
      </c>
      <c r="N474" t="s">
        <v>329</v>
      </c>
      <c r="O474" t="s">
        <v>330</v>
      </c>
      <c r="P474" t="s">
        <v>331</v>
      </c>
      <c r="U474">
        <v>0.52</v>
      </c>
      <c r="V474">
        <v>0.27700000000000002</v>
      </c>
      <c r="W474" t="s">
        <v>399</v>
      </c>
      <c r="Y474" t="s">
        <v>332</v>
      </c>
      <c r="AB474" t="s">
        <v>340</v>
      </c>
      <c r="AC474" t="s">
        <v>334</v>
      </c>
      <c r="AD474" s="34">
        <v>46.171861669999998</v>
      </c>
      <c r="AE474" s="34">
        <v>-84.078114999999997</v>
      </c>
      <c r="AF474" s="18">
        <v>40688.90902777778</v>
      </c>
      <c r="AG474" s="19">
        <v>40688.742361111108</v>
      </c>
      <c r="AH474" t="s">
        <v>161</v>
      </c>
      <c r="AL474" t="s">
        <v>335</v>
      </c>
      <c r="AM474" s="20">
        <v>40686</v>
      </c>
      <c r="AR474" s="39" t="s">
        <v>400</v>
      </c>
      <c r="AS474" s="39"/>
      <c r="AT474" s="39">
        <v>200</v>
      </c>
      <c r="AZ474" t="s">
        <v>108</v>
      </c>
      <c r="BC474" t="s">
        <v>163</v>
      </c>
      <c r="BD474" s="20">
        <v>40735</v>
      </c>
      <c r="BF474" s="21" t="s">
        <v>406</v>
      </c>
      <c r="BG474" s="38" t="s">
        <v>113</v>
      </c>
      <c r="BH474" s="1" t="s">
        <v>408</v>
      </c>
      <c r="BI474" s="1">
        <v>46.514783999999999</v>
      </c>
      <c r="BJ474" s="1">
        <v>-84.346945000000005</v>
      </c>
      <c r="BK474" s="1" t="s">
        <v>404</v>
      </c>
      <c r="BL474" s="1" t="s">
        <v>163</v>
      </c>
      <c r="BM474" s="1" t="s">
        <v>163</v>
      </c>
      <c r="BN474" s="1" t="s">
        <v>410</v>
      </c>
      <c r="BO474" s="39">
        <v>1933</v>
      </c>
      <c r="BP474" s="39">
        <v>1934</v>
      </c>
      <c r="BQ474" s="39" t="s">
        <v>332</v>
      </c>
      <c r="BR474" s="39">
        <v>510</v>
      </c>
      <c r="BS474" s="39">
        <v>244</v>
      </c>
    </row>
    <row r="475" spans="1:71" x14ac:dyDescent="0.25">
      <c r="A475" t="str">
        <f t="shared" si="7"/>
        <v>A69-1601-1240</v>
      </c>
      <c r="B475" t="s">
        <v>398</v>
      </c>
      <c r="C475" t="s">
        <v>324</v>
      </c>
      <c r="D475" t="s">
        <v>345</v>
      </c>
      <c r="F475">
        <v>1240</v>
      </c>
      <c r="G475" t="s">
        <v>346</v>
      </c>
      <c r="H475" t="s">
        <v>327</v>
      </c>
      <c r="I475" s="20">
        <v>40686</v>
      </c>
      <c r="J475">
        <v>101</v>
      </c>
      <c r="L475" t="s">
        <v>109</v>
      </c>
      <c r="M475" t="s">
        <v>328</v>
      </c>
      <c r="N475" t="s">
        <v>329</v>
      </c>
      <c r="O475" t="s">
        <v>330</v>
      </c>
      <c r="P475" t="s">
        <v>331</v>
      </c>
      <c r="U475">
        <v>0.56999999999999995</v>
      </c>
      <c r="V475">
        <v>0.24</v>
      </c>
      <c r="W475" t="s">
        <v>399</v>
      </c>
      <c r="Y475" t="s">
        <v>332</v>
      </c>
      <c r="AB475" t="s">
        <v>340</v>
      </c>
      <c r="AC475" t="s">
        <v>334</v>
      </c>
      <c r="AD475" s="34">
        <v>46.171861669999998</v>
      </c>
      <c r="AE475" s="34">
        <v>-84.078114999999997</v>
      </c>
      <c r="AF475" s="18">
        <v>40688.90902777778</v>
      </c>
      <c r="AG475" s="19">
        <v>40688.742361111108</v>
      </c>
      <c r="AH475" t="s">
        <v>161</v>
      </c>
      <c r="AL475" t="s">
        <v>335</v>
      </c>
      <c r="AM475" s="20">
        <v>40686</v>
      </c>
      <c r="AR475" s="39" t="s">
        <v>400</v>
      </c>
      <c r="AS475" s="39"/>
      <c r="AT475" s="39">
        <v>200</v>
      </c>
      <c r="AZ475" t="s">
        <v>108</v>
      </c>
      <c r="BC475" t="s">
        <v>336</v>
      </c>
    </row>
    <row r="476" spans="1:71" x14ac:dyDescent="0.25">
      <c r="A476" t="str">
        <f t="shared" si="7"/>
        <v>A69-1601-1241</v>
      </c>
      <c r="B476" t="s">
        <v>398</v>
      </c>
      <c r="C476" t="s">
        <v>324</v>
      </c>
      <c r="D476" t="s">
        <v>345</v>
      </c>
      <c r="F476">
        <v>1241</v>
      </c>
      <c r="G476" t="s">
        <v>346</v>
      </c>
      <c r="H476" t="s">
        <v>327</v>
      </c>
      <c r="I476" s="20">
        <v>40686</v>
      </c>
      <c r="J476">
        <v>101</v>
      </c>
      <c r="L476" t="s">
        <v>109</v>
      </c>
      <c r="M476" t="s">
        <v>328</v>
      </c>
      <c r="N476" t="s">
        <v>329</v>
      </c>
      <c r="O476" t="s">
        <v>330</v>
      </c>
      <c r="P476" t="s">
        <v>331</v>
      </c>
      <c r="U476">
        <v>0.52</v>
      </c>
      <c r="V476">
        <v>0.28100000000000003</v>
      </c>
      <c r="W476" t="s">
        <v>399</v>
      </c>
      <c r="Y476" t="s">
        <v>332</v>
      </c>
      <c r="AB476" t="s">
        <v>340</v>
      </c>
      <c r="AC476" t="s">
        <v>334</v>
      </c>
      <c r="AD476" s="34">
        <v>46.171861669999998</v>
      </c>
      <c r="AE476" s="34">
        <v>-84.078114999999997</v>
      </c>
      <c r="AF476" s="18">
        <v>40688.90902777778</v>
      </c>
      <c r="AG476" s="19">
        <v>40688.742361111108</v>
      </c>
      <c r="AH476" t="s">
        <v>161</v>
      </c>
      <c r="AL476" t="s">
        <v>335</v>
      </c>
      <c r="AM476" s="20">
        <v>40686</v>
      </c>
      <c r="AR476" s="39" t="s">
        <v>400</v>
      </c>
      <c r="AS476" s="39"/>
      <c r="AT476" s="39">
        <v>200</v>
      </c>
      <c r="AZ476" t="s">
        <v>108</v>
      </c>
      <c r="BC476" t="s">
        <v>336</v>
      </c>
    </row>
    <row r="477" spans="1:71" x14ac:dyDescent="0.25">
      <c r="A477" t="str">
        <f t="shared" si="7"/>
        <v>A69-1601-1242</v>
      </c>
      <c r="B477" t="s">
        <v>398</v>
      </c>
      <c r="C477" t="s">
        <v>324</v>
      </c>
      <c r="D477" t="s">
        <v>345</v>
      </c>
      <c r="F477">
        <v>1242</v>
      </c>
      <c r="G477" t="s">
        <v>346</v>
      </c>
      <c r="H477" t="s">
        <v>327</v>
      </c>
      <c r="I477" s="20">
        <v>40686</v>
      </c>
      <c r="J477">
        <v>101</v>
      </c>
      <c r="L477" t="s">
        <v>109</v>
      </c>
      <c r="M477" t="s">
        <v>328</v>
      </c>
      <c r="N477" t="s">
        <v>329</v>
      </c>
      <c r="O477" t="s">
        <v>330</v>
      </c>
      <c r="P477" t="s">
        <v>331</v>
      </c>
      <c r="U477">
        <v>0.53</v>
      </c>
      <c r="V477">
        <v>0.29799999999999999</v>
      </c>
      <c r="W477" t="s">
        <v>399</v>
      </c>
      <c r="Y477" t="s">
        <v>337</v>
      </c>
      <c r="AB477" t="s">
        <v>340</v>
      </c>
      <c r="AC477" t="s">
        <v>334</v>
      </c>
      <c r="AD477" s="34">
        <v>46.171861669999998</v>
      </c>
      <c r="AE477" s="34">
        <v>-84.078114999999997</v>
      </c>
      <c r="AF477" s="18">
        <v>40688.90902777778</v>
      </c>
      <c r="AG477" s="19">
        <v>40688.742361111108</v>
      </c>
      <c r="AH477" t="s">
        <v>161</v>
      </c>
      <c r="AL477" t="s">
        <v>335</v>
      </c>
      <c r="AM477" s="20">
        <v>40686</v>
      </c>
      <c r="AR477" s="39" t="s">
        <v>400</v>
      </c>
      <c r="AS477" s="39"/>
      <c r="AT477" s="39">
        <v>200</v>
      </c>
      <c r="AZ477" t="s">
        <v>108</v>
      </c>
      <c r="BC477" t="s">
        <v>336</v>
      </c>
    </row>
    <row r="478" spans="1:71" x14ac:dyDescent="0.25">
      <c r="A478" t="str">
        <f t="shared" si="7"/>
        <v>A69-1601-1243</v>
      </c>
      <c r="B478" t="s">
        <v>398</v>
      </c>
      <c r="C478" t="s">
        <v>324</v>
      </c>
      <c r="D478" t="s">
        <v>345</v>
      </c>
      <c r="F478">
        <v>1243</v>
      </c>
      <c r="G478" t="s">
        <v>346</v>
      </c>
      <c r="H478" t="s">
        <v>327</v>
      </c>
      <c r="I478" s="20">
        <v>40686</v>
      </c>
      <c r="J478">
        <v>101</v>
      </c>
      <c r="L478" t="s">
        <v>109</v>
      </c>
      <c r="M478" t="s">
        <v>328</v>
      </c>
      <c r="N478" t="s">
        <v>329</v>
      </c>
      <c r="O478" t="s">
        <v>330</v>
      </c>
      <c r="P478" t="s">
        <v>331</v>
      </c>
      <c r="U478">
        <v>0.49</v>
      </c>
      <c r="V478">
        <v>0.26400000000000001</v>
      </c>
      <c r="W478" t="s">
        <v>399</v>
      </c>
      <c r="Y478" t="s">
        <v>337</v>
      </c>
      <c r="AB478" t="s">
        <v>340</v>
      </c>
      <c r="AC478" t="s">
        <v>334</v>
      </c>
      <c r="AD478" s="34">
        <v>46.171861669999998</v>
      </c>
      <c r="AE478" s="34">
        <v>-84.078114999999997</v>
      </c>
      <c r="AF478" s="18">
        <v>40688.90902777778</v>
      </c>
      <c r="AG478" s="19">
        <v>40688.742361111108</v>
      </c>
      <c r="AH478" t="s">
        <v>161</v>
      </c>
      <c r="AL478" t="s">
        <v>335</v>
      </c>
      <c r="AM478" s="20">
        <v>40686</v>
      </c>
      <c r="AR478" s="39" t="s">
        <v>400</v>
      </c>
      <c r="AS478" s="39"/>
      <c r="AT478" s="39">
        <v>200</v>
      </c>
      <c r="AZ478" t="s">
        <v>108</v>
      </c>
      <c r="BC478" t="s">
        <v>336</v>
      </c>
    </row>
    <row r="479" spans="1:71" x14ac:dyDescent="0.25">
      <c r="A479" t="str">
        <f t="shared" si="7"/>
        <v>A69-1601-1244</v>
      </c>
      <c r="B479" t="s">
        <v>398</v>
      </c>
      <c r="C479" t="s">
        <v>324</v>
      </c>
      <c r="D479" t="s">
        <v>345</v>
      </c>
      <c r="F479">
        <v>1244</v>
      </c>
      <c r="G479" t="s">
        <v>346</v>
      </c>
      <c r="H479" t="s">
        <v>327</v>
      </c>
      <c r="I479" s="20">
        <v>40686</v>
      </c>
      <c r="J479">
        <v>101</v>
      </c>
      <c r="L479" t="s">
        <v>109</v>
      </c>
      <c r="M479" t="s">
        <v>328</v>
      </c>
      <c r="N479" t="s">
        <v>329</v>
      </c>
      <c r="O479" t="s">
        <v>330</v>
      </c>
      <c r="P479" t="s">
        <v>331</v>
      </c>
      <c r="U479">
        <v>0.48</v>
      </c>
      <c r="V479">
        <v>0.19900000000000001</v>
      </c>
      <c r="W479" t="s">
        <v>399</v>
      </c>
      <c r="Y479" t="s">
        <v>337</v>
      </c>
      <c r="AB479" t="s">
        <v>340</v>
      </c>
      <c r="AC479" t="s">
        <v>334</v>
      </c>
      <c r="AD479" s="34">
        <v>46.171861669999998</v>
      </c>
      <c r="AE479" s="34">
        <v>-84.078114999999997</v>
      </c>
      <c r="AF479" s="18">
        <v>40688.90902777778</v>
      </c>
      <c r="AG479" s="19">
        <v>40688.742361111108</v>
      </c>
      <c r="AH479" t="s">
        <v>161</v>
      </c>
      <c r="AL479" t="s">
        <v>335</v>
      </c>
      <c r="AM479" s="20">
        <v>40686</v>
      </c>
      <c r="AR479" s="39" t="s">
        <v>400</v>
      </c>
      <c r="AS479" s="39"/>
      <c r="AT479" s="39">
        <v>200</v>
      </c>
      <c r="AZ479" t="s">
        <v>108</v>
      </c>
      <c r="BC479" t="s">
        <v>336</v>
      </c>
    </row>
    <row r="480" spans="1:71" x14ac:dyDescent="0.25">
      <c r="A480" t="str">
        <f t="shared" si="7"/>
        <v>A69-1601-1245</v>
      </c>
      <c r="B480" t="s">
        <v>398</v>
      </c>
      <c r="C480" t="s">
        <v>324</v>
      </c>
      <c r="D480" t="s">
        <v>345</v>
      </c>
      <c r="F480">
        <v>1245</v>
      </c>
      <c r="G480" t="s">
        <v>346</v>
      </c>
      <c r="H480" t="s">
        <v>327</v>
      </c>
      <c r="I480" s="20">
        <v>40686</v>
      </c>
      <c r="J480">
        <v>101</v>
      </c>
      <c r="L480" t="s">
        <v>109</v>
      </c>
      <c r="M480" t="s">
        <v>328</v>
      </c>
      <c r="N480" t="s">
        <v>329</v>
      </c>
      <c r="O480" t="s">
        <v>330</v>
      </c>
      <c r="P480" t="s">
        <v>331</v>
      </c>
      <c r="U480">
        <v>0.56999999999999995</v>
      </c>
      <c r="V480">
        <v>0.32900000000000001</v>
      </c>
      <c r="W480" t="s">
        <v>399</v>
      </c>
      <c r="Y480" t="s">
        <v>337</v>
      </c>
      <c r="AB480" t="s">
        <v>340</v>
      </c>
      <c r="AC480" t="s">
        <v>334</v>
      </c>
      <c r="AD480" s="34">
        <v>46.171861669999998</v>
      </c>
      <c r="AE480" s="34">
        <v>-84.078114999999997</v>
      </c>
      <c r="AF480" s="18">
        <v>40688.90902777778</v>
      </c>
      <c r="AG480" s="19">
        <v>40688.742361111108</v>
      </c>
      <c r="AH480" t="s">
        <v>161</v>
      </c>
      <c r="AL480" t="s">
        <v>335</v>
      </c>
      <c r="AM480" s="20">
        <v>40686</v>
      </c>
      <c r="AR480" s="39" t="s">
        <v>400</v>
      </c>
      <c r="AS480" s="39"/>
      <c r="AT480" s="39">
        <v>200</v>
      </c>
      <c r="AZ480" t="s">
        <v>108</v>
      </c>
      <c r="BC480" t="s">
        <v>336</v>
      </c>
    </row>
    <row r="481" spans="1:73" x14ac:dyDescent="0.25">
      <c r="A481" t="str">
        <f t="shared" si="7"/>
        <v>A69-1601-1246</v>
      </c>
      <c r="B481" t="s">
        <v>398</v>
      </c>
      <c r="C481" t="s">
        <v>324</v>
      </c>
      <c r="D481" t="s">
        <v>345</v>
      </c>
      <c r="F481">
        <v>1246</v>
      </c>
      <c r="G481" t="s">
        <v>346</v>
      </c>
      <c r="H481" t="s">
        <v>327</v>
      </c>
      <c r="I481" s="20">
        <v>40686</v>
      </c>
      <c r="J481">
        <v>101</v>
      </c>
      <c r="L481" t="s">
        <v>109</v>
      </c>
      <c r="M481" t="s">
        <v>328</v>
      </c>
      <c r="N481" t="s">
        <v>329</v>
      </c>
      <c r="O481" t="s">
        <v>330</v>
      </c>
      <c r="P481" t="s">
        <v>331</v>
      </c>
      <c r="U481">
        <v>0.53</v>
      </c>
      <c r="V481">
        <v>0.27900000000000003</v>
      </c>
      <c r="W481" t="s">
        <v>399</v>
      </c>
      <c r="Y481" t="s">
        <v>337</v>
      </c>
      <c r="AB481" t="s">
        <v>340</v>
      </c>
      <c r="AC481" t="s">
        <v>334</v>
      </c>
      <c r="AD481" s="34">
        <v>46.171861669999998</v>
      </c>
      <c r="AE481" s="34">
        <v>-84.078114999999997</v>
      </c>
      <c r="AF481" s="18">
        <v>40688.90902777778</v>
      </c>
      <c r="AG481" s="19">
        <v>40688.742361111108</v>
      </c>
      <c r="AH481" t="s">
        <v>161</v>
      </c>
      <c r="AL481" t="s">
        <v>335</v>
      </c>
      <c r="AM481" s="20">
        <v>40686</v>
      </c>
      <c r="AR481" s="39" t="s">
        <v>400</v>
      </c>
      <c r="AS481" s="39"/>
      <c r="AT481" s="39">
        <v>200</v>
      </c>
      <c r="AZ481" t="s">
        <v>108</v>
      </c>
      <c r="BC481" t="s">
        <v>336</v>
      </c>
    </row>
    <row r="482" spans="1:73" x14ac:dyDescent="0.25">
      <c r="A482" t="str">
        <f t="shared" si="7"/>
        <v>A69-1601-1247</v>
      </c>
      <c r="B482" t="s">
        <v>398</v>
      </c>
      <c r="C482" t="s">
        <v>324</v>
      </c>
      <c r="D482" t="s">
        <v>345</v>
      </c>
      <c r="F482">
        <v>1247</v>
      </c>
      <c r="G482" t="s">
        <v>346</v>
      </c>
      <c r="H482" t="s">
        <v>327</v>
      </c>
      <c r="I482" s="20">
        <v>40686</v>
      </c>
      <c r="J482">
        <v>101</v>
      </c>
      <c r="L482" t="s">
        <v>109</v>
      </c>
      <c r="M482" t="s">
        <v>328</v>
      </c>
      <c r="N482" t="s">
        <v>329</v>
      </c>
      <c r="O482" t="s">
        <v>330</v>
      </c>
      <c r="P482" t="s">
        <v>331</v>
      </c>
      <c r="U482">
        <v>0.49</v>
      </c>
      <c r="V482">
        <v>0.27800000000000002</v>
      </c>
      <c r="W482" t="s">
        <v>399</v>
      </c>
      <c r="Y482" t="s">
        <v>337</v>
      </c>
      <c r="AB482" t="s">
        <v>340</v>
      </c>
      <c r="AC482" t="s">
        <v>334</v>
      </c>
      <c r="AD482" s="34">
        <v>46.171861669999998</v>
      </c>
      <c r="AE482" s="34">
        <v>-84.078114999999997</v>
      </c>
      <c r="AF482" s="18">
        <v>40688.90902777778</v>
      </c>
      <c r="AG482" s="19">
        <v>40688.742361111108</v>
      </c>
      <c r="AH482" t="s">
        <v>161</v>
      </c>
      <c r="AL482" t="s">
        <v>335</v>
      </c>
      <c r="AM482" s="20">
        <v>40686</v>
      </c>
      <c r="AR482" s="39" t="s">
        <v>400</v>
      </c>
      <c r="AS482" s="39"/>
      <c r="AT482" s="39">
        <v>200</v>
      </c>
      <c r="AZ482" t="s">
        <v>108</v>
      </c>
      <c r="BC482" t="s">
        <v>336</v>
      </c>
    </row>
    <row r="483" spans="1:73" x14ac:dyDescent="0.25">
      <c r="A483" t="str">
        <f t="shared" si="7"/>
        <v>A69-1601-1248</v>
      </c>
      <c r="B483" t="s">
        <v>398</v>
      </c>
      <c r="C483" t="s">
        <v>324</v>
      </c>
      <c r="D483" t="s">
        <v>345</v>
      </c>
      <c r="F483">
        <v>1248</v>
      </c>
      <c r="G483" t="s">
        <v>346</v>
      </c>
      <c r="H483" t="s">
        <v>327</v>
      </c>
      <c r="I483" s="20">
        <v>40686</v>
      </c>
      <c r="J483">
        <v>101</v>
      </c>
      <c r="L483" t="s">
        <v>109</v>
      </c>
      <c r="M483" t="s">
        <v>328</v>
      </c>
      <c r="N483" t="s">
        <v>329</v>
      </c>
      <c r="O483" t="s">
        <v>330</v>
      </c>
      <c r="P483" t="s">
        <v>331</v>
      </c>
      <c r="U483">
        <v>0.49</v>
      </c>
      <c r="V483">
        <v>0.23300000000000001</v>
      </c>
      <c r="W483" t="s">
        <v>399</v>
      </c>
      <c r="Y483" t="s">
        <v>337</v>
      </c>
      <c r="AB483" t="s">
        <v>340</v>
      </c>
      <c r="AC483" t="s">
        <v>334</v>
      </c>
      <c r="AD483" s="34">
        <v>46.171861669999998</v>
      </c>
      <c r="AE483" s="34">
        <v>-84.078114999999997</v>
      </c>
      <c r="AF483" s="18">
        <v>40688.90902777778</v>
      </c>
      <c r="AG483" s="19">
        <v>40688.742361111108</v>
      </c>
      <c r="AH483" t="s">
        <v>161</v>
      </c>
      <c r="AL483" t="s">
        <v>335</v>
      </c>
      <c r="AM483" s="20">
        <v>40686</v>
      </c>
      <c r="AR483" s="39" t="s">
        <v>400</v>
      </c>
      <c r="AS483" s="39"/>
      <c r="AT483" s="39">
        <v>200</v>
      </c>
      <c r="AZ483" t="s">
        <v>108</v>
      </c>
      <c r="BC483" t="s">
        <v>336</v>
      </c>
    </row>
    <row r="484" spans="1:73" x14ac:dyDescent="0.25">
      <c r="A484" t="str">
        <f t="shared" si="7"/>
        <v>A69-1601-1249</v>
      </c>
      <c r="B484" t="s">
        <v>398</v>
      </c>
      <c r="C484" t="s">
        <v>324</v>
      </c>
      <c r="D484" t="s">
        <v>345</v>
      </c>
      <c r="F484">
        <v>1249</v>
      </c>
      <c r="G484" t="s">
        <v>346</v>
      </c>
      <c r="H484" t="s">
        <v>327</v>
      </c>
      <c r="I484" s="20">
        <v>40686</v>
      </c>
      <c r="J484">
        <v>101</v>
      </c>
      <c r="L484" t="s">
        <v>109</v>
      </c>
      <c r="M484" t="s">
        <v>328</v>
      </c>
      <c r="N484" t="s">
        <v>329</v>
      </c>
      <c r="O484" t="s">
        <v>330</v>
      </c>
      <c r="P484" t="s">
        <v>331</v>
      </c>
      <c r="U484">
        <v>0.47</v>
      </c>
      <c r="V484">
        <v>0.216</v>
      </c>
      <c r="W484" t="s">
        <v>399</v>
      </c>
      <c r="Y484" t="s">
        <v>337</v>
      </c>
      <c r="AB484" t="s">
        <v>340</v>
      </c>
      <c r="AC484" t="s">
        <v>334</v>
      </c>
      <c r="AD484" s="34">
        <v>46.171861669999998</v>
      </c>
      <c r="AE484" s="34">
        <v>-84.078114999999997</v>
      </c>
      <c r="AF484" s="18">
        <v>40688.90902777778</v>
      </c>
      <c r="AG484" s="19">
        <v>40688.742361111108</v>
      </c>
      <c r="AH484" t="s">
        <v>161</v>
      </c>
      <c r="AL484" t="s">
        <v>335</v>
      </c>
      <c r="AM484" s="20">
        <v>40686</v>
      </c>
      <c r="AR484" s="39" t="s">
        <v>400</v>
      </c>
      <c r="AS484" s="39"/>
      <c r="AT484" s="39">
        <v>200</v>
      </c>
      <c r="AZ484" t="s">
        <v>108</v>
      </c>
      <c r="BC484" t="s">
        <v>336</v>
      </c>
    </row>
    <row r="485" spans="1:73" x14ac:dyDescent="0.25">
      <c r="A485" t="str">
        <f t="shared" si="7"/>
        <v>A69-1601-1250</v>
      </c>
      <c r="B485" t="s">
        <v>398</v>
      </c>
      <c r="C485" t="s">
        <v>324</v>
      </c>
      <c r="D485" t="s">
        <v>345</v>
      </c>
      <c r="F485">
        <v>1250</v>
      </c>
      <c r="G485" t="s">
        <v>346</v>
      </c>
      <c r="H485" t="s">
        <v>327</v>
      </c>
      <c r="I485" s="20">
        <v>40686</v>
      </c>
      <c r="J485">
        <v>101</v>
      </c>
      <c r="L485" t="s">
        <v>109</v>
      </c>
      <c r="M485" t="s">
        <v>328</v>
      </c>
      <c r="N485" t="s">
        <v>329</v>
      </c>
      <c r="O485" t="s">
        <v>330</v>
      </c>
      <c r="P485" t="s">
        <v>331</v>
      </c>
      <c r="U485">
        <v>0.45</v>
      </c>
      <c r="V485">
        <v>0.219</v>
      </c>
      <c r="W485" t="s">
        <v>399</v>
      </c>
      <c r="Y485" t="s">
        <v>337</v>
      </c>
      <c r="AB485" t="s">
        <v>340</v>
      </c>
      <c r="AC485" t="s">
        <v>334</v>
      </c>
      <c r="AD485" s="34">
        <v>46.171861669999998</v>
      </c>
      <c r="AE485" s="34">
        <v>-84.078114999999997</v>
      </c>
      <c r="AF485" s="18">
        <v>40688.90902777778</v>
      </c>
      <c r="AG485" s="19">
        <v>40688.742361111108</v>
      </c>
      <c r="AH485" t="s">
        <v>161</v>
      </c>
      <c r="AL485" t="s">
        <v>335</v>
      </c>
      <c r="AM485" s="20">
        <v>40686</v>
      </c>
      <c r="AR485" s="39" t="s">
        <v>400</v>
      </c>
      <c r="AS485" s="39"/>
      <c r="AT485" s="39">
        <v>200</v>
      </c>
      <c r="AZ485" t="s">
        <v>108</v>
      </c>
      <c r="BC485" t="s">
        <v>336</v>
      </c>
    </row>
    <row r="486" spans="1:73" x14ac:dyDescent="0.25">
      <c r="A486" t="str">
        <f t="shared" si="7"/>
        <v>A69-1601-1251</v>
      </c>
      <c r="B486" t="s">
        <v>398</v>
      </c>
      <c r="C486" t="s">
        <v>324</v>
      </c>
      <c r="D486" t="s">
        <v>345</v>
      </c>
      <c r="F486">
        <v>1251</v>
      </c>
      <c r="G486" t="s">
        <v>346</v>
      </c>
      <c r="H486" t="s">
        <v>327</v>
      </c>
      <c r="I486" s="20">
        <v>40686</v>
      </c>
      <c r="J486">
        <v>101</v>
      </c>
      <c r="L486" t="s">
        <v>109</v>
      </c>
      <c r="M486" t="s">
        <v>328</v>
      </c>
      <c r="N486" t="s">
        <v>329</v>
      </c>
      <c r="O486" t="s">
        <v>330</v>
      </c>
      <c r="P486" t="s">
        <v>331</v>
      </c>
      <c r="U486">
        <v>0.49</v>
      </c>
      <c r="V486">
        <v>0.23899999999999999</v>
      </c>
      <c r="W486" t="s">
        <v>399</v>
      </c>
      <c r="Y486" t="s">
        <v>337</v>
      </c>
      <c r="AB486" t="s">
        <v>340</v>
      </c>
      <c r="AC486" t="s">
        <v>334</v>
      </c>
      <c r="AD486" s="34">
        <v>46.171861669999998</v>
      </c>
      <c r="AE486" s="34">
        <v>-84.078114999999997</v>
      </c>
      <c r="AF486" s="18">
        <v>40688.90902777778</v>
      </c>
      <c r="AG486" s="19">
        <v>40688.742361111108</v>
      </c>
      <c r="AH486" t="s">
        <v>161</v>
      </c>
      <c r="AL486" t="s">
        <v>335</v>
      </c>
      <c r="AM486" s="20">
        <v>40686</v>
      </c>
      <c r="AR486" s="39" t="s">
        <v>400</v>
      </c>
      <c r="AS486" s="39"/>
      <c r="AT486" s="39">
        <v>200</v>
      </c>
      <c r="AZ486" t="s">
        <v>108</v>
      </c>
      <c r="BC486" t="s">
        <v>336</v>
      </c>
    </row>
    <row r="487" spans="1:73" x14ac:dyDescent="0.25">
      <c r="A487" t="str">
        <f t="shared" si="7"/>
        <v>A69-1601-1252</v>
      </c>
      <c r="B487" t="s">
        <v>398</v>
      </c>
      <c r="C487" t="s">
        <v>324</v>
      </c>
      <c r="D487" t="s">
        <v>345</v>
      </c>
      <c r="F487">
        <v>1252</v>
      </c>
      <c r="G487" t="s">
        <v>346</v>
      </c>
      <c r="H487" t="s">
        <v>327</v>
      </c>
      <c r="I487" s="20">
        <v>40686</v>
      </c>
      <c r="J487">
        <v>101</v>
      </c>
      <c r="L487" t="s">
        <v>109</v>
      </c>
      <c r="M487" t="s">
        <v>328</v>
      </c>
      <c r="N487" t="s">
        <v>329</v>
      </c>
      <c r="O487" t="s">
        <v>330</v>
      </c>
      <c r="P487" t="s">
        <v>331</v>
      </c>
      <c r="U487">
        <v>0.56999999999999995</v>
      </c>
      <c r="V487">
        <v>0.28699999999999998</v>
      </c>
      <c r="W487" t="s">
        <v>399</v>
      </c>
      <c r="Y487" t="s">
        <v>337</v>
      </c>
      <c r="AB487" t="s">
        <v>340</v>
      </c>
      <c r="AC487" t="s">
        <v>334</v>
      </c>
      <c r="AD487" s="34">
        <v>46.171861669999998</v>
      </c>
      <c r="AE487" s="34">
        <v>-84.078114999999997</v>
      </c>
      <c r="AF487" s="18">
        <v>40688.90902777778</v>
      </c>
      <c r="AG487" s="19">
        <v>40688.742361111108</v>
      </c>
      <c r="AH487" t="s">
        <v>161</v>
      </c>
      <c r="AL487" t="s">
        <v>335</v>
      </c>
      <c r="AM487" s="20">
        <v>40686</v>
      </c>
      <c r="AR487" s="39" t="s">
        <v>400</v>
      </c>
      <c r="AS487" s="39"/>
      <c r="AT487" s="39">
        <v>200</v>
      </c>
      <c r="AZ487" t="s">
        <v>108</v>
      </c>
      <c r="BC487" t="s">
        <v>336</v>
      </c>
    </row>
    <row r="488" spans="1:73" x14ac:dyDescent="0.25">
      <c r="A488" t="str">
        <f t="shared" si="7"/>
        <v>A69-1601-1253</v>
      </c>
      <c r="B488" t="s">
        <v>398</v>
      </c>
      <c r="C488" t="s">
        <v>324</v>
      </c>
      <c r="D488" t="s">
        <v>345</v>
      </c>
      <c r="F488">
        <v>1253</v>
      </c>
      <c r="G488" t="s">
        <v>346</v>
      </c>
      <c r="H488" t="s">
        <v>327</v>
      </c>
      <c r="I488" s="20">
        <v>40686</v>
      </c>
      <c r="J488">
        <v>101</v>
      </c>
      <c r="L488" t="s">
        <v>109</v>
      </c>
      <c r="M488" t="s">
        <v>328</v>
      </c>
      <c r="N488" t="s">
        <v>329</v>
      </c>
      <c r="O488" t="s">
        <v>330</v>
      </c>
      <c r="P488" t="s">
        <v>331</v>
      </c>
      <c r="U488">
        <v>0.52</v>
      </c>
      <c r="V488">
        <v>0.28000000000000003</v>
      </c>
      <c r="W488" t="s">
        <v>399</v>
      </c>
      <c r="Y488" t="s">
        <v>337</v>
      </c>
      <c r="AB488" t="s">
        <v>340</v>
      </c>
      <c r="AC488" t="s">
        <v>334</v>
      </c>
      <c r="AD488" s="34">
        <v>46.171861669999998</v>
      </c>
      <c r="AE488" s="34">
        <v>-84.078114999999997</v>
      </c>
      <c r="AF488" s="18">
        <v>40688.90902777778</v>
      </c>
      <c r="AG488" s="19">
        <v>40688.742361111108</v>
      </c>
      <c r="AH488" t="s">
        <v>161</v>
      </c>
      <c r="AL488" t="s">
        <v>335</v>
      </c>
      <c r="AM488" s="20">
        <v>40686</v>
      </c>
      <c r="AR488" s="39" t="s">
        <v>400</v>
      </c>
      <c r="AS488" s="39"/>
      <c r="AT488" s="39">
        <v>200</v>
      </c>
      <c r="AZ488" t="s">
        <v>108</v>
      </c>
      <c r="BC488" t="s">
        <v>336</v>
      </c>
    </row>
    <row r="489" spans="1:73" x14ac:dyDescent="0.25">
      <c r="A489" t="str">
        <f t="shared" si="7"/>
        <v>A69-1601-1254</v>
      </c>
      <c r="B489" t="s">
        <v>398</v>
      </c>
      <c r="C489" t="s">
        <v>324</v>
      </c>
      <c r="D489" t="s">
        <v>345</v>
      </c>
      <c r="F489">
        <v>1254</v>
      </c>
      <c r="G489" t="s">
        <v>346</v>
      </c>
      <c r="H489" t="s">
        <v>327</v>
      </c>
      <c r="I489" s="20">
        <v>40686</v>
      </c>
      <c r="J489">
        <v>101</v>
      </c>
      <c r="L489" t="s">
        <v>109</v>
      </c>
      <c r="M489" t="s">
        <v>328</v>
      </c>
      <c r="N489" t="s">
        <v>329</v>
      </c>
      <c r="O489" t="s">
        <v>330</v>
      </c>
      <c r="P489" t="s">
        <v>331</v>
      </c>
      <c r="U489">
        <v>0.47</v>
      </c>
      <c r="V489">
        <v>0.21199999999999999</v>
      </c>
      <c r="W489" t="s">
        <v>399</v>
      </c>
      <c r="Y489" t="s">
        <v>337</v>
      </c>
      <c r="AB489" t="s">
        <v>340</v>
      </c>
      <c r="AC489" t="s">
        <v>334</v>
      </c>
      <c r="AD489" s="34">
        <v>46.171861669999998</v>
      </c>
      <c r="AE489" s="34">
        <v>-84.078114999999997</v>
      </c>
      <c r="AF489" s="18">
        <v>40688.90902777778</v>
      </c>
      <c r="AG489" s="19">
        <v>40688.742361111108</v>
      </c>
      <c r="AH489" t="s">
        <v>161</v>
      </c>
      <c r="AL489" t="s">
        <v>335</v>
      </c>
      <c r="AM489" s="20">
        <v>40686</v>
      </c>
      <c r="AR489" s="39" t="s">
        <v>400</v>
      </c>
      <c r="AS489" s="39"/>
      <c r="AT489" s="39">
        <v>200</v>
      </c>
      <c r="AZ489" t="s">
        <v>108</v>
      </c>
      <c r="BC489" t="s">
        <v>336</v>
      </c>
    </row>
    <row r="490" spans="1:73" x14ac:dyDescent="0.25">
      <c r="A490" t="str">
        <f t="shared" si="7"/>
        <v>A69-1601-1255</v>
      </c>
      <c r="B490" t="s">
        <v>398</v>
      </c>
      <c r="C490" t="s">
        <v>324</v>
      </c>
      <c r="D490" t="s">
        <v>345</v>
      </c>
      <c r="F490">
        <v>1255</v>
      </c>
      <c r="G490" t="s">
        <v>346</v>
      </c>
      <c r="H490" t="s">
        <v>327</v>
      </c>
      <c r="I490" s="20">
        <v>40686</v>
      </c>
      <c r="J490">
        <v>101</v>
      </c>
      <c r="L490" t="s">
        <v>109</v>
      </c>
      <c r="M490" t="s">
        <v>328</v>
      </c>
      <c r="N490" t="s">
        <v>329</v>
      </c>
      <c r="O490" t="s">
        <v>330</v>
      </c>
      <c r="P490" t="s">
        <v>331</v>
      </c>
      <c r="U490">
        <v>0.56999999999999995</v>
      </c>
      <c r="V490">
        <v>0.29199999999999998</v>
      </c>
      <c r="W490" t="s">
        <v>399</v>
      </c>
      <c r="Y490" t="s">
        <v>337</v>
      </c>
      <c r="AB490" t="s">
        <v>340</v>
      </c>
      <c r="AC490" t="s">
        <v>334</v>
      </c>
      <c r="AD490" s="34">
        <v>46.171861669999998</v>
      </c>
      <c r="AE490" s="34">
        <v>-84.078114999999997</v>
      </c>
      <c r="AF490" s="18">
        <v>40688.90902777778</v>
      </c>
      <c r="AG490" s="19">
        <v>40688.742361111108</v>
      </c>
      <c r="AH490" t="s">
        <v>161</v>
      </c>
      <c r="AL490" t="s">
        <v>335</v>
      </c>
      <c r="AM490" s="20">
        <v>40686</v>
      </c>
      <c r="AR490" s="39" t="s">
        <v>400</v>
      </c>
      <c r="AS490" s="39"/>
      <c r="AT490" s="39">
        <v>200</v>
      </c>
      <c r="AZ490" t="s">
        <v>108</v>
      </c>
      <c r="BC490" t="s">
        <v>336</v>
      </c>
    </row>
    <row r="491" spans="1:73" x14ac:dyDescent="0.25">
      <c r="A491" t="str">
        <f t="shared" si="7"/>
        <v>A69-1601-1256</v>
      </c>
      <c r="B491" t="s">
        <v>398</v>
      </c>
      <c r="C491" t="s">
        <v>324</v>
      </c>
      <c r="D491" t="s">
        <v>345</v>
      </c>
      <c r="F491">
        <v>1256</v>
      </c>
      <c r="G491" t="s">
        <v>346</v>
      </c>
      <c r="H491" t="s">
        <v>327</v>
      </c>
      <c r="I491" s="20">
        <v>40686</v>
      </c>
      <c r="J491">
        <v>101</v>
      </c>
      <c r="L491" t="s">
        <v>109</v>
      </c>
      <c r="M491" t="s">
        <v>328</v>
      </c>
      <c r="N491" t="s">
        <v>329</v>
      </c>
      <c r="O491" t="s">
        <v>330</v>
      </c>
      <c r="P491" t="s">
        <v>331</v>
      </c>
      <c r="U491">
        <v>0.47</v>
      </c>
      <c r="V491">
        <v>0.21</v>
      </c>
      <c r="W491" t="s">
        <v>399</v>
      </c>
      <c r="Y491" t="s">
        <v>337</v>
      </c>
      <c r="AB491" t="s">
        <v>340</v>
      </c>
      <c r="AC491" t="s">
        <v>334</v>
      </c>
      <c r="AD491" s="34">
        <v>46.171861669999998</v>
      </c>
      <c r="AE491" s="34">
        <v>-84.078114999999997</v>
      </c>
      <c r="AF491" s="18">
        <v>40688.90902777778</v>
      </c>
      <c r="AG491" s="19">
        <v>40688.742361111108</v>
      </c>
      <c r="AH491" t="s">
        <v>161</v>
      </c>
      <c r="AL491" t="s">
        <v>335</v>
      </c>
      <c r="AM491" s="20">
        <v>40686</v>
      </c>
      <c r="AR491" s="39" t="s">
        <v>400</v>
      </c>
      <c r="AS491" s="39"/>
      <c r="AT491" s="39">
        <v>200</v>
      </c>
      <c r="AZ491" t="s">
        <v>108</v>
      </c>
      <c r="BC491" t="s">
        <v>336</v>
      </c>
    </row>
    <row r="492" spans="1:73" x14ac:dyDescent="0.25">
      <c r="A492" t="str">
        <f t="shared" si="7"/>
        <v>A69-1601-1257</v>
      </c>
      <c r="B492" t="s">
        <v>398</v>
      </c>
      <c r="C492" t="s">
        <v>324</v>
      </c>
      <c r="D492" t="s">
        <v>345</v>
      </c>
      <c r="F492">
        <v>1257</v>
      </c>
      <c r="G492" t="s">
        <v>346</v>
      </c>
      <c r="H492" t="s">
        <v>327</v>
      </c>
      <c r="I492" s="20">
        <v>40686</v>
      </c>
      <c r="J492">
        <v>101</v>
      </c>
      <c r="L492" t="s">
        <v>109</v>
      </c>
      <c r="M492" t="s">
        <v>328</v>
      </c>
      <c r="N492" t="s">
        <v>329</v>
      </c>
      <c r="O492" t="s">
        <v>330</v>
      </c>
      <c r="P492" t="s">
        <v>331</v>
      </c>
      <c r="U492">
        <v>0.55000000000000004</v>
      </c>
      <c r="V492">
        <v>0.33</v>
      </c>
      <c r="W492" t="s">
        <v>399</v>
      </c>
      <c r="Y492" t="s">
        <v>337</v>
      </c>
      <c r="AB492" t="s">
        <v>340</v>
      </c>
      <c r="AC492" t="s">
        <v>334</v>
      </c>
      <c r="AD492" s="34">
        <v>46.171861669999998</v>
      </c>
      <c r="AE492" s="34">
        <v>-84.078114999999997</v>
      </c>
      <c r="AF492" s="18">
        <v>40688.90902777778</v>
      </c>
      <c r="AG492" s="19">
        <v>40688.742361111108</v>
      </c>
      <c r="AH492" t="s">
        <v>161</v>
      </c>
      <c r="AL492" t="s">
        <v>335</v>
      </c>
      <c r="AM492" s="20">
        <v>40686</v>
      </c>
      <c r="AR492" s="39" t="s">
        <v>400</v>
      </c>
      <c r="AS492" s="39"/>
      <c r="AT492" s="39">
        <v>200</v>
      </c>
      <c r="AZ492" t="s">
        <v>108</v>
      </c>
      <c r="BC492" t="s">
        <v>163</v>
      </c>
      <c r="BD492" s="20">
        <v>40727</v>
      </c>
      <c r="BF492" s="21" t="s">
        <v>406</v>
      </c>
      <c r="BG492" s="38" t="s">
        <v>113</v>
      </c>
      <c r="BH492" s="1" t="s">
        <v>408</v>
      </c>
      <c r="BI492" s="1">
        <v>46.514783999999999</v>
      </c>
      <c r="BJ492" s="1">
        <v>-84.346945000000005</v>
      </c>
      <c r="BK492" s="1" t="s">
        <v>404</v>
      </c>
      <c r="BL492" s="1" t="s">
        <v>163</v>
      </c>
      <c r="BM492" s="1" t="s">
        <v>163</v>
      </c>
      <c r="BN492" s="1" t="s">
        <v>410</v>
      </c>
      <c r="BO492" s="39">
        <v>2022</v>
      </c>
      <c r="BP492" s="39">
        <v>2023</v>
      </c>
      <c r="BQ492" s="39" t="s">
        <v>337</v>
      </c>
      <c r="BR492" s="39">
        <v>525</v>
      </c>
      <c r="BS492" s="39">
        <v>298</v>
      </c>
    </row>
    <row r="493" spans="1:73" x14ac:dyDescent="0.25">
      <c r="A493" t="str">
        <f t="shared" si="7"/>
        <v>A69-1601-1258</v>
      </c>
      <c r="B493" t="s">
        <v>398</v>
      </c>
      <c r="C493" t="s">
        <v>324</v>
      </c>
      <c r="D493" t="s">
        <v>345</v>
      </c>
      <c r="F493">
        <v>1258</v>
      </c>
      <c r="G493" t="s">
        <v>346</v>
      </c>
      <c r="H493" t="s">
        <v>327</v>
      </c>
      <c r="I493" s="20">
        <v>40686</v>
      </c>
      <c r="J493">
        <v>101</v>
      </c>
      <c r="L493" t="s">
        <v>109</v>
      </c>
      <c r="M493" t="s">
        <v>328</v>
      </c>
      <c r="N493" t="s">
        <v>329</v>
      </c>
      <c r="O493" t="s">
        <v>330</v>
      </c>
      <c r="P493" t="s">
        <v>331</v>
      </c>
      <c r="U493">
        <v>0.48</v>
      </c>
      <c r="V493">
        <v>0.214</v>
      </c>
      <c r="W493" t="s">
        <v>399</v>
      </c>
      <c r="Y493" t="s">
        <v>337</v>
      </c>
      <c r="AB493" t="s">
        <v>340</v>
      </c>
      <c r="AC493" t="s">
        <v>334</v>
      </c>
      <c r="AD493" s="34">
        <v>46.171861669999998</v>
      </c>
      <c r="AE493" s="34">
        <v>-84.078114999999997</v>
      </c>
      <c r="AF493" s="18">
        <v>40688.90902777778</v>
      </c>
      <c r="AG493" s="19">
        <v>40688.742361111108</v>
      </c>
      <c r="AH493" t="s">
        <v>161</v>
      </c>
      <c r="AL493" t="s">
        <v>335</v>
      </c>
      <c r="AM493" s="20">
        <v>40686</v>
      </c>
      <c r="AR493" s="39" t="s">
        <v>400</v>
      </c>
      <c r="AS493" s="39"/>
      <c r="AT493" s="39">
        <v>200</v>
      </c>
      <c r="AZ493" t="s">
        <v>108</v>
      </c>
      <c r="BC493" t="s">
        <v>336</v>
      </c>
    </row>
    <row r="494" spans="1:73" x14ac:dyDescent="0.25">
      <c r="A494" t="str">
        <f t="shared" si="7"/>
        <v>A69-1601-1259</v>
      </c>
      <c r="B494" t="s">
        <v>398</v>
      </c>
      <c r="C494" t="s">
        <v>324</v>
      </c>
      <c r="D494" t="s">
        <v>345</v>
      </c>
      <c r="F494">
        <v>1259</v>
      </c>
      <c r="G494" t="s">
        <v>346</v>
      </c>
      <c r="H494" t="s">
        <v>327</v>
      </c>
      <c r="I494" s="20">
        <v>40686</v>
      </c>
      <c r="J494">
        <v>101</v>
      </c>
      <c r="L494" t="s">
        <v>109</v>
      </c>
      <c r="M494" t="s">
        <v>328</v>
      </c>
      <c r="N494" t="s">
        <v>329</v>
      </c>
      <c r="O494" t="s">
        <v>330</v>
      </c>
      <c r="P494" t="s">
        <v>331</v>
      </c>
      <c r="U494">
        <v>0.52</v>
      </c>
      <c r="V494">
        <v>0.27200000000000002</v>
      </c>
      <c r="W494" t="s">
        <v>399</v>
      </c>
      <c r="Y494" t="s">
        <v>337</v>
      </c>
      <c r="AB494" t="s">
        <v>340</v>
      </c>
      <c r="AC494" t="s">
        <v>334</v>
      </c>
      <c r="AD494" s="34">
        <v>46.171861669999998</v>
      </c>
      <c r="AE494" s="34">
        <v>-84.078114999999997</v>
      </c>
      <c r="AF494" s="18">
        <v>40688.90902777778</v>
      </c>
      <c r="AG494" s="19">
        <v>40688.742361111108</v>
      </c>
      <c r="AH494" t="s">
        <v>161</v>
      </c>
      <c r="AL494" t="s">
        <v>335</v>
      </c>
      <c r="AM494" s="20">
        <v>40686</v>
      </c>
      <c r="AR494" s="39" t="s">
        <v>400</v>
      </c>
      <c r="AS494" s="39"/>
      <c r="AT494" s="39">
        <v>200</v>
      </c>
      <c r="AZ494" t="s">
        <v>108</v>
      </c>
      <c r="BC494" t="s">
        <v>163</v>
      </c>
      <c r="BD494" s="20" t="s">
        <v>235</v>
      </c>
      <c r="BF494" s="21" t="s">
        <v>406</v>
      </c>
      <c r="BG494" s="1" t="s">
        <v>422</v>
      </c>
      <c r="BH494" s="1" t="s">
        <v>423</v>
      </c>
      <c r="BI494" s="1">
        <v>46.304803</v>
      </c>
      <c r="BJ494" s="1">
        <v>-83.550505000000001</v>
      </c>
      <c r="BK494" s="1" t="s">
        <v>404</v>
      </c>
      <c r="BL494" s="1" t="s">
        <v>163</v>
      </c>
      <c r="BM494" s="1" t="s">
        <v>163</v>
      </c>
      <c r="BN494" s="1" t="s">
        <v>410</v>
      </c>
      <c r="BO494" s="39">
        <v>2032</v>
      </c>
      <c r="BP494" s="39">
        <v>2033</v>
      </c>
      <c r="BQ494" s="39" t="s">
        <v>337</v>
      </c>
      <c r="BR494" s="39" t="s">
        <v>235</v>
      </c>
      <c r="BS494" s="39" t="s">
        <v>235</v>
      </c>
      <c r="BU494" t="s">
        <v>424</v>
      </c>
    </row>
    <row r="495" spans="1:73" x14ac:dyDescent="0.25">
      <c r="A495" t="str">
        <f t="shared" si="7"/>
        <v>A69-1601-1260</v>
      </c>
      <c r="B495" t="s">
        <v>398</v>
      </c>
      <c r="C495" t="s">
        <v>324</v>
      </c>
      <c r="D495" t="s">
        <v>345</v>
      </c>
      <c r="F495">
        <v>1260</v>
      </c>
      <c r="G495" t="s">
        <v>346</v>
      </c>
      <c r="H495" t="s">
        <v>327</v>
      </c>
      <c r="I495" s="20">
        <v>40686</v>
      </c>
      <c r="J495">
        <v>101</v>
      </c>
      <c r="L495" t="s">
        <v>109</v>
      </c>
      <c r="M495" t="s">
        <v>328</v>
      </c>
      <c r="N495" t="s">
        <v>329</v>
      </c>
      <c r="O495" t="s">
        <v>330</v>
      </c>
      <c r="P495" t="s">
        <v>331</v>
      </c>
      <c r="U495">
        <v>0.44</v>
      </c>
      <c r="V495">
        <v>0.17699999999999999</v>
      </c>
      <c r="W495" t="s">
        <v>399</v>
      </c>
      <c r="Y495" t="s">
        <v>337</v>
      </c>
      <c r="AB495" t="s">
        <v>340</v>
      </c>
      <c r="AC495" t="s">
        <v>334</v>
      </c>
      <c r="AD495" s="34">
        <v>46.171861669999998</v>
      </c>
      <c r="AE495" s="34">
        <v>-84.078114999999997</v>
      </c>
      <c r="AF495" s="18">
        <v>40688.90902777778</v>
      </c>
      <c r="AG495" s="19">
        <v>40688.742361111108</v>
      </c>
      <c r="AH495" t="s">
        <v>161</v>
      </c>
      <c r="AL495" t="s">
        <v>335</v>
      </c>
      <c r="AM495" s="20">
        <v>40686</v>
      </c>
      <c r="AR495" s="39" t="s">
        <v>400</v>
      </c>
      <c r="AS495" s="39"/>
      <c r="AT495" s="39">
        <v>200</v>
      </c>
      <c r="AZ495" t="s">
        <v>108</v>
      </c>
      <c r="BC495" t="s">
        <v>336</v>
      </c>
    </row>
    <row r="496" spans="1:73" x14ac:dyDescent="0.25">
      <c r="A496" t="str">
        <f t="shared" si="7"/>
        <v>A69-1601-1261</v>
      </c>
      <c r="B496" t="s">
        <v>398</v>
      </c>
      <c r="C496" t="s">
        <v>324</v>
      </c>
      <c r="D496" t="s">
        <v>345</v>
      </c>
      <c r="F496">
        <v>1261</v>
      </c>
      <c r="G496" t="s">
        <v>346</v>
      </c>
      <c r="H496" t="s">
        <v>327</v>
      </c>
      <c r="I496" s="20">
        <v>40686</v>
      </c>
      <c r="J496">
        <v>101</v>
      </c>
      <c r="L496" t="s">
        <v>109</v>
      </c>
      <c r="M496" t="s">
        <v>328</v>
      </c>
      <c r="N496" t="s">
        <v>329</v>
      </c>
      <c r="O496" t="s">
        <v>330</v>
      </c>
      <c r="P496" t="s">
        <v>331</v>
      </c>
      <c r="U496">
        <v>0.43</v>
      </c>
      <c r="V496">
        <v>0.17</v>
      </c>
      <c r="W496" t="s">
        <v>399</v>
      </c>
      <c r="Y496" t="s">
        <v>337</v>
      </c>
      <c r="AB496" t="s">
        <v>340</v>
      </c>
      <c r="AC496" t="s">
        <v>334</v>
      </c>
      <c r="AD496" s="34">
        <v>46.171861669999998</v>
      </c>
      <c r="AE496" s="34">
        <v>-84.078114999999997</v>
      </c>
      <c r="AF496" s="18">
        <v>40688.90902777778</v>
      </c>
      <c r="AG496" s="19">
        <v>40688.742361111108</v>
      </c>
      <c r="AH496" t="s">
        <v>161</v>
      </c>
      <c r="AL496" t="s">
        <v>335</v>
      </c>
      <c r="AM496" s="20">
        <v>40686</v>
      </c>
      <c r="AR496" s="39" t="s">
        <v>400</v>
      </c>
      <c r="AS496" s="39"/>
      <c r="AT496" s="39">
        <v>200</v>
      </c>
      <c r="AZ496" t="s">
        <v>108</v>
      </c>
      <c r="BC496" t="s">
        <v>336</v>
      </c>
    </row>
    <row r="497" spans="1:55" x14ac:dyDescent="0.25">
      <c r="A497" t="str">
        <f t="shared" si="7"/>
        <v>A69-1601-1262</v>
      </c>
      <c r="B497" t="s">
        <v>398</v>
      </c>
      <c r="C497" t="s">
        <v>324</v>
      </c>
      <c r="D497" t="s">
        <v>345</v>
      </c>
      <c r="F497">
        <v>1262</v>
      </c>
      <c r="G497" t="s">
        <v>346</v>
      </c>
      <c r="H497" t="s">
        <v>327</v>
      </c>
      <c r="I497" s="20">
        <v>40686</v>
      </c>
      <c r="J497">
        <v>101</v>
      </c>
      <c r="L497" t="s">
        <v>109</v>
      </c>
      <c r="M497" t="s">
        <v>328</v>
      </c>
      <c r="N497" t="s">
        <v>329</v>
      </c>
      <c r="O497" t="s">
        <v>330</v>
      </c>
      <c r="P497" t="s">
        <v>331</v>
      </c>
      <c r="U497">
        <v>0.51</v>
      </c>
      <c r="V497">
        <v>0.32800000000000001</v>
      </c>
      <c r="W497" t="s">
        <v>399</v>
      </c>
      <c r="Y497" t="s">
        <v>337</v>
      </c>
      <c r="AB497" t="s">
        <v>340</v>
      </c>
      <c r="AC497" t="s">
        <v>334</v>
      </c>
      <c r="AD497" s="34">
        <v>46.171861669999998</v>
      </c>
      <c r="AE497" s="34">
        <v>-84.078114999999997</v>
      </c>
      <c r="AF497" s="18">
        <v>40688.90902777778</v>
      </c>
      <c r="AG497" s="19">
        <v>40688.742361111108</v>
      </c>
      <c r="AH497" t="s">
        <v>161</v>
      </c>
      <c r="AL497" t="s">
        <v>335</v>
      </c>
      <c r="AM497" s="20">
        <v>40686</v>
      </c>
      <c r="AR497" s="39" t="s">
        <v>400</v>
      </c>
      <c r="AS497" s="39"/>
      <c r="AT497" s="39">
        <v>200</v>
      </c>
      <c r="AZ497" t="s">
        <v>108</v>
      </c>
      <c r="BC497" t="s">
        <v>336</v>
      </c>
    </row>
    <row r="498" spans="1:55" x14ac:dyDescent="0.25">
      <c r="A498" t="str">
        <f t="shared" si="7"/>
        <v>A69-1601-1263</v>
      </c>
      <c r="B498" t="s">
        <v>398</v>
      </c>
      <c r="C498" t="s">
        <v>324</v>
      </c>
      <c r="D498" t="s">
        <v>345</v>
      </c>
      <c r="F498">
        <v>1263</v>
      </c>
      <c r="G498" t="s">
        <v>346</v>
      </c>
      <c r="H498" t="s">
        <v>327</v>
      </c>
      <c r="I498" s="20">
        <v>40686</v>
      </c>
      <c r="J498">
        <v>101</v>
      </c>
      <c r="L498" t="s">
        <v>109</v>
      </c>
      <c r="M498" t="s">
        <v>328</v>
      </c>
      <c r="N498" t="s">
        <v>329</v>
      </c>
      <c r="O498" t="s">
        <v>330</v>
      </c>
      <c r="P498" t="s">
        <v>331</v>
      </c>
      <c r="U498">
        <v>0.51</v>
      </c>
      <c r="V498">
        <v>0.22800000000000001</v>
      </c>
      <c r="W498" t="s">
        <v>399</v>
      </c>
      <c r="Y498" t="s">
        <v>337</v>
      </c>
      <c r="AB498" t="s">
        <v>340</v>
      </c>
      <c r="AC498" t="s">
        <v>334</v>
      </c>
      <c r="AD498" s="34">
        <v>46.171861669999998</v>
      </c>
      <c r="AE498" s="34">
        <v>-84.078114999999997</v>
      </c>
      <c r="AF498" s="18">
        <v>40688.90902777778</v>
      </c>
      <c r="AG498" s="19">
        <v>40688.742361111108</v>
      </c>
      <c r="AH498" t="s">
        <v>161</v>
      </c>
      <c r="AL498" t="s">
        <v>335</v>
      </c>
      <c r="AM498" s="20">
        <v>40686</v>
      </c>
      <c r="AR498" s="39" t="s">
        <v>400</v>
      </c>
      <c r="AS498" s="39"/>
      <c r="AT498" s="39">
        <v>200</v>
      </c>
      <c r="AZ498" t="s">
        <v>108</v>
      </c>
      <c r="BC498" t="s">
        <v>336</v>
      </c>
    </row>
    <row r="499" spans="1:55" x14ac:dyDescent="0.25">
      <c r="A499" t="str">
        <f t="shared" si="7"/>
        <v>A69-1601-1264</v>
      </c>
      <c r="B499" t="s">
        <v>398</v>
      </c>
      <c r="C499" t="s">
        <v>324</v>
      </c>
      <c r="D499" t="s">
        <v>345</v>
      </c>
      <c r="F499">
        <v>1264</v>
      </c>
      <c r="G499" t="s">
        <v>346</v>
      </c>
      <c r="H499" t="s">
        <v>327</v>
      </c>
      <c r="I499" s="20">
        <v>40686</v>
      </c>
      <c r="J499">
        <v>101</v>
      </c>
      <c r="L499" t="s">
        <v>109</v>
      </c>
      <c r="M499" t="s">
        <v>328</v>
      </c>
      <c r="N499" t="s">
        <v>329</v>
      </c>
      <c r="O499" t="s">
        <v>330</v>
      </c>
      <c r="P499" t="s">
        <v>331</v>
      </c>
      <c r="U499">
        <v>0.45</v>
      </c>
      <c r="V499">
        <v>0.22700000000000001</v>
      </c>
      <c r="W499" t="s">
        <v>399</v>
      </c>
      <c r="Y499" t="s">
        <v>337</v>
      </c>
      <c r="AB499" t="s">
        <v>340</v>
      </c>
      <c r="AC499" t="s">
        <v>334</v>
      </c>
      <c r="AD499" s="34">
        <v>46.171861669999998</v>
      </c>
      <c r="AE499" s="34">
        <v>-84.078114999999997</v>
      </c>
      <c r="AF499" s="18">
        <v>40688.90902777778</v>
      </c>
      <c r="AG499" s="19">
        <v>40688.742361111108</v>
      </c>
      <c r="AH499" t="s">
        <v>161</v>
      </c>
      <c r="AL499" t="s">
        <v>335</v>
      </c>
      <c r="AM499" s="20">
        <v>40686</v>
      </c>
      <c r="AR499" s="39" t="s">
        <v>400</v>
      </c>
      <c r="AS499" s="39"/>
      <c r="AT499" s="39">
        <v>200</v>
      </c>
      <c r="AZ499" t="s">
        <v>108</v>
      </c>
      <c r="BC499" t="s">
        <v>336</v>
      </c>
    </row>
    <row r="500" spans="1:55" x14ac:dyDescent="0.25">
      <c r="A500" t="str">
        <f t="shared" si="7"/>
        <v>A69-1601-1265</v>
      </c>
      <c r="B500" t="s">
        <v>398</v>
      </c>
      <c r="C500" t="s">
        <v>324</v>
      </c>
      <c r="D500" t="s">
        <v>345</v>
      </c>
      <c r="F500">
        <v>1265</v>
      </c>
      <c r="G500" t="s">
        <v>346</v>
      </c>
      <c r="H500" t="s">
        <v>327</v>
      </c>
      <c r="I500" s="20">
        <v>40686</v>
      </c>
      <c r="J500">
        <v>101</v>
      </c>
      <c r="L500" t="s">
        <v>109</v>
      </c>
      <c r="M500" t="s">
        <v>328</v>
      </c>
      <c r="N500" t="s">
        <v>329</v>
      </c>
      <c r="O500" t="s">
        <v>330</v>
      </c>
      <c r="P500" t="s">
        <v>331</v>
      </c>
      <c r="U500">
        <v>0.5</v>
      </c>
      <c r="V500">
        <v>0.255</v>
      </c>
      <c r="W500" t="s">
        <v>399</v>
      </c>
      <c r="Y500" t="s">
        <v>337</v>
      </c>
      <c r="AB500" t="s">
        <v>340</v>
      </c>
      <c r="AC500" t="s">
        <v>334</v>
      </c>
      <c r="AD500" s="34">
        <v>46.171861669999998</v>
      </c>
      <c r="AE500" s="34">
        <v>-84.078114999999997</v>
      </c>
      <c r="AF500" s="18">
        <v>40688.90902777778</v>
      </c>
      <c r="AG500" s="19">
        <v>40688.742361111108</v>
      </c>
      <c r="AH500" t="s">
        <v>161</v>
      </c>
      <c r="AL500" t="s">
        <v>335</v>
      </c>
      <c r="AM500" s="20">
        <v>40686</v>
      </c>
      <c r="AR500" s="39" t="s">
        <v>400</v>
      </c>
      <c r="AS500" s="39"/>
      <c r="AT500" s="39">
        <v>200</v>
      </c>
      <c r="AZ500" t="s">
        <v>108</v>
      </c>
      <c r="BC500" t="s">
        <v>336</v>
      </c>
    </row>
    <row r="501" spans="1:55" x14ac:dyDescent="0.25">
      <c r="A501" t="str">
        <f t="shared" si="7"/>
        <v>A69-1601-1267</v>
      </c>
      <c r="B501" t="s">
        <v>398</v>
      </c>
      <c r="C501" t="s">
        <v>324</v>
      </c>
      <c r="D501" t="s">
        <v>345</v>
      </c>
      <c r="F501">
        <v>1267</v>
      </c>
      <c r="G501" t="s">
        <v>346</v>
      </c>
      <c r="H501" t="s">
        <v>327</v>
      </c>
      <c r="I501" s="20">
        <v>40686</v>
      </c>
      <c r="J501">
        <v>101</v>
      </c>
      <c r="L501" t="s">
        <v>109</v>
      </c>
      <c r="M501" t="s">
        <v>328</v>
      </c>
      <c r="N501" t="s">
        <v>329</v>
      </c>
      <c r="O501" t="s">
        <v>330</v>
      </c>
      <c r="P501" t="s">
        <v>331</v>
      </c>
      <c r="U501">
        <v>0.54</v>
      </c>
      <c r="V501">
        <v>0.30599999999999999</v>
      </c>
      <c r="W501" t="s">
        <v>399</v>
      </c>
      <c r="Y501" t="s">
        <v>337</v>
      </c>
      <c r="AB501" t="s">
        <v>340</v>
      </c>
      <c r="AC501" t="s">
        <v>334</v>
      </c>
      <c r="AD501" s="34">
        <v>46.171861669999998</v>
      </c>
      <c r="AE501" s="34">
        <v>-84.078114999999997</v>
      </c>
      <c r="AF501" s="18">
        <v>40688.90902777778</v>
      </c>
      <c r="AG501" s="19">
        <v>40688.742361111108</v>
      </c>
      <c r="AH501" t="s">
        <v>161</v>
      </c>
      <c r="AL501" t="s">
        <v>335</v>
      </c>
      <c r="AM501" s="20">
        <v>40686</v>
      </c>
      <c r="AR501" s="39" t="s">
        <v>400</v>
      </c>
      <c r="AS501" s="39"/>
      <c r="AT501" s="39">
        <v>200</v>
      </c>
      <c r="AZ501" t="s">
        <v>108</v>
      </c>
      <c r="BC501" t="s">
        <v>336</v>
      </c>
    </row>
    <row r="502" spans="1:55" x14ac:dyDescent="0.25">
      <c r="A502" t="str">
        <f t="shared" si="7"/>
        <v>A69-1601-1268</v>
      </c>
      <c r="B502" t="s">
        <v>398</v>
      </c>
      <c r="C502" t="s">
        <v>324</v>
      </c>
      <c r="D502" t="s">
        <v>345</v>
      </c>
      <c r="F502">
        <v>1268</v>
      </c>
      <c r="G502" t="s">
        <v>346</v>
      </c>
      <c r="H502" t="s">
        <v>327</v>
      </c>
      <c r="I502" s="20">
        <v>40694</v>
      </c>
      <c r="J502">
        <v>101</v>
      </c>
      <c r="L502" t="s">
        <v>109</v>
      </c>
      <c r="M502" t="s">
        <v>328</v>
      </c>
      <c r="N502" t="s">
        <v>329</v>
      </c>
      <c r="O502" t="s">
        <v>330</v>
      </c>
      <c r="P502" t="s">
        <v>331</v>
      </c>
      <c r="U502">
        <v>0.51</v>
      </c>
      <c r="V502">
        <v>0.26800000000000002</v>
      </c>
      <c r="W502" t="s">
        <v>399</v>
      </c>
      <c r="Y502" t="s">
        <v>332</v>
      </c>
      <c r="AB502" t="s">
        <v>347</v>
      </c>
      <c r="AC502" t="s">
        <v>342</v>
      </c>
      <c r="AD502" s="34">
        <v>46.306741670000001</v>
      </c>
      <c r="AE502" s="34">
        <v>-84.060811670000007</v>
      </c>
      <c r="AF502" s="18">
        <v>40696.938888888886</v>
      </c>
      <c r="AG502" s="19">
        <v>40696.772222222222</v>
      </c>
      <c r="AH502" t="s">
        <v>161</v>
      </c>
      <c r="AL502" t="s">
        <v>335</v>
      </c>
      <c r="AM502" s="20">
        <v>40694</v>
      </c>
      <c r="AR502" s="39" t="s">
        <v>400</v>
      </c>
      <c r="AS502" s="39"/>
      <c r="AT502" s="39">
        <v>200</v>
      </c>
      <c r="AZ502" t="s">
        <v>108</v>
      </c>
      <c r="BC502" t="s">
        <v>336</v>
      </c>
    </row>
    <row r="503" spans="1:55" x14ac:dyDescent="0.25">
      <c r="A503" t="str">
        <f t="shared" si="7"/>
        <v>A69-1601-1269</v>
      </c>
      <c r="B503" t="s">
        <v>398</v>
      </c>
      <c r="C503" t="s">
        <v>324</v>
      </c>
      <c r="D503" t="s">
        <v>345</v>
      </c>
      <c r="F503">
        <v>1269</v>
      </c>
      <c r="G503" t="s">
        <v>346</v>
      </c>
      <c r="H503" t="s">
        <v>327</v>
      </c>
      <c r="I503" s="20">
        <v>40694</v>
      </c>
      <c r="J503">
        <v>101</v>
      </c>
      <c r="L503" t="s">
        <v>109</v>
      </c>
      <c r="M503" t="s">
        <v>328</v>
      </c>
      <c r="N503" t="s">
        <v>329</v>
      </c>
      <c r="O503" t="s">
        <v>330</v>
      </c>
      <c r="P503" t="s">
        <v>331</v>
      </c>
      <c r="U503">
        <v>0.55000000000000004</v>
      </c>
      <c r="V503">
        <v>0.32500000000000001</v>
      </c>
      <c r="W503" t="s">
        <v>399</v>
      </c>
      <c r="Y503" t="s">
        <v>332</v>
      </c>
      <c r="AB503" t="s">
        <v>347</v>
      </c>
      <c r="AC503" t="s">
        <v>342</v>
      </c>
      <c r="AD503" s="34">
        <v>46.306741670000001</v>
      </c>
      <c r="AE503" s="34">
        <v>-84.060811670000007</v>
      </c>
      <c r="AF503" s="18">
        <v>40696.938888888886</v>
      </c>
      <c r="AG503" s="19">
        <v>40696.772222222222</v>
      </c>
      <c r="AH503" t="s">
        <v>161</v>
      </c>
      <c r="AL503" t="s">
        <v>335</v>
      </c>
      <c r="AM503" s="20">
        <v>40694</v>
      </c>
      <c r="AR503" s="39" t="s">
        <v>400</v>
      </c>
      <c r="AS503" s="39"/>
      <c r="AT503" s="39">
        <v>200</v>
      </c>
      <c r="AZ503" t="s">
        <v>108</v>
      </c>
      <c r="BC503" t="s">
        <v>336</v>
      </c>
    </row>
    <row r="504" spans="1:55" x14ac:dyDescent="0.25">
      <c r="A504" t="str">
        <f t="shared" si="7"/>
        <v>A69-1601-1270</v>
      </c>
      <c r="B504" t="s">
        <v>398</v>
      </c>
      <c r="C504" t="s">
        <v>324</v>
      </c>
      <c r="D504" t="s">
        <v>345</v>
      </c>
      <c r="F504">
        <v>1270</v>
      </c>
      <c r="G504" t="s">
        <v>346</v>
      </c>
      <c r="H504" t="s">
        <v>327</v>
      </c>
      <c r="I504" s="20">
        <v>40694</v>
      </c>
      <c r="J504">
        <v>101</v>
      </c>
      <c r="L504" t="s">
        <v>109</v>
      </c>
      <c r="M504" t="s">
        <v>328</v>
      </c>
      <c r="N504" t="s">
        <v>329</v>
      </c>
      <c r="O504" t="s">
        <v>330</v>
      </c>
      <c r="P504" t="s">
        <v>331</v>
      </c>
      <c r="U504">
        <v>0.51</v>
      </c>
      <c r="V504">
        <v>0.28199999999999997</v>
      </c>
      <c r="W504" t="s">
        <v>399</v>
      </c>
      <c r="Y504" t="s">
        <v>332</v>
      </c>
      <c r="AB504" t="s">
        <v>347</v>
      </c>
      <c r="AC504" t="s">
        <v>342</v>
      </c>
      <c r="AD504" s="34">
        <v>46.306741670000001</v>
      </c>
      <c r="AE504" s="34">
        <v>-84.060811670000007</v>
      </c>
      <c r="AF504" s="18">
        <v>40696.938888888886</v>
      </c>
      <c r="AG504" s="19">
        <v>40696.772222222222</v>
      </c>
      <c r="AH504" t="s">
        <v>161</v>
      </c>
      <c r="AL504" t="s">
        <v>335</v>
      </c>
      <c r="AM504" s="20">
        <v>40694</v>
      </c>
      <c r="AR504" s="39" t="s">
        <v>400</v>
      </c>
      <c r="AS504" s="39"/>
      <c r="AT504" s="39">
        <v>200</v>
      </c>
      <c r="AZ504" t="s">
        <v>108</v>
      </c>
      <c r="BC504" t="s">
        <v>336</v>
      </c>
    </row>
    <row r="505" spans="1:55" x14ac:dyDescent="0.25">
      <c r="A505" t="str">
        <f t="shared" si="7"/>
        <v>A69-1601-1271</v>
      </c>
      <c r="B505" t="s">
        <v>398</v>
      </c>
      <c r="C505" t="s">
        <v>324</v>
      </c>
      <c r="D505" t="s">
        <v>345</v>
      </c>
      <c r="F505">
        <v>1271</v>
      </c>
      <c r="G505" t="s">
        <v>346</v>
      </c>
      <c r="H505" t="s">
        <v>327</v>
      </c>
      <c r="I505" s="20">
        <v>40694</v>
      </c>
      <c r="J505">
        <v>101</v>
      </c>
      <c r="L505" t="s">
        <v>109</v>
      </c>
      <c r="M505" t="s">
        <v>328</v>
      </c>
      <c r="N505" t="s">
        <v>329</v>
      </c>
      <c r="O505" t="s">
        <v>330</v>
      </c>
      <c r="P505" t="s">
        <v>331</v>
      </c>
      <c r="U505">
        <v>0.48</v>
      </c>
      <c r="V505">
        <v>0.25800000000000001</v>
      </c>
      <c r="W505" t="s">
        <v>399</v>
      </c>
      <c r="Y505" t="s">
        <v>332</v>
      </c>
      <c r="AB505" t="s">
        <v>347</v>
      </c>
      <c r="AC505" t="s">
        <v>342</v>
      </c>
      <c r="AD505" s="34">
        <v>46.306741670000001</v>
      </c>
      <c r="AE505" s="34">
        <v>-84.060811670000007</v>
      </c>
      <c r="AF505" s="18">
        <v>40696.938888888886</v>
      </c>
      <c r="AG505" s="19">
        <v>40696.772222222222</v>
      </c>
      <c r="AH505" t="s">
        <v>161</v>
      </c>
      <c r="AL505" t="s">
        <v>335</v>
      </c>
      <c r="AM505" s="20">
        <v>40694</v>
      </c>
      <c r="AR505" s="39" t="s">
        <v>400</v>
      </c>
      <c r="AS505" s="39"/>
      <c r="AT505" s="39">
        <v>200</v>
      </c>
      <c r="AZ505" t="s">
        <v>108</v>
      </c>
      <c r="BC505" t="s">
        <v>336</v>
      </c>
    </row>
    <row r="506" spans="1:55" x14ac:dyDescent="0.25">
      <c r="A506" t="str">
        <f t="shared" si="7"/>
        <v>A69-1601-1272</v>
      </c>
      <c r="B506" t="s">
        <v>398</v>
      </c>
      <c r="C506" t="s">
        <v>324</v>
      </c>
      <c r="D506" t="s">
        <v>345</v>
      </c>
      <c r="F506">
        <v>1272</v>
      </c>
      <c r="G506" t="s">
        <v>346</v>
      </c>
      <c r="H506" t="s">
        <v>327</v>
      </c>
      <c r="I506" s="20">
        <v>40694</v>
      </c>
      <c r="J506">
        <v>101</v>
      </c>
      <c r="L506" t="s">
        <v>109</v>
      </c>
      <c r="M506" t="s">
        <v>328</v>
      </c>
      <c r="N506" t="s">
        <v>329</v>
      </c>
      <c r="O506" t="s">
        <v>330</v>
      </c>
      <c r="P506" t="s">
        <v>331</v>
      </c>
      <c r="U506">
        <v>0.49</v>
      </c>
      <c r="V506">
        <v>0.29699999999999999</v>
      </c>
      <c r="W506" t="s">
        <v>399</v>
      </c>
      <c r="Y506" t="s">
        <v>337</v>
      </c>
      <c r="AB506" t="s">
        <v>347</v>
      </c>
      <c r="AC506" t="s">
        <v>342</v>
      </c>
      <c r="AD506" s="34">
        <v>46.306741670000001</v>
      </c>
      <c r="AE506" s="34">
        <v>-84.060811670000007</v>
      </c>
      <c r="AF506" s="18">
        <v>40696.938888888886</v>
      </c>
      <c r="AG506" s="19">
        <v>40696.772222222222</v>
      </c>
      <c r="AH506" t="s">
        <v>161</v>
      </c>
      <c r="AL506" t="s">
        <v>335</v>
      </c>
      <c r="AM506" s="20">
        <v>40694</v>
      </c>
      <c r="AR506" s="39" t="s">
        <v>400</v>
      </c>
      <c r="AS506" s="39"/>
      <c r="AT506" s="39">
        <v>200</v>
      </c>
      <c r="AZ506" t="s">
        <v>108</v>
      </c>
      <c r="BC506" t="s">
        <v>336</v>
      </c>
    </row>
    <row r="507" spans="1:55" x14ac:dyDescent="0.25">
      <c r="A507" t="str">
        <f t="shared" si="7"/>
        <v>A69-1601-1273</v>
      </c>
      <c r="B507" t="s">
        <v>398</v>
      </c>
      <c r="C507" t="s">
        <v>324</v>
      </c>
      <c r="D507" t="s">
        <v>345</v>
      </c>
      <c r="F507">
        <v>1273</v>
      </c>
      <c r="G507" t="s">
        <v>346</v>
      </c>
      <c r="H507" t="s">
        <v>327</v>
      </c>
      <c r="I507" s="20">
        <v>40694</v>
      </c>
      <c r="J507">
        <v>101</v>
      </c>
      <c r="L507" t="s">
        <v>109</v>
      </c>
      <c r="M507" t="s">
        <v>328</v>
      </c>
      <c r="N507" t="s">
        <v>329</v>
      </c>
      <c r="O507" t="s">
        <v>330</v>
      </c>
      <c r="P507" t="s">
        <v>331</v>
      </c>
      <c r="U507">
        <v>0.53</v>
      </c>
      <c r="V507">
        <v>0.26600000000000001</v>
      </c>
      <c r="W507" t="s">
        <v>399</v>
      </c>
      <c r="Y507" t="s">
        <v>337</v>
      </c>
      <c r="AB507" t="s">
        <v>347</v>
      </c>
      <c r="AC507" t="s">
        <v>342</v>
      </c>
      <c r="AD507" s="34">
        <v>46.306741670000001</v>
      </c>
      <c r="AE507" s="34">
        <v>-84.060811670000007</v>
      </c>
      <c r="AF507" s="18">
        <v>40696.938888888886</v>
      </c>
      <c r="AG507" s="19">
        <v>40696.772222222222</v>
      </c>
      <c r="AH507" t="s">
        <v>161</v>
      </c>
      <c r="AL507" t="s">
        <v>335</v>
      </c>
      <c r="AM507" s="20">
        <v>40694</v>
      </c>
      <c r="AR507" s="39" t="s">
        <v>400</v>
      </c>
      <c r="AS507" s="39"/>
      <c r="AT507" s="39">
        <v>200</v>
      </c>
      <c r="AZ507" t="s">
        <v>108</v>
      </c>
      <c r="BC507" t="s">
        <v>336</v>
      </c>
    </row>
    <row r="508" spans="1:55" x14ac:dyDescent="0.25">
      <c r="A508" t="str">
        <f t="shared" si="7"/>
        <v>A69-1601-1274</v>
      </c>
      <c r="B508" t="s">
        <v>398</v>
      </c>
      <c r="C508" t="s">
        <v>324</v>
      </c>
      <c r="D508" t="s">
        <v>345</v>
      </c>
      <c r="F508">
        <v>1274</v>
      </c>
      <c r="G508" t="s">
        <v>346</v>
      </c>
      <c r="H508" t="s">
        <v>327</v>
      </c>
      <c r="I508" s="20">
        <v>40694</v>
      </c>
      <c r="J508">
        <v>101</v>
      </c>
      <c r="L508" t="s">
        <v>109</v>
      </c>
      <c r="M508" t="s">
        <v>328</v>
      </c>
      <c r="N508" t="s">
        <v>329</v>
      </c>
      <c r="O508" t="s">
        <v>330</v>
      </c>
      <c r="P508" t="s">
        <v>331</v>
      </c>
      <c r="U508">
        <v>0.51</v>
      </c>
      <c r="V508">
        <v>0.246</v>
      </c>
      <c r="W508" t="s">
        <v>399</v>
      </c>
      <c r="Y508" t="s">
        <v>332</v>
      </c>
      <c r="AB508" t="s">
        <v>347</v>
      </c>
      <c r="AC508" t="s">
        <v>342</v>
      </c>
      <c r="AD508" s="34">
        <v>46.306741670000001</v>
      </c>
      <c r="AE508" s="34">
        <v>-84.060811670000007</v>
      </c>
      <c r="AF508" s="18">
        <v>40696.938888888886</v>
      </c>
      <c r="AG508" s="19">
        <v>40696.772222222222</v>
      </c>
      <c r="AH508" t="s">
        <v>161</v>
      </c>
      <c r="AL508" t="s">
        <v>335</v>
      </c>
      <c r="AM508" s="20">
        <v>40694</v>
      </c>
      <c r="AR508" s="39" t="s">
        <v>400</v>
      </c>
      <c r="AS508" s="39"/>
      <c r="AT508" s="39">
        <v>200</v>
      </c>
      <c r="AZ508" t="s">
        <v>108</v>
      </c>
      <c r="BC508" t="s">
        <v>336</v>
      </c>
    </row>
    <row r="509" spans="1:55" x14ac:dyDescent="0.25">
      <c r="A509" t="str">
        <f t="shared" si="7"/>
        <v>A69-1601-1275</v>
      </c>
      <c r="B509" t="s">
        <v>398</v>
      </c>
      <c r="C509" t="s">
        <v>324</v>
      </c>
      <c r="D509" t="s">
        <v>345</v>
      </c>
      <c r="F509">
        <v>1275</v>
      </c>
      <c r="G509" t="s">
        <v>346</v>
      </c>
      <c r="H509" t="s">
        <v>327</v>
      </c>
      <c r="I509" s="20">
        <v>40694</v>
      </c>
      <c r="J509">
        <v>101</v>
      </c>
      <c r="L509" t="s">
        <v>109</v>
      </c>
      <c r="M509" t="s">
        <v>328</v>
      </c>
      <c r="N509" t="s">
        <v>329</v>
      </c>
      <c r="O509" t="s">
        <v>330</v>
      </c>
      <c r="P509" t="s">
        <v>331</v>
      </c>
      <c r="U509">
        <v>0.49</v>
      </c>
      <c r="V509">
        <v>0.221</v>
      </c>
      <c r="W509" t="s">
        <v>399</v>
      </c>
      <c r="Y509" t="s">
        <v>332</v>
      </c>
      <c r="AB509" t="s">
        <v>347</v>
      </c>
      <c r="AC509" t="s">
        <v>342</v>
      </c>
      <c r="AD509" s="34">
        <v>46.306741670000001</v>
      </c>
      <c r="AE509" s="34">
        <v>-84.060811670000007</v>
      </c>
      <c r="AF509" s="18">
        <v>40696.938888888886</v>
      </c>
      <c r="AG509" s="19">
        <v>40696.772222222222</v>
      </c>
      <c r="AH509" t="s">
        <v>161</v>
      </c>
      <c r="AL509" t="s">
        <v>335</v>
      </c>
      <c r="AM509" s="20">
        <v>40694</v>
      </c>
      <c r="AR509" s="39" t="s">
        <v>400</v>
      </c>
      <c r="AS509" s="39"/>
      <c r="AT509" s="39">
        <v>200</v>
      </c>
      <c r="AZ509" t="s">
        <v>108</v>
      </c>
      <c r="BC509" t="s">
        <v>336</v>
      </c>
    </row>
    <row r="510" spans="1:55" x14ac:dyDescent="0.25">
      <c r="A510" t="str">
        <f t="shared" si="7"/>
        <v>A69-1601-1276</v>
      </c>
      <c r="B510" t="s">
        <v>398</v>
      </c>
      <c r="C510" t="s">
        <v>324</v>
      </c>
      <c r="D510" t="s">
        <v>345</v>
      </c>
      <c r="F510">
        <v>1276</v>
      </c>
      <c r="G510" t="s">
        <v>346</v>
      </c>
      <c r="H510" t="s">
        <v>327</v>
      </c>
      <c r="I510" s="20">
        <v>40694</v>
      </c>
      <c r="J510">
        <v>101</v>
      </c>
      <c r="L510" t="s">
        <v>109</v>
      </c>
      <c r="M510" t="s">
        <v>328</v>
      </c>
      <c r="N510" t="s">
        <v>329</v>
      </c>
      <c r="O510" t="s">
        <v>330</v>
      </c>
      <c r="P510" t="s">
        <v>331</v>
      </c>
      <c r="U510">
        <v>0.48</v>
      </c>
      <c r="V510">
        <v>0.192</v>
      </c>
      <c r="W510" t="s">
        <v>399</v>
      </c>
      <c r="Y510" t="s">
        <v>332</v>
      </c>
      <c r="AB510" t="s">
        <v>347</v>
      </c>
      <c r="AC510" t="s">
        <v>342</v>
      </c>
      <c r="AD510" s="34">
        <v>46.306741670000001</v>
      </c>
      <c r="AE510" s="34">
        <v>-84.060811670000007</v>
      </c>
      <c r="AF510" s="18">
        <v>40696.938888888886</v>
      </c>
      <c r="AG510" s="19">
        <v>40696.772222222222</v>
      </c>
      <c r="AH510" t="s">
        <v>161</v>
      </c>
      <c r="AL510" t="s">
        <v>335</v>
      </c>
      <c r="AM510" s="20">
        <v>40694</v>
      </c>
      <c r="AR510" s="39" t="s">
        <v>400</v>
      </c>
      <c r="AS510" s="39"/>
      <c r="AT510" s="39">
        <v>200</v>
      </c>
      <c r="AZ510" t="s">
        <v>108</v>
      </c>
      <c r="BC510" t="s">
        <v>336</v>
      </c>
    </row>
    <row r="511" spans="1:55" x14ac:dyDescent="0.25">
      <c r="A511" t="str">
        <f t="shared" si="7"/>
        <v>A69-1601-1277</v>
      </c>
      <c r="B511" t="s">
        <v>398</v>
      </c>
      <c r="C511" t="s">
        <v>324</v>
      </c>
      <c r="D511" t="s">
        <v>345</v>
      </c>
      <c r="F511">
        <v>1277</v>
      </c>
      <c r="G511" t="s">
        <v>346</v>
      </c>
      <c r="H511" t="s">
        <v>327</v>
      </c>
      <c r="I511" s="20">
        <v>40694</v>
      </c>
      <c r="J511">
        <v>101</v>
      </c>
      <c r="L511" t="s">
        <v>109</v>
      </c>
      <c r="M511" t="s">
        <v>328</v>
      </c>
      <c r="N511" t="s">
        <v>329</v>
      </c>
      <c r="O511" t="s">
        <v>330</v>
      </c>
      <c r="P511" t="s">
        <v>331</v>
      </c>
      <c r="U511">
        <v>0.54</v>
      </c>
      <c r="V511">
        <v>0.30199999999999999</v>
      </c>
      <c r="W511" t="s">
        <v>399</v>
      </c>
      <c r="Y511" t="s">
        <v>332</v>
      </c>
      <c r="AB511" t="s">
        <v>347</v>
      </c>
      <c r="AC511" t="s">
        <v>342</v>
      </c>
      <c r="AD511" s="34">
        <v>46.306741670000001</v>
      </c>
      <c r="AE511" s="34">
        <v>-84.060811670000007</v>
      </c>
      <c r="AF511" s="18">
        <v>40696.938888888886</v>
      </c>
      <c r="AG511" s="19">
        <v>40696.772222222222</v>
      </c>
      <c r="AH511" t="s">
        <v>161</v>
      </c>
      <c r="AL511" t="s">
        <v>335</v>
      </c>
      <c r="AM511" s="20">
        <v>40694</v>
      </c>
      <c r="AR511" s="39" t="s">
        <v>400</v>
      </c>
      <c r="AS511" s="39"/>
      <c r="AT511" s="39">
        <v>200</v>
      </c>
      <c r="AZ511" t="s">
        <v>108</v>
      </c>
      <c r="BC511" t="s">
        <v>336</v>
      </c>
    </row>
    <row r="512" spans="1:55" x14ac:dyDescent="0.25">
      <c r="A512" t="str">
        <f t="shared" si="7"/>
        <v>A69-1601-1278</v>
      </c>
      <c r="B512" t="s">
        <v>398</v>
      </c>
      <c r="C512" t="s">
        <v>324</v>
      </c>
      <c r="D512" t="s">
        <v>345</v>
      </c>
      <c r="F512">
        <v>1278</v>
      </c>
      <c r="G512" t="s">
        <v>346</v>
      </c>
      <c r="H512" t="s">
        <v>327</v>
      </c>
      <c r="I512" s="20">
        <v>40694</v>
      </c>
      <c r="J512">
        <v>101</v>
      </c>
      <c r="L512" t="s">
        <v>109</v>
      </c>
      <c r="M512" t="s">
        <v>328</v>
      </c>
      <c r="N512" t="s">
        <v>329</v>
      </c>
      <c r="O512" t="s">
        <v>330</v>
      </c>
      <c r="P512" t="s">
        <v>331</v>
      </c>
      <c r="U512">
        <v>0.51</v>
      </c>
      <c r="V512">
        <v>0.26300000000000001</v>
      </c>
      <c r="W512" t="s">
        <v>399</v>
      </c>
      <c r="Y512" t="s">
        <v>332</v>
      </c>
      <c r="AB512" t="s">
        <v>348</v>
      </c>
      <c r="AC512" t="s">
        <v>334</v>
      </c>
      <c r="AD512" s="34">
        <v>46.17166667</v>
      </c>
      <c r="AE512" s="34">
        <v>-84.078343329999996</v>
      </c>
      <c r="AF512" s="18">
        <v>40696.910416666666</v>
      </c>
      <c r="AG512" s="19">
        <v>40696.743750000001</v>
      </c>
      <c r="AH512" t="s">
        <v>161</v>
      </c>
      <c r="AL512" t="s">
        <v>335</v>
      </c>
      <c r="AM512" s="20">
        <v>40694</v>
      </c>
      <c r="AR512" s="39" t="s">
        <v>400</v>
      </c>
      <c r="AS512" s="39"/>
      <c r="AT512" s="39">
        <v>200</v>
      </c>
      <c r="AZ512" t="s">
        <v>108</v>
      </c>
      <c r="BC512" t="s">
        <v>336</v>
      </c>
    </row>
    <row r="513" spans="1:55" x14ac:dyDescent="0.25">
      <c r="A513" t="str">
        <f t="shared" si="7"/>
        <v>A69-1601-1279</v>
      </c>
      <c r="B513" t="s">
        <v>398</v>
      </c>
      <c r="C513" t="s">
        <v>324</v>
      </c>
      <c r="D513" t="s">
        <v>345</v>
      </c>
      <c r="F513">
        <v>1279</v>
      </c>
      <c r="G513" t="s">
        <v>346</v>
      </c>
      <c r="H513" t="s">
        <v>327</v>
      </c>
      <c r="I513" s="20">
        <v>40694</v>
      </c>
      <c r="J513">
        <v>101</v>
      </c>
      <c r="L513" t="s">
        <v>109</v>
      </c>
      <c r="M513" t="s">
        <v>328</v>
      </c>
      <c r="N513" t="s">
        <v>329</v>
      </c>
      <c r="O513" t="s">
        <v>330</v>
      </c>
      <c r="P513" t="s">
        <v>331</v>
      </c>
      <c r="U513">
        <v>0.5</v>
      </c>
      <c r="V513">
        <v>0.26100000000000001</v>
      </c>
      <c r="W513" t="s">
        <v>399</v>
      </c>
      <c r="Y513" t="s">
        <v>332</v>
      </c>
      <c r="AB513" t="s">
        <v>347</v>
      </c>
      <c r="AC513" t="s">
        <v>342</v>
      </c>
      <c r="AD513" s="34">
        <v>46.306741670000001</v>
      </c>
      <c r="AE513" s="34">
        <v>-84.060811670000007</v>
      </c>
      <c r="AF513" s="18">
        <v>40696.938888888886</v>
      </c>
      <c r="AG513" s="19">
        <v>40696.772222222222</v>
      </c>
      <c r="AH513" t="s">
        <v>161</v>
      </c>
      <c r="AL513" t="s">
        <v>335</v>
      </c>
      <c r="AM513" s="20">
        <v>40694</v>
      </c>
      <c r="AR513" s="39" t="s">
        <v>400</v>
      </c>
      <c r="AS513" s="39"/>
      <c r="AT513" s="39">
        <v>200</v>
      </c>
      <c r="AZ513" t="s">
        <v>108</v>
      </c>
      <c r="BC513" t="s">
        <v>336</v>
      </c>
    </row>
    <row r="514" spans="1:55" x14ac:dyDescent="0.25">
      <c r="A514" t="str">
        <f t="shared" si="7"/>
        <v>A69-1601-1280</v>
      </c>
      <c r="B514" t="s">
        <v>398</v>
      </c>
      <c r="C514" t="s">
        <v>324</v>
      </c>
      <c r="D514" t="s">
        <v>345</v>
      </c>
      <c r="F514">
        <v>1280</v>
      </c>
      <c r="G514" t="s">
        <v>346</v>
      </c>
      <c r="H514" t="s">
        <v>327</v>
      </c>
      <c r="I514" s="20">
        <v>40694</v>
      </c>
      <c r="J514">
        <v>101</v>
      </c>
      <c r="L514" t="s">
        <v>109</v>
      </c>
      <c r="M514" t="s">
        <v>328</v>
      </c>
      <c r="N514" t="s">
        <v>329</v>
      </c>
      <c r="O514" t="s">
        <v>330</v>
      </c>
      <c r="P514" t="s">
        <v>331</v>
      </c>
      <c r="U514">
        <v>0.54</v>
      </c>
      <c r="V514">
        <v>0.28999999999999998</v>
      </c>
      <c r="W514" t="s">
        <v>399</v>
      </c>
      <c r="Y514" t="s">
        <v>332</v>
      </c>
      <c r="AB514" t="s">
        <v>347</v>
      </c>
      <c r="AC514" t="s">
        <v>342</v>
      </c>
      <c r="AD514" s="34">
        <v>46.306741670000001</v>
      </c>
      <c r="AE514" s="34">
        <v>-84.060811670000007</v>
      </c>
      <c r="AF514" s="18">
        <v>40696.938888888886</v>
      </c>
      <c r="AG514" s="19">
        <v>40696.772222222222</v>
      </c>
      <c r="AH514" t="s">
        <v>161</v>
      </c>
      <c r="AL514" t="s">
        <v>335</v>
      </c>
      <c r="AM514" s="20">
        <v>40694</v>
      </c>
      <c r="AR514" s="39" t="s">
        <v>400</v>
      </c>
      <c r="AS514" s="39"/>
      <c r="AT514" s="39">
        <v>200</v>
      </c>
      <c r="AZ514" t="s">
        <v>108</v>
      </c>
      <c r="BC514" t="s">
        <v>336</v>
      </c>
    </row>
    <row r="515" spans="1:55" x14ac:dyDescent="0.25">
      <c r="A515" t="str">
        <f t="shared" si="7"/>
        <v>A69-1601-1281</v>
      </c>
      <c r="B515" t="s">
        <v>398</v>
      </c>
      <c r="C515" t="s">
        <v>324</v>
      </c>
      <c r="D515" t="s">
        <v>345</v>
      </c>
      <c r="F515">
        <v>1281</v>
      </c>
      <c r="G515" t="s">
        <v>346</v>
      </c>
      <c r="H515" t="s">
        <v>327</v>
      </c>
      <c r="I515" s="20">
        <v>40694</v>
      </c>
      <c r="J515">
        <v>101</v>
      </c>
      <c r="L515" t="s">
        <v>109</v>
      </c>
      <c r="M515" t="s">
        <v>328</v>
      </c>
      <c r="N515" t="s">
        <v>329</v>
      </c>
      <c r="O515" t="s">
        <v>330</v>
      </c>
      <c r="P515" t="s">
        <v>331</v>
      </c>
      <c r="U515">
        <v>0.53</v>
      </c>
      <c r="V515">
        <v>0.32100000000000001</v>
      </c>
      <c r="W515" t="s">
        <v>399</v>
      </c>
      <c r="Y515" t="s">
        <v>332</v>
      </c>
      <c r="AB515" t="s">
        <v>347</v>
      </c>
      <c r="AC515" t="s">
        <v>342</v>
      </c>
      <c r="AD515" s="34">
        <v>46.306741670000001</v>
      </c>
      <c r="AE515" s="34">
        <v>-84.060811670000007</v>
      </c>
      <c r="AF515" s="18">
        <v>40696.938888888886</v>
      </c>
      <c r="AG515" s="19">
        <v>40696.772222222222</v>
      </c>
      <c r="AH515" t="s">
        <v>161</v>
      </c>
      <c r="AL515" t="s">
        <v>335</v>
      </c>
      <c r="AM515" s="20">
        <v>40694</v>
      </c>
      <c r="AR515" s="39" t="s">
        <v>400</v>
      </c>
      <c r="AS515" s="39"/>
      <c r="AT515" s="39">
        <v>200</v>
      </c>
      <c r="AZ515" t="s">
        <v>108</v>
      </c>
      <c r="BC515" t="s">
        <v>336</v>
      </c>
    </row>
    <row r="516" spans="1:55" x14ac:dyDescent="0.25">
      <c r="A516" t="str">
        <f t="shared" ref="A516:A579" si="8">CONCATENATE(G516,"-",F516)</f>
        <v>A69-1601-1282</v>
      </c>
      <c r="B516" t="s">
        <v>398</v>
      </c>
      <c r="C516" t="s">
        <v>324</v>
      </c>
      <c r="D516" t="s">
        <v>345</v>
      </c>
      <c r="F516">
        <v>1282</v>
      </c>
      <c r="G516" t="s">
        <v>346</v>
      </c>
      <c r="H516" t="s">
        <v>327</v>
      </c>
      <c r="I516" s="20">
        <v>40694</v>
      </c>
      <c r="J516">
        <v>101</v>
      </c>
      <c r="L516" t="s">
        <v>109</v>
      </c>
      <c r="M516" t="s">
        <v>328</v>
      </c>
      <c r="N516" t="s">
        <v>329</v>
      </c>
      <c r="O516" t="s">
        <v>330</v>
      </c>
      <c r="P516" t="s">
        <v>331</v>
      </c>
      <c r="U516">
        <v>0.51</v>
      </c>
      <c r="V516">
        <v>0.26100000000000001</v>
      </c>
      <c r="W516" t="s">
        <v>399</v>
      </c>
      <c r="Y516" t="s">
        <v>337</v>
      </c>
      <c r="AB516" t="s">
        <v>347</v>
      </c>
      <c r="AC516" t="s">
        <v>342</v>
      </c>
      <c r="AD516" s="34">
        <v>46.306741670000001</v>
      </c>
      <c r="AE516" s="34">
        <v>-84.060811670000007</v>
      </c>
      <c r="AF516" s="18">
        <v>40696.938888888886</v>
      </c>
      <c r="AG516" s="19">
        <v>40696.772222222222</v>
      </c>
      <c r="AH516" t="s">
        <v>161</v>
      </c>
      <c r="AL516" t="s">
        <v>335</v>
      </c>
      <c r="AM516" s="20">
        <v>40694</v>
      </c>
      <c r="AR516" s="39" t="s">
        <v>400</v>
      </c>
      <c r="AS516" s="39"/>
      <c r="AT516" s="39">
        <v>200</v>
      </c>
      <c r="AZ516" t="s">
        <v>108</v>
      </c>
      <c r="BC516" t="s">
        <v>336</v>
      </c>
    </row>
    <row r="517" spans="1:55" x14ac:dyDescent="0.25">
      <c r="A517" t="str">
        <f t="shared" si="8"/>
        <v>A69-1601-1283</v>
      </c>
      <c r="B517" t="s">
        <v>398</v>
      </c>
      <c r="C517" t="s">
        <v>324</v>
      </c>
      <c r="D517" t="s">
        <v>345</v>
      </c>
      <c r="F517">
        <v>1283</v>
      </c>
      <c r="G517" t="s">
        <v>346</v>
      </c>
      <c r="H517" t="s">
        <v>327</v>
      </c>
      <c r="I517" s="20">
        <v>40694</v>
      </c>
      <c r="J517">
        <v>101</v>
      </c>
      <c r="L517" t="s">
        <v>109</v>
      </c>
      <c r="M517" t="s">
        <v>328</v>
      </c>
      <c r="N517" t="s">
        <v>329</v>
      </c>
      <c r="O517" t="s">
        <v>330</v>
      </c>
      <c r="P517" t="s">
        <v>331</v>
      </c>
      <c r="U517">
        <v>0.46</v>
      </c>
      <c r="V517">
        <v>0.20300000000000001</v>
      </c>
      <c r="W517" t="s">
        <v>399</v>
      </c>
      <c r="Y517" t="s">
        <v>332</v>
      </c>
      <c r="AB517" t="s">
        <v>347</v>
      </c>
      <c r="AC517" t="s">
        <v>342</v>
      </c>
      <c r="AD517" s="34">
        <v>46.306741670000001</v>
      </c>
      <c r="AE517" s="34">
        <v>-84.060811670000007</v>
      </c>
      <c r="AF517" s="18">
        <v>40696.938888888886</v>
      </c>
      <c r="AG517" s="19">
        <v>40696.772222222222</v>
      </c>
      <c r="AH517" t="s">
        <v>161</v>
      </c>
      <c r="AL517" t="s">
        <v>335</v>
      </c>
      <c r="AM517" s="20">
        <v>40694</v>
      </c>
      <c r="AR517" s="39" t="s">
        <v>400</v>
      </c>
      <c r="AS517" s="39"/>
      <c r="AT517" s="39">
        <v>200</v>
      </c>
      <c r="AZ517" t="s">
        <v>108</v>
      </c>
      <c r="BC517" t="s">
        <v>336</v>
      </c>
    </row>
    <row r="518" spans="1:55" x14ac:dyDescent="0.25">
      <c r="A518" t="str">
        <f t="shared" si="8"/>
        <v>A69-1601-1284</v>
      </c>
      <c r="B518" t="s">
        <v>398</v>
      </c>
      <c r="C518" t="s">
        <v>324</v>
      </c>
      <c r="D518" t="s">
        <v>345</v>
      </c>
      <c r="F518">
        <v>1284</v>
      </c>
      <c r="G518" t="s">
        <v>346</v>
      </c>
      <c r="H518" t="s">
        <v>327</v>
      </c>
      <c r="I518" s="20">
        <v>40694</v>
      </c>
      <c r="J518">
        <v>101</v>
      </c>
      <c r="L518" t="s">
        <v>109</v>
      </c>
      <c r="M518" t="s">
        <v>328</v>
      </c>
      <c r="N518" t="s">
        <v>329</v>
      </c>
      <c r="O518" t="s">
        <v>330</v>
      </c>
      <c r="P518" t="s">
        <v>331</v>
      </c>
      <c r="U518">
        <v>0.5</v>
      </c>
      <c r="V518">
        <v>0.26600000000000001</v>
      </c>
      <c r="W518" t="s">
        <v>399</v>
      </c>
      <c r="Y518" t="s">
        <v>332</v>
      </c>
      <c r="AB518" t="s">
        <v>347</v>
      </c>
      <c r="AC518" t="s">
        <v>342</v>
      </c>
      <c r="AD518" s="34">
        <v>46.306741670000001</v>
      </c>
      <c r="AE518" s="34">
        <v>-84.060811670000007</v>
      </c>
      <c r="AF518" s="18">
        <v>40696.938888888886</v>
      </c>
      <c r="AG518" s="19">
        <v>40696.772222222222</v>
      </c>
      <c r="AH518" t="s">
        <v>161</v>
      </c>
      <c r="AL518" t="s">
        <v>335</v>
      </c>
      <c r="AM518" s="20">
        <v>40694</v>
      </c>
      <c r="AR518" s="39" t="s">
        <v>400</v>
      </c>
      <c r="AS518" s="39"/>
      <c r="AT518" s="39">
        <v>200</v>
      </c>
      <c r="AZ518" t="s">
        <v>108</v>
      </c>
      <c r="BC518" t="s">
        <v>336</v>
      </c>
    </row>
    <row r="519" spans="1:55" x14ac:dyDescent="0.25">
      <c r="A519" t="str">
        <f t="shared" si="8"/>
        <v>A69-1601-1285</v>
      </c>
      <c r="B519" t="s">
        <v>398</v>
      </c>
      <c r="C519" t="s">
        <v>324</v>
      </c>
      <c r="D519" t="s">
        <v>345</v>
      </c>
      <c r="F519">
        <v>1285</v>
      </c>
      <c r="G519" t="s">
        <v>346</v>
      </c>
      <c r="H519" t="s">
        <v>327</v>
      </c>
      <c r="I519" s="20">
        <v>40694</v>
      </c>
      <c r="J519">
        <v>101</v>
      </c>
      <c r="L519" t="s">
        <v>109</v>
      </c>
      <c r="M519" t="s">
        <v>328</v>
      </c>
      <c r="N519" t="s">
        <v>329</v>
      </c>
      <c r="O519" t="s">
        <v>330</v>
      </c>
      <c r="P519" t="s">
        <v>331</v>
      </c>
      <c r="U519">
        <v>0.5</v>
      </c>
      <c r="V519">
        <v>0.252</v>
      </c>
      <c r="W519" t="s">
        <v>399</v>
      </c>
      <c r="Y519" t="s">
        <v>332</v>
      </c>
      <c r="AB519" t="s">
        <v>347</v>
      </c>
      <c r="AC519" t="s">
        <v>342</v>
      </c>
      <c r="AD519" s="34">
        <v>46.306741670000001</v>
      </c>
      <c r="AE519" s="34">
        <v>-84.060811670000007</v>
      </c>
      <c r="AF519" s="18">
        <v>40696.938888888886</v>
      </c>
      <c r="AG519" s="19">
        <v>40696.772222222222</v>
      </c>
      <c r="AH519" t="s">
        <v>161</v>
      </c>
      <c r="AL519" t="s">
        <v>335</v>
      </c>
      <c r="AM519" s="20">
        <v>40694</v>
      </c>
      <c r="AR519" s="39" t="s">
        <v>400</v>
      </c>
      <c r="AS519" s="39"/>
      <c r="AT519" s="39">
        <v>200</v>
      </c>
      <c r="AZ519" t="s">
        <v>108</v>
      </c>
      <c r="BC519" t="s">
        <v>336</v>
      </c>
    </row>
    <row r="520" spans="1:55" x14ac:dyDescent="0.25">
      <c r="A520" t="str">
        <f t="shared" si="8"/>
        <v>A69-1601-1287</v>
      </c>
      <c r="B520" t="s">
        <v>398</v>
      </c>
      <c r="C520" t="s">
        <v>324</v>
      </c>
      <c r="D520" t="s">
        <v>345</v>
      </c>
      <c r="F520">
        <v>1287</v>
      </c>
      <c r="G520" t="s">
        <v>346</v>
      </c>
      <c r="H520" t="s">
        <v>327</v>
      </c>
      <c r="I520" s="20">
        <v>40694</v>
      </c>
      <c r="J520">
        <v>101</v>
      </c>
      <c r="L520" t="s">
        <v>109</v>
      </c>
      <c r="M520" t="s">
        <v>328</v>
      </c>
      <c r="N520" t="s">
        <v>329</v>
      </c>
      <c r="O520" t="s">
        <v>330</v>
      </c>
      <c r="P520" t="s">
        <v>331</v>
      </c>
      <c r="U520">
        <v>0.52</v>
      </c>
      <c r="V520">
        <v>0.28299999999999997</v>
      </c>
      <c r="W520" t="s">
        <v>399</v>
      </c>
      <c r="Y520" t="s">
        <v>337</v>
      </c>
      <c r="AB520" t="s">
        <v>347</v>
      </c>
      <c r="AC520" t="s">
        <v>342</v>
      </c>
      <c r="AD520" s="34">
        <v>46.306741670000001</v>
      </c>
      <c r="AE520" s="34">
        <v>-84.060811670000007</v>
      </c>
      <c r="AF520" s="18">
        <v>40696.938888888886</v>
      </c>
      <c r="AG520" s="19">
        <v>40696.772222222222</v>
      </c>
      <c r="AH520" t="s">
        <v>161</v>
      </c>
      <c r="AL520" t="s">
        <v>335</v>
      </c>
      <c r="AM520" s="20">
        <v>40694</v>
      </c>
      <c r="AR520" s="39" t="s">
        <v>400</v>
      </c>
      <c r="AS520" s="39"/>
      <c r="AT520" s="39">
        <v>200</v>
      </c>
      <c r="AZ520" t="s">
        <v>108</v>
      </c>
      <c r="BC520" t="s">
        <v>336</v>
      </c>
    </row>
    <row r="521" spans="1:55" x14ac:dyDescent="0.25">
      <c r="A521" t="str">
        <f t="shared" si="8"/>
        <v>A69-1601-1288</v>
      </c>
      <c r="B521" t="s">
        <v>398</v>
      </c>
      <c r="C521" t="s">
        <v>324</v>
      </c>
      <c r="D521" t="s">
        <v>345</v>
      </c>
      <c r="F521">
        <v>1288</v>
      </c>
      <c r="G521" t="s">
        <v>346</v>
      </c>
      <c r="H521" t="s">
        <v>327</v>
      </c>
      <c r="I521" s="20">
        <v>40694</v>
      </c>
      <c r="J521">
        <v>101</v>
      </c>
      <c r="L521" t="s">
        <v>109</v>
      </c>
      <c r="M521" t="s">
        <v>328</v>
      </c>
      <c r="N521" t="s">
        <v>329</v>
      </c>
      <c r="O521" t="s">
        <v>330</v>
      </c>
      <c r="P521" t="s">
        <v>331</v>
      </c>
      <c r="U521">
        <v>0.53</v>
      </c>
      <c r="V521">
        <v>0.29099999999999998</v>
      </c>
      <c r="W521" t="s">
        <v>399</v>
      </c>
      <c r="Y521" t="s">
        <v>332</v>
      </c>
      <c r="AB521" t="s">
        <v>347</v>
      </c>
      <c r="AC521" t="s">
        <v>342</v>
      </c>
      <c r="AD521" s="34">
        <v>46.306741670000001</v>
      </c>
      <c r="AE521" s="34">
        <v>-84.060811670000007</v>
      </c>
      <c r="AF521" s="18">
        <v>40696.938888888886</v>
      </c>
      <c r="AG521" s="19">
        <v>40696.772222222222</v>
      </c>
      <c r="AH521" t="s">
        <v>161</v>
      </c>
      <c r="AL521" t="s">
        <v>335</v>
      </c>
      <c r="AM521" s="20">
        <v>40694</v>
      </c>
      <c r="AR521" s="39" t="s">
        <v>400</v>
      </c>
      <c r="AS521" s="39"/>
      <c r="AT521" s="39">
        <v>200</v>
      </c>
      <c r="AZ521" t="s">
        <v>108</v>
      </c>
      <c r="BC521" t="s">
        <v>336</v>
      </c>
    </row>
    <row r="522" spans="1:55" x14ac:dyDescent="0.25">
      <c r="A522" t="str">
        <f t="shared" si="8"/>
        <v>A69-1601-1289</v>
      </c>
      <c r="B522" t="s">
        <v>398</v>
      </c>
      <c r="C522" t="s">
        <v>324</v>
      </c>
      <c r="D522" t="s">
        <v>345</v>
      </c>
      <c r="F522">
        <v>1289</v>
      </c>
      <c r="G522" t="s">
        <v>346</v>
      </c>
      <c r="H522" t="s">
        <v>327</v>
      </c>
      <c r="I522" s="20">
        <v>40694</v>
      </c>
      <c r="J522">
        <v>101</v>
      </c>
      <c r="L522" t="s">
        <v>109</v>
      </c>
      <c r="M522" t="s">
        <v>328</v>
      </c>
      <c r="N522" t="s">
        <v>329</v>
      </c>
      <c r="O522" t="s">
        <v>330</v>
      </c>
      <c r="P522" t="s">
        <v>331</v>
      </c>
      <c r="U522">
        <v>0.45</v>
      </c>
      <c r="V522">
        <v>0.19</v>
      </c>
      <c r="W522" t="s">
        <v>399</v>
      </c>
      <c r="Y522" t="s">
        <v>332</v>
      </c>
      <c r="AB522" t="s">
        <v>347</v>
      </c>
      <c r="AC522" t="s">
        <v>342</v>
      </c>
      <c r="AD522" s="34">
        <v>46.306741670000001</v>
      </c>
      <c r="AE522" s="34">
        <v>-84.060811670000007</v>
      </c>
      <c r="AF522" s="18">
        <v>40696.938888888886</v>
      </c>
      <c r="AG522" s="19">
        <v>40696.772222222222</v>
      </c>
      <c r="AH522" t="s">
        <v>161</v>
      </c>
      <c r="AL522" t="s">
        <v>335</v>
      </c>
      <c r="AM522" s="20">
        <v>40694</v>
      </c>
      <c r="AR522" s="39" t="s">
        <v>400</v>
      </c>
      <c r="AS522" s="39"/>
      <c r="AT522" s="39">
        <v>200</v>
      </c>
      <c r="AZ522" t="s">
        <v>108</v>
      </c>
      <c r="BC522" t="s">
        <v>336</v>
      </c>
    </row>
    <row r="523" spans="1:55" x14ac:dyDescent="0.25">
      <c r="A523" t="str">
        <f t="shared" si="8"/>
        <v>A69-1601-1290</v>
      </c>
      <c r="B523" t="s">
        <v>398</v>
      </c>
      <c r="C523" t="s">
        <v>324</v>
      </c>
      <c r="D523" t="s">
        <v>345</v>
      </c>
      <c r="F523">
        <v>1290</v>
      </c>
      <c r="G523" t="s">
        <v>346</v>
      </c>
      <c r="H523" t="s">
        <v>327</v>
      </c>
      <c r="I523" s="20">
        <v>40694</v>
      </c>
      <c r="J523">
        <v>101</v>
      </c>
      <c r="L523" t="s">
        <v>109</v>
      </c>
      <c r="M523" t="s">
        <v>328</v>
      </c>
      <c r="N523" t="s">
        <v>329</v>
      </c>
      <c r="O523" t="s">
        <v>330</v>
      </c>
      <c r="P523" t="s">
        <v>331</v>
      </c>
      <c r="U523">
        <v>0.5</v>
      </c>
      <c r="V523">
        <v>0.23100000000000001</v>
      </c>
      <c r="W523" t="s">
        <v>399</v>
      </c>
      <c r="Y523" t="s">
        <v>332</v>
      </c>
      <c r="AB523" t="s">
        <v>347</v>
      </c>
      <c r="AC523" t="s">
        <v>342</v>
      </c>
      <c r="AD523" s="34">
        <v>46.306741670000001</v>
      </c>
      <c r="AE523" s="34">
        <v>-84.060811670000007</v>
      </c>
      <c r="AF523" s="18">
        <v>40696.938888888886</v>
      </c>
      <c r="AG523" s="19">
        <v>40696.772222222222</v>
      </c>
      <c r="AH523" t="s">
        <v>161</v>
      </c>
      <c r="AL523" t="s">
        <v>335</v>
      </c>
      <c r="AM523" s="20">
        <v>40694</v>
      </c>
      <c r="AR523" s="39" t="s">
        <v>400</v>
      </c>
      <c r="AS523" s="39"/>
      <c r="AT523" s="39">
        <v>200</v>
      </c>
      <c r="AZ523" t="s">
        <v>108</v>
      </c>
      <c r="BC523" t="s">
        <v>336</v>
      </c>
    </row>
    <row r="524" spans="1:55" x14ac:dyDescent="0.25">
      <c r="A524" t="str">
        <f t="shared" si="8"/>
        <v>A69-1601-1291</v>
      </c>
      <c r="B524" t="s">
        <v>398</v>
      </c>
      <c r="C524" t="s">
        <v>324</v>
      </c>
      <c r="D524" t="s">
        <v>345</v>
      </c>
      <c r="F524">
        <v>1291</v>
      </c>
      <c r="G524" t="s">
        <v>346</v>
      </c>
      <c r="H524" t="s">
        <v>327</v>
      </c>
      <c r="I524" s="20">
        <v>40694</v>
      </c>
      <c r="J524">
        <v>101</v>
      </c>
      <c r="L524" t="s">
        <v>109</v>
      </c>
      <c r="M524" t="s">
        <v>328</v>
      </c>
      <c r="N524" t="s">
        <v>329</v>
      </c>
      <c r="O524" t="s">
        <v>330</v>
      </c>
      <c r="P524" t="s">
        <v>331</v>
      </c>
      <c r="U524">
        <v>0.53</v>
      </c>
      <c r="V524">
        <v>0.29299999999999998</v>
      </c>
      <c r="W524" t="s">
        <v>399</v>
      </c>
      <c r="Y524" t="s">
        <v>332</v>
      </c>
      <c r="AB524" t="s">
        <v>347</v>
      </c>
      <c r="AC524" t="s">
        <v>342</v>
      </c>
      <c r="AD524" s="34">
        <v>46.306741670000001</v>
      </c>
      <c r="AE524" s="34">
        <v>-84.060811670000007</v>
      </c>
      <c r="AF524" s="18">
        <v>40696.938888888886</v>
      </c>
      <c r="AG524" s="19">
        <v>40696.772222222222</v>
      </c>
      <c r="AH524" t="s">
        <v>161</v>
      </c>
      <c r="AL524" t="s">
        <v>335</v>
      </c>
      <c r="AM524" s="20">
        <v>40694</v>
      </c>
      <c r="AR524" s="39" t="s">
        <v>400</v>
      </c>
      <c r="AS524" s="39"/>
      <c r="AT524" s="39">
        <v>200</v>
      </c>
      <c r="AZ524" t="s">
        <v>108</v>
      </c>
      <c r="BC524" t="s">
        <v>336</v>
      </c>
    </row>
    <row r="525" spans="1:55" x14ac:dyDescent="0.25">
      <c r="A525" t="str">
        <f t="shared" si="8"/>
        <v>A69-1601-1292</v>
      </c>
      <c r="B525" t="s">
        <v>398</v>
      </c>
      <c r="C525" t="s">
        <v>324</v>
      </c>
      <c r="D525" t="s">
        <v>345</v>
      </c>
      <c r="F525">
        <v>1292</v>
      </c>
      <c r="G525" t="s">
        <v>346</v>
      </c>
      <c r="H525" t="s">
        <v>327</v>
      </c>
      <c r="I525" s="20">
        <v>40694</v>
      </c>
      <c r="J525">
        <v>101</v>
      </c>
      <c r="L525" t="s">
        <v>109</v>
      </c>
      <c r="M525" t="s">
        <v>328</v>
      </c>
      <c r="N525" t="s">
        <v>329</v>
      </c>
      <c r="O525" t="s">
        <v>330</v>
      </c>
      <c r="P525" t="s">
        <v>331</v>
      </c>
      <c r="U525">
        <v>0.54</v>
      </c>
      <c r="V525">
        <v>0.317</v>
      </c>
      <c r="W525" t="s">
        <v>399</v>
      </c>
      <c r="Y525" t="s">
        <v>332</v>
      </c>
      <c r="AB525" t="s">
        <v>347</v>
      </c>
      <c r="AC525" t="s">
        <v>342</v>
      </c>
      <c r="AD525" s="34">
        <v>46.306741670000001</v>
      </c>
      <c r="AE525" s="34">
        <v>-84.060811670000007</v>
      </c>
      <c r="AF525" s="18">
        <v>40696.938888888886</v>
      </c>
      <c r="AG525" s="19">
        <v>40696.772222222222</v>
      </c>
      <c r="AH525" t="s">
        <v>161</v>
      </c>
      <c r="AL525" t="s">
        <v>335</v>
      </c>
      <c r="AM525" s="20">
        <v>40694</v>
      </c>
      <c r="AR525" s="39" t="s">
        <v>400</v>
      </c>
      <c r="AS525" s="39"/>
      <c r="AT525" s="39">
        <v>200</v>
      </c>
      <c r="AZ525" t="s">
        <v>108</v>
      </c>
      <c r="BC525" t="s">
        <v>336</v>
      </c>
    </row>
    <row r="526" spans="1:55" x14ac:dyDescent="0.25">
      <c r="A526" t="str">
        <f t="shared" si="8"/>
        <v>A69-1601-1293</v>
      </c>
      <c r="B526" t="s">
        <v>398</v>
      </c>
      <c r="C526" t="s">
        <v>324</v>
      </c>
      <c r="D526" t="s">
        <v>345</v>
      </c>
      <c r="F526">
        <v>1293</v>
      </c>
      <c r="G526" t="s">
        <v>346</v>
      </c>
      <c r="H526" t="s">
        <v>327</v>
      </c>
      <c r="I526" s="20">
        <v>40694</v>
      </c>
      <c r="J526">
        <v>101</v>
      </c>
      <c r="L526" t="s">
        <v>109</v>
      </c>
      <c r="M526" t="s">
        <v>328</v>
      </c>
      <c r="N526" t="s">
        <v>329</v>
      </c>
      <c r="O526" t="s">
        <v>330</v>
      </c>
      <c r="P526" t="s">
        <v>331</v>
      </c>
      <c r="U526">
        <v>0.43</v>
      </c>
      <c r="V526">
        <v>0.185</v>
      </c>
      <c r="W526" t="s">
        <v>399</v>
      </c>
      <c r="Y526" t="s">
        <v>337</v>
      </c>
      <c r="AB526" t="s">
        <v>347</v>
      </c>
      <c r="AC526" t="s">
        <v>342</v>
      </c>
      <c r="AD526" s="34">
        <v>46.306741670000001</v>
      </c>
      <c r="AE526" s="34">
        <v>-84.060811670000007</v>
      </c>
      <c r="AF526" s="18">
        <v>40696.938888888886</v>
      </c>
      <c r="AG526" s="19">
        <v>40696.772222222222</v>
      </c>
      <c r="AH526" t="s">
        <v>161</v>
      </c>
      <c r="AL526" t="s">
        <v>335</v>
      </c>
      <c r="AM526" s="20">
        <v>40694</v>
      </c>
      <c r="AR526" s="39" t="s">
        <v>400</v>
      </c>
      <c r="AS526" s="39"/>
      <c r="AT526" s="39">
        <v>200</v>
      </c>
      <c r="AZ526" t="s">
        <v>108</v>
      </c>
      <c r="BC526" t="s">
        <v>336</v>
      </c>
    </row>
    <row r="527" spans="1:55" x14ac:dyDescent="0.25">
      <c r="A527" t="str">
        <f t="shared" si="8"/>
        <v>A69-1601-1294</v>
      </c>
      <c r="B527" t="s">
        <v>398</v>
      </c>
      <c r="C527" t="s">
        <v>324</v>
      </c>
      <c r="D527" t="s">
        <v>345</v>
      </c>
      <c r="F527">
        <v>1294</v>
      </c>
      <c r="G527" t="s">
        <v>346</v>
      </c>
      <c r="H527" t="s">
        <v>327</v>
      </c>
      <c r="I527" s="20">
        <v>40694</v>
      </c>
      <c r="J527">
        <v>101</v>
      </c>
      <c r="L527" t="s">
        <v>109</v>
      </c>
      <c r="M527" t="s">
        <v>328</v>
      </c>
      <c r="N527" t="s">
        <v>329</v>
      </c>
      <c r="O527" t="s">
        <v>330</v>
      </c>
      <c r="P527" t="s">
        <v>331</v>
      </c>
      <c r="U527">
        <v>0.48</v>
      </c>
      <c r="V527">
        <v>0.21</v>
      </c>
      <c r="W527" t="s">
        <v>399</v>
      </c>
      <c r="Y527" t="s">
        <v>337</v>
      </c>
      <c r="AB527" t="s">
        <v>347</v>
      </c>
      <c r="AC527" t="s">
        <v>342</v>
      </c>
      <c r="AD527" s="34">
        <v>46.306741670000001</v>
      </c>
      <c r="AE527" s="34">
        <v>-84.060811670000007</v>
      </c>
      <c r="AF527" s="18">
        <v>40696.938888888886</v>
      </c>
      <c r="AG527" s="19">
        <v>40696.772222222222</v>
      </c>
      <c r="AH527" t="s">
        <v>161</v>
      </c>
      <c r="AL527" t="s">
        <v>335</v>
      </c>
      <c r="AM527" s="20">
        <v>40694</v>
      </c>
      <c r="AR527" s="39" t="s">
        <v>400</v>
      </c>
      <c r="AS527" s="39"/>
      <c r="AT527" s="39">
        <v>200</v>
      </c>
      <c r="AZ527" t="s">
        <v>108</v>
      </c>
      <c r="BC527" t="s">
        <v>336</v>
      </c>
    </row>
    <row r="528" spans="1:55" x14ac:dyDescent="0.25">
      <c r="A528" t="str">
        <f t="shared" si="8"/>
        <v>A69-1601-1295</v>
      </c>
      <c r="B528" t="s">
        <v>398</v>
      </c>
      <c r="C528" t="s">
        <v>324</v>
      </c>
      <c r="D528" t="s">
        <v>345</v>
      </c>
      <c r="F528">
        <v>1295</v>
      </c>
      <c r="G528" t="s">
        <v>346</v>
      </c>
      <c r="H528" t="s">
        <v>327</v>
      </c>
      <c r="I528" s="20">
        <v>40694</v>
      </c>
      <c r="J528">
        <v>101</v>
      </c>
      <c r="L528" t="s">
        <v>109</v>
      </c>
      <c r="M528" t="s">
        <v>328</v>
      </c>
      <c r="N528" t="s">
        <v>329</v>
      </c>
      <c r="O528" t="s">
        <v>330</v>
      </c>
      <c r="P528" t="s">
        <v>331</v>
      </c>
      <c r="U528">
        <v>0.52</v>
      </c>
      <c r="V528">
        <v>0.32200000000000001</v>
      </c>
      <c r="W528" t="s">
        <v>399</v>
      </c>
      <c r="Y528" t="s">
        <v>337</v>
      </c>
      <c r="AB528" t="s">
        <v>347</v>
      </c>
      <c r="AC528" t="s">
        <v>342</v>
      </c>
      <c r="AD528" s="34">
        <v>46.306741670000001</v>
      </c>
      <c r="AE528" s="34">
        <v>-84.060811670000007</v>
      </c>
      <c r="AF528" s="18">
        <v>40696.938888888886</v>
      </c>
      <c r="AG528" s="19">
        <v>40696.772222222222</v>
      </c>
      <c r="AH528" t="s">
        <v>161</v>
      </c>
      <c r="AL528" t="s">
        <v>335</v>
      </c>
      <c r="AM528" s="20">
        <v>40694</v>
      </c>
      <c r="AR528" s="39" t="s">
        <v>400</v>
      </c>
      <c r="AS528" s="39"/>
      <c r="AT528" s="39">
        <v>200</v>
      </c>
      <c r="AZ528" t="s">
        <v>108</v>
      </c>
      <c r="BC528" t="s">
        <v>336</v>
      </c>
    </row>
    <row r="529" spans="1:55" x14ac:dyDescent="0.25">
      <c r="A529" t="str">
        <f t="shared" si="8"/>
        <v>A69-1601-1296</v>
      </c>
      <c r="B529" t="s">
        <v>398</v>
      </c>
      <c r="C529" t="s">
        <v>324</v>
      </c>
      <c r="D529" t="s">
        <v>345</v>
      </c>
      <c r="F529">
        <v>1296</v>
      </c>
      <c r="G529" t="s">
        <v>346</v>
      </c>
      <c r="H529" t="s">
        <v>327</v>
      </c>
      <c r="I529" s="20">
        <v>40694</v>
      </c>
      <c r="J529">
        <v>101</v>
      </c>
      <c r="L529" t="s">
        <v>109</v>
      </c>
      <c r="M529" t="s">
        <v>328</v>
      </c>
      <c r="N529" t="s">
        <v>329</v>
      </c>
      <c r="O529" t="s">
        <v>330</v>
      </c>
      <c r="P529" t="s">
        <v>331</v>
      </c>
      <c r="U529">
        <v>0.52</v>
      </c>
      <c r="V529">
        <v>0.29399999999999998</v>
      </c>
      <c r="W529" t="s">
        <v>399</v>
      </c>
      <c r="Y529" t="s">
        <v>332</v>
      </c>
      <c r="AB529" t="s">
        <v>347</v>
      </c>
      <c r="AC529" t="s">
        <v>342</v>
      </c>
      <c r="AD529" s="34">
        <v>46.306741670000001</v>
      </c>
      <c r="AE529" s="34">
        <v>-84.060811670000007</v>
      </c>
      <c r="AF529" s="18">
        <v>40696.938888888886</v>
      </c>
      <c r="AG529" s="19">
        <v>40696.772222222222</v>
      </c>
      <c r="AH529" t="s">
        <v>161</v>
      </c>
      <c r="AL529" t="s">
        <v>335</v>
      </c>
      <c r="AM529" s="20">
        <v>40694</v>
      </c>
      <c r="AR529" s="39" t="s">
        <v>400</v>
      </c>
      <c r="AS529" s="39"/>
      <c r="AT529" s="39">
        <v>200</v>
      </c>
      <c r="AZ529" t="s">
        <v>108</v>
      </c>
      <c r="BC529" t="s">
        <v>336</v>
      </c>
    </row>
    <row r="530" spans="1:55" x14ac:dyDescent="0.25">
      <c r="A530" t="str">
        <f t="shared" si="8"/>
        <v>A69-1601-1297</v>
      </c>
      <c r="B530" t="s">
        <v>398</v>
      </c>
      <c r="C530" t="s">
        <v>324</v>
      </c>
      <c r="D530" t="s">
        <v>345</v>
      </c>
      <c r="F530">
        <v>1297</v>
      </c>
      <c r="G530" t="s">
        <v>346</v>
      </c>
      <c r="H530" t="s">
        <v>327</v>
      </c>
      <c r="I530" s="20">
        <v>40694</v>
      </c>
      <c r="J530">
        <v>101</v>
      </c>
      <c r="L530" t="s">
        <v>109</v>
      </c>
      <c r="M530" t="s">
        <v>328</v>
      </c>
      <c r="N530" t="s">
        <v>329</v>
      </c>
      <c r="O530" t="s">
        <v>330</v>
      </c>
      <c r="P530" t="s">
        <v>331</v>
      </c>
      <c r="U530">
        <v>0.48</v>
      </c>
      <c r="V530">
        <v>0.23699999999999999</v>
      </c>
      <c r="W530" t="s">
        <v>399</v>
      </c>
      <c r="Y530" t="s">
        <v>337</v>
      </c>
      <c r="AB530" t="s">
        <v>347</v>
      </c>
      <c r="AC530" t="s">
        <v>342</v>
      </c>
      <c r="AD530" s="34">
        <v>46.306741670000001</v>
      </c>
      <c r="AE530" s="34">
        <v>-84.060811670000007</v>
      </c>
      <c r="AF530" s="18">
        <v>40696.938888888886</v>
      </c>
      <c r="AG530" s="19">
        <v>40696.772222222222</v>
      </c>
      <c r="AH530" t="s">
        <v>161</v>
      </c>
      <c r="AL530" t="s">
        <v>335</v>
      </c>
      <c r="AM530" s="20">
        <v>40694</v>
      </c>
      <c r="AR530" s="39" t="s">
        <v>400</v>
      </c>
      <c r="AS530" s="39"/>
      <c r="AT530" s="39">
        <v>200</v>
      </c>
      <c r="AZ530" t="s">
        <v>108</v>
      </c>
      <c r="BC530" t="s">
        <v>336</v>
      </c>
    </row>
    <row r="531" spans="1:55" x14ac:dyDescent="0.25">
      <c r="A531" t="str">
        <f t="shared" si="8"/>
        <v>A69-1601-1298</v>
      </c>
      <c r="B531" t="s">
        <v>398</v>
      </c>
      <c r="C531" t="s">
        <v>324</v>
      </c>
      <c r="D531" t="s">
        <v>345</v>
      </c>
      <c r="F531">
        <v>1298</v>
      </c>
      <c r="G531" t="s">
        <v>346</v>
      </c>
      <c r="H531" t="s">
        <v>327</v>
      </c>
      <c r="I531" s="20">
        <v>40694</v>
      </c>
      <c r="J531">
        <v>101</v>
      </c>
      <c r="L531" t="s">
        <v>109</v>
      </c>
      <c r="M531" t="s">
        <v>328</v>
      </c>
      <c r="N531" t="s">
        <v>329</v>
      </c>
      <c r="O531" t="s">
        <v>330</v>
      </c>
      <c r="P531" t="s">
        <v>331</v>
      </c>
      <c r="U531">
        <v>0.5</v>
      </c>
      <c r="V531">
        <v>0.27900000000000003</v>
      </c>
      <c r="W531" t="s">
        <v>399</v>
      </c>
      <c r="Y531" t="s">
        <v>337</v>
      </c>
      <c r="AB531" t="s">
        <v>347</v>
      </c>
      <c r="AC531" t="s">
        <v>342</v>
      </c>
      <c r="AD531" s="34">
        <v>46.306741670000001</v>
      </c>
      <c r="AE531" s="34">
        <v>-84.060811670000007</v>
      </c>
      <c r="AF531" s="18">
        <v>40696.938888888886</v>
      </c>
      <c r="AG531" s="19">
        <v>40696.772222222222</v>
      </c>
      <c r="AH531" t="s">
        <v>161</v>
      </c>
      <c r="AL531" t="s">
        <v>335</v>
      </c>
      <c r="AM531" s="20">
        <v>40694</v>
      </c>
      <c r="AR531" s="39" t="s">
        <v>400</v>
      </c>
      <c r="AS531" s="39"/>
      <c r="AT531" s="39">
        <v>200</v>
      </c>
      <c r="AZ531" t="s">
        <v>108</v>
      </c>
      <c r="BC531" t="s">
        <v>336</v>
      </c>
    </row>
    <row r="532" spans="1:55" x14ac:dyDescent="0.25">
      <c r="A532" t="str">
        <f t="shared" si="8"/>
        <v>A69-1601-1299</v>
      </c>
      <c r="B532" t="s">
        <v>398</v>
      </c>
      <c r="C532" t="s">
        <v>324</v>
      </c>
      <c r="D532" t="s">
        <v>345</v>
      </c>
      <c r="F532">
        <v>1299</v>
      </c>
      <c r="G532" t="s">
        <v>346</v>
      </c>
      <c r="H532" t="s">
        <v>327</v>
      </c>
      <c r="I532" s="20">
        <v>40694</v>
      </c>
      <c r="J532">
        <v>101</v>
      </c>
      <c r="L532" t="s">
        <v>109</v>
      </c>
      <c r="M532" t="s">
        <v>328</v>
      </c>
      <c r="N532" t="s">
        <v>329</v>
      </c>
      <c r="O532" t="s">
        <v>330</v>
      </c>
      <c r="P532" t="s">
        <v>331</v>
      </c>
      <c r="U532">
        <v>0.54</v>
      </c>
      <c r="V532">
        <v>0.316</v>
      </c>
      <c r="W532" t="s">
        <v>399</v>
      </c>
      <c r="Y532" t="s">
        <v>332</v>
      </c>
      <c r="AB532" t="s">
        <v>347</v>
      </c>
      <c r="AC532" t="s">
        <v>342</v>
      </c>
      <c r="AD532" s="34">
        <v>46.306741670000001</v>
      </c>
      <c r="AE532" s="34">
        <v>-84.060811670000007</v>
      </c>
      <c r="AF532" s="18">
        <v>40696.938888888886</v>
      </c>
      <c r="AG532" s="19">
        <v>40696.772222222222</v>
      </c>
      <c r="AH532" t="s">
        <v>161</v>
      </c>
      <c r="AL532" t="s">
        <v>335</v>
      </c>
      <c r="AM532" s="20">
        <v>40694</v>
      </c>
      <c r="AR532" s="39" t="s">
        <v>400</v>
      </c>
      <c r="AS532" s="39"/>
      <c r="AT532" s="39">
        <v>200</v>
      </c>
      <c r="AZ532" t="s">
        <v>108</v>
      </c>
      <c r="BC532" t="s">
        <v>336</v>
      </c>
    </row>
    <row r="533" spans="1:55" x14ac:dyDescent="0.25">
      <c r="A533" t="str">
        <f t="shared" si="8"/>
        <v>A69-1601-1300</v>
      </c>
      <c r="B533" t="s">
        <v>398</v>
      </c>
      <c r="C533" t="s">
        <v>324</v>
      </c>
      <c r="D533" t="s">
        <v>345</v>
      </c>
      <c r="F533">
        <v>1300</v>
      </c>
      <c r="G533" t="s">
        <v>346</v>
      </c>
      <c r="H533" t="s">
        <v>327</v>
      </c>
      <c r="I533" s="20">
        <v>40694</v>
      </c>
      <c r="J533">
        <v>101</v>
      </c>
      <c r="L533" t="s">
        <v>109</v>
      </c>
      <c r="M533" t="s">
        <v>328</v>
      </c>
      <c r="N533" t="s">
        <v>329</v>
      </c>
      <c r="O533" t="s">
        <v>330</v>
      </c>
      <c r="P533" t="s">
        <v>331</v>
      </c>
      <c r="U533">
        <v>0.49</v>
      </c>
      <c r="V533">
        <v>0.27900000000000003</v>
      </c>
      <c r="W533" t="s">
        <v>399</v>
      </c>
      <c r="Y533" t="s">
        <v>337</v>
      </c>
      <c r="AB533" t="s">
        <v>347</v>
      </c>
      <c r="AC533" t="s">
        <v>342</v>
      </c>
      <c r="AD533" s="34">
        <v>46.306741670000001</v>
      </c>
      <c r="AE533" s="34">
        <v>-84.060811670000007</v>
      </c>
      <c r="AF533" s="18">
        <v>40696.938888888886</v>
      </c>
      <c r="AG533" s="19">
        <v>40696.772222222222</v>
      </c>
      <c r="AH533" t="s">
        <v>161</v>
      </c>
      <c r="AL533" t="s">
        <v>335</v>
      </c>
      <c r="AM533" s="20">
        <v>40694</v>
      </c>
      <c r="AR533" s="39" t="s">
        <v>400</v>
      </c>
      <c r="AS533" s="39"/>
      <c r="AT533" s="39">
        <v>200</v>
      </c>
      <c r="AZ533" t="s">
        <v>108</v>
      </c>
      <c r="BC533" t="s">
        <v>336</v>
      </c>
    </row>
    <row r="534" spans="1:55" x14ac:dyDescent="0.25">
      <c r="A534" t="str">
        <f t="shared" si="8"/>
        <v>A69-1601-1301</v>
      </c>
      <c r="B534" t="s">
        <v>398</v>
      </c>
      <c r="C534" t="s">
        <v>324</v>
      </c>
      <c r="D534" t="s">
        <v>345</v>
      </c>
      <c r="F534">
        <v>1301</v>
      </c>
      <c r="G534" t="s">
        <v>346</v>
      </c>
      <c r="H534" t="s">
        <v>327</v>
      </c>
      <c r="I534" s="20">
        <v>40694</v>
      </c>
      <c r="J534">
        <v>101</v>
      </c>
      <c r="L534" t="s">
        <v>109</v>
      </c>
      <c r="M534" t="s">
        <v>328</v>
      </c>
      <c r="N534" t="s">
        <v>329</v>
      </c>
      <c r="O534" t="s">
        <v>330</v>
      </c>
      <c r="P534" t="s">
        <v>331</v>
      </c>
      <c r="U534">
        <v>0.52</v>
      </c>
      <c r="V534">
        <v>0.28199999999999997</v>
      </c>
      <c r="W534" t="s">
        <v>399</v>
      </c>
      <c r="Y534" t="s">
        <v>337</v>
      </c>
      <c r="AB534" t="s">
        <v>347</v>
      </c>
      <c r="AC534" t="s">
        <v>342</v>
      </c>
      <c r="AD534" s="34">
        <v>46.306741670000001</v>
      </c>
      <c r="AE534" s="34">
        <v>-84.060811670000007</v>
      </c>
      <c r="AF534" s="18">
        <v>40696.938888888886</v>
      </c>
      <c r="AG534" s="19">
        <v>40696.772222222222</v>
      </c>
      <c r="AH534" t="s">
        <v>161</v>
      </c>
      <c r="AL534" t="s">
        <v>335</v>
      </c>
      <c r="AM534" s="20">
        <v>40694</v>
      </c>
      <c r="AR534" s="39" t="s">
        <v>400</v>
      </c>
      <c r="AS534" s="39"/>
      <c r="AT534" s="39">
        <v>200</v>
      </c>
      <c r="AZ534" t="s">
        <v>108</v>
      </c>
      <c r="BC534" t="s">
        <v>336</v>
      </c>
    </row>
    <row r="535" spans="1:55" x14ac:dyDescent="0.25">
      <c r="A535" t="str">
        <f t="shared" si="8"/>
        <v>A69-1601-1302</v>
      </c>
      <c r="B535" t="s">
        <v>398</v>
      </c>
      <c r="C535" t="s">
        <v>324</v>
      </c>
      <c r="D535" t="s">
        <v>345</v>
      </c>
      <c r="F535">
        <v>1302</v>
      </c>
      <c r="G535" t="s">
        <v>346</v>
      </c>
      <c r="H535" t="s">
        <v>327</v>
      </c>
      <c r="I535" s="20">
        <v>40694</v>
      </c>
      <c r="J535">
        <v>101</v>
      </c>
      <c r="L535" t="s">
        <v>109</v>
      </c>
      <c r="M535" t="s">
        <v>328</v>
      </c>
      <c r="N535" t="s">
        <v>329</v>
      </c>
      <c r="O535" t="s">
        <v>330</v>
      </c>
      <c r="P535" t="s">
        <v>331</v>
      </c>
      <c r="U535">
        <v>0.47</v>
      </c>
      <c r="V535">
        <v>0.22900000000000001</v>
      </c>
      <c r="W535" t="s">
        <v>399</v>
      </c>
      <c r="Y535" t="s">
        <v>337</v>
      </c>
      <c r="AB535" t="s">
        <v>347</v>
      </c>
      <c r="AC535" t="s">
        <v>342</v>
      </c>
      <c r="AD535" s="34">
        <v>46.306741670000001</v>
      </c>
      <c r="AE535" s="34">
        <v>-84.060811670000007</v>
      </c>
      <c r="AF535" s="18">
        <v>40696.938888888886</v>
      </c>
      <c r="AG535" s="19">
        <v>40696.772222222222</v>
      </c>
      <c r="AH535" t="s">
        <v>161</v>
      </c>
      <c r="AL535" t="s">
        <v>335</v>
      </c>
      <c r="AM535" s="20">
        <v>40694</v>
      </c>
      <c r="AR535" s="39" t="s">
        <v>400</v>
      </c>
      <c r="AS535" s="39"/>
      <c r="AT535" s="39">
        <v>200</v>
      </c>
      <c r="AZ535" t="s">
        <v>108</v>
      </c>
      <c r="BC535" t="s">
        <v>336</v>
      </c>
    </row>
    <row r="536" spans="1:55" x14ac:dyDescent="0.25">
      <c r="A536" t="str">
        <f t="shared" si="8"/>
        <v>A69-1601-1304</v>
      </c>
      <c r="B536" t="s">
        <v>398</v>
      </c>
      <c r="C536" t="s">
        <v>324</v>
      </c>
      <c r="D536" t="s">
        <v>345</v>
      </c>
      <c r="F536">
        <v>1304</v>
      </c>
      <c r="G536" t="s">
        <v>346</v>
      </c>
      <c r="H536" t="s">
        <v>327</v>
      </c>
      <c r="I536" s="20">
        <v>40694</v>
      </c>
      <c r="J536">
        <v>101</v>
      </c>
      <c r="L536" t="s">
        <v>109</v>
      </c>
      <c r="M536" t="s">
        <v>328</v>
      </c>
      <c r="N536" t="s">
        <v>329</v>
      </c>
      <c r="O536" t="s">
        <v>330</v>
      </c>
      <c r="P536" t="s">
        <v>331</v>
      </c>
      <c r="U536">
        <v>0.56999999999999995</v>
      </c>
      <c r="V536">
        <v>0.32600000000000001</v>
      </c>
      <c r="W536" t="s">
        <v>399</v>
      </c>
      <c r="Y536" t="s">
        <v>337</v>
      </c>
      <c r="AB536" t="s">
        <v>347</v>
      </c>
      <c r="AC536" t="s">
        <v>342</v>
      </c>
      <c r="AD536" s="34">
        <v>46.306741670000001</v>
      </c>
      <c r="AE536" s="34">
        <v>-84.060811670000007</v>
      </c>
      <c r="AF536" s="18">
        <v>40696.938888888886</v>
      </c>
      <c r="AG536" s="19">
        <v>40696.772222222222</v>
      </c>
      <c r="AH536" t="s">
        <v>161</v>
      </c>
      <c r="AL536" t="s">
        <v>335</v>
      </c>
      <c r="AM536" s="20">
        <v>40694</v>
      </c>
      <c r="AR536" s="39" t="s">
        <v>400</v>
      </c>
      <c r="AS536" s="39"/>
      <c r="AT536" s="39">
        <v>200</v>
      </c>
      <c r="AZ536" t="s">
        <v>108</v>
      </c>
      <c r="BC536" t="s">
        <v>336</v>
      </c>
    </row>
    <row r="537" spans="1:55" x14ac:dyDescent="0.25">
      <c r="A537" t="str">
        <f t="shared" si="8"/>
        <v>A69-1601-1305</v>
      </c>
      <c r="B537" t="s">
        <v>398</v>
      </c>
      <c r="C537" t="s">
        <v>324</v>
      </c>
      <c r="D537" t="s">
        <v>345</v>
      </c>
      <c r="F537">
        <v>1305</v>
      </c>
      <c r="G537" t="s">
        <v>346</v>
      </c>
      <c r="H537" t="s">
        <v>327</v>
      </c>
      <c r="I537" s="20">
        <v>40694</v>
      </c>
      <c r="J537">
        <v>101</v>
      </c>
      <c r="L537" t="s">
        <v>109</v>
      </c>
      <c r="M537" t="s">
        <v>328</v>
      </c>
      <c r="N537" t="s">
        <v>329</v>
      </c>
      <c r="O537" t="s">
        <v>330</v>
      </c>
      <c r="P537" t="s">
        <v>331</v>
      </c>
      <c r="U537">
        <v>0.48</v>
      </c>
      <c r="V537">
        <v>0.24199999999999999</v>
      </c>
      <c r="W537" t="s">
        <v>399</v>
      </c>
      <c r="Y537" t="s">
        <v>332</v>
      </c>
      <c r="AB537" t="s">
        <v>347</v>
      </c>
      <c r="AC537" t="s">
        <v>342</v>
      </c>
      <c r="AD537" s="34">
        <v>46.306741670000001</v>
      </c>
      <c r="AE537" s="34">
        <v>-84.060811670000007</v>
      </c>
      <c r="AF537" s="18">
        <v>40696.938888888886</v>
      </c>
      <c r="AG537" s="19">
        <v>40696.772222222222</v>
      </c>
      <c r="AH537" t="s">
        <v>161</v>
      </c>
      <c r="AL537" t="s">
        <v>335</v>
      </c>
      <c r="AM537" s="20">
        <v>40694</v>
      </c>
      <c r="AR537" s="39" t="s">
        <v>400</v>
      </c>
      <c r="AS537" s="39"/>
      <c r="AT537" s="39">
        <v>200</v>
      </c>
      <c r="AZ537" t="s">
        <v>108</v>
      </c>
      <c r="BC537" t="s">
        <v>336</v>
      </c>
    </row>
    <row r="538" spans="1:55" x14ac:dyDescent="0.25">
      <c r="A538" t="str">
        <f t="shared" si="8"/>
        <v>A69-1601-1306</v>
      </c>
      <c r="B538" t="s">
        <v>398</v>
      </c>
      <c r="C538" t="s">
        <v>324</v>
      </c>
      <c r="D538" t="s">
        <v>345</v>
      </c>
      <c r="F538">
        <v>1306</v>
      </c>
      <c r="G538" t="s">
        <v>346</v>
      </c>
      <c r="H538" t="s">
        <v>327</v>
      </c>
      <c r="I538" s="20">
        <v>40694</v>
      </c>
      <c r="J538">
        <v>101</v>
      </c>
      <c r="L538" t="s">
        <v>109</v>
      </c>
      <c r="M538" t="s">
        <v>328</v>
      </c>
      <c r="N538" t="s">
        <v>329</v>
      </c>
      <c r="O538" t="s">
        <v>330</v>
      </c>
      <c r="P538" t="s">
        <v>331</v>
      </c>
      <c r="U538">
        <v>0.47</v>
      </c>
      <c r="V538">
        <v>0.221</v>
      </c>
      <c r="W538" t="s">
        <v>399</v>
      </c>
      <c r="Y538" t="s">
        <v>337</v>
      </c>
      <c r="AB538" t="s">
        <v>347</v>
      </c>
      <c r="AC538" t="s">
        <v>342</v>
      </c>
      <c r="AD538" s="34">
        <v>46.306741670000001</v>
      </c>
      <c r="AE538" s="34">
        <v>-84.060811670000007</v>
      </c>
      <c r="AF538" s="18">
        <v>40696.938888888886</v>
      </c>
      <c r="AG538" s="19">
        <v>40696.772222222222</v>
      </c>
      <c r="AH538" t="s">
        <v>161</v>
      </c>
      <c r="AL538" t="s">
        <v>335</v>
      </c>
      <c r="AM538" s="20">
        <v>40694</v>
      </c>
      <c r="AR538" s="39" t="s">
        <v>400</v>
      </c>
      <c r="AS538" s="39"/>
      <c r="AT538" s="39">
        <v>200</v>
      </c>
      <c r="AZ538" t="s">
        <v>108</v>
      </c>
      <c r="BC538" t="s">
        <v>336</v>
      </c>
    </row>
    <row r="539" spans="1:55" x14ac:dyDescent="0.25">
      <c r="A539" t="str">
        <f t="shared" si="8"/>
        <v>A69-1601-1307</v>
      </c>
      <c r="B539" t="s">
        <v>398</v>
      </c>
      <c r="C539" t="s">
        <v>324</v>
      </c>
      <c r="D539" t="s">
        <v>345</v>
      </c>
      <c r="F539">
        <v>1307</v>
      </c>
      <c r="G539" t="s">
        <v>346</v>
      </c>
      <c r="H539" t="s">
        <v>327</v>
      </c>
      <c r="I539" s="20">
        <v>40694</v>
      </c>
      <c r="J539">
        <v>101</v>
      </c>
      <c r="L539" t="s">
        <v>109</v>
      </c>
      <c r="M539" t="s">
        <v>328</v>
      </c>
      <c r="N539" t="s">
        <v>329</v>
      </c>
      <c r="O539" t="s">
        <v>330</v>
      </c>
      <c r="P539" t="s">
        <v>331</v>
      </c>
      <c r="U539">
        <v>0.52</v>
      </c>
      <c r="V539">
        <v>0.28499999999999998</v>
      </c>
      <c r="W539" t="s">
        <v>399</v>
      </c>
      <c r="Y539" t="s">
        <v>332</v>
      </c>
      <c r="AB539" t="s">
        <v>348</v>
      </c>
      <c r="AC539" t="s">
        <v>334</v>
      </c>
      <c r="AD539" s="34">
        <v>46.17166667</v>
      </c>
      <c r="AE539" s="34">
        <v>-84.078343329999996</v>
      </c>
      <c r="AF539" s="18">
        <v>40696.910416666666</v>
      </c>
      <c r="AG539" s="19">
        <v>40696.743750000001</v>
      </c>
      <c r="AH539" t="s">
        <v>161</v>
      </c>
      <c r="AL539" t="s">
        <v>335</v>
      </c>
      <c r="AM539" s="20">
        <v>40694</v>
      </c>
      <c r="AR539" s="39" t="s">
        <v>400</v>
      </c>
      <c r="AS539" s="39"/>
      <c r="AT539" s="39">
        <v>200</v>
      </c>
      <c r="AZ539" t="s">
        <v>108</v>
      </c>
      <c r="BC539" t="s">
        <v>336</v>
      </c>
    </row>
    <row r="540" spans="1:55" x14ac:dyDescent="0.25">
      <c r="A540" t="str">
        <f t="shared" si="8"/>
        <v>A69-1601-1308</v>
      </c>
      <c r="B540" t="s">
        <v>398</v>
      </c>
      <c r="C540" t="s">
        <v>324</v>
      </c>
      <c r="D540" t="s">
        <v>345</v>
      </c>
      <c r="F540">
        <v>1308</v>
      </c>
      <c r="G540" t="s">
        <v>346</v>
      </c>
      <c r="H540" t="s">
        <v>327</v>
      </c>
      <c r="I540" s="20">
        <v>40694</v>
      </c>
      <c r="J540">
        <v>101</v>
      </c>
      <c r="L540" t="s">
        <v>109</v>
      </c>
      <c r="M540" t="s">
        <v>328</v>
      </c>
      <c r="N540" t="s">
        <v>329</v>
      </c>
      <c r="O540" t="s">
        <v>330</v>
      </c>
      <c r="P540" t="s">
        <v>331</v>
      </c>
      <c r="U540">
        <v>0.49</v>
      </c>
      <c r="V540">
        <v>0.25</v>
      </c>
      <c r="W540" t="s">
        <v>399</v>
      </c>
      <c r="Y540" t="s">
        <v>337</v>
      </c>
      <c r="AB540" t="s">
        <v>348</v>
      </c>
      <c r="AC540" t="s">
        <v>334</v>
      </c>
      <c r="AD540" s="34">
        <v>46.17166667</v>
      </c>
      <c r="AE540" s="34">
        <v>-84.078343329999996</v>
      </c>
      <c r="AF540" s="18">
        <v>40696.910416666666</v>
      </c>
      <c r="AG540" s="19">
        <v>40696.743750000001</v>
      </c>
      <c r="AH540" t="s">
        <v>161</v>
      </c>
      <c r="AL540" t="s">
        <v>335</v>
      </c>
      <c r="AM540" s="20">
        <v>40694</v>
      </c>
      <c r="AR540" s="39" t="s">
        <v>400</v>
      </c>
      <c r="AS540" s="39"/>
      <c r="AT540" s="39">
        <v>200</v>
      </c>
      <c r="AZ540" t="s">
        <v>108</v>
      </c>
      <c r="BC540" t="s">
        <v>336</v>
      </c>
    </row>
    <row r="541" spans="1:55" x14ac:dyDescent="0.25">
      <c r="A541" t="str">
        <f t="shared" si="8"/>
        <v>A69-1601-1309</v>
      </c>
      <c r="B541" t="s">
        <v>398</v>
      </c>
      <c r="C541" t="s">
        <v>324</v>
      </c>
      <c r="D541" t="s">
        <v>345</v>
      </c>
      <c r="F541">
        <v>1309</v>
      </c>
      <c r="G541" t="s">
        <v>346</v>
      </c>
      <c r="H541" t="s">
        <v>327</v>
      </c>
      <c r="I541" s="20">
        <v>40694</v>
      </c>
      <c r="J541">
        <v>101</v>
      </c>
      <c r="L541" t="s">
        <v>109</v>
      </c>
      <c r="M541" t="s">
        <v>328</v>
      </c>
      <c r="N541" t="s">
        <v>329</v>
      </c>
      <c r="O541" t="s">
        <v>330</v>
      </c>
      <c r="P541" t="s">
        <v>331</v>
      </c>
      <c r="U541">
        <v>0.53</v>
      </c>
      <c r="V541">
        <v>0.3</v>
      </c>
      <c r="W541" t="s">
        <v>399</v>
      </c>
      <c r="Y541" t="s">
        <v>337</v>
      </c>
      <c r="AB541" t="s">
        <v>348</v>
      </c>
      <c r="AC541" t="s">
        <v>334</v>
      </c>
      <c r="AD541" s="34">
        <v>46.17166667</v>
      </c>
      <c r="AE541" s="34">
        <v>-84.078343329999996</v>
      </c>
      <c r="AF541" s="18">
        <v>40696.910416666666</v>
      </c>
      <c r="AG541" s="19">
        <v>40696.743750000001</v>
      </c>
      <c r="AH541" t="s">
        <v>161</v>
      </c>
      <c r="AL541" t="s">
        <v>335</v>
      </c>
      <c r="AM541" s="20">
        <v>40694</v>
      </c>
      <c r="AR541" s="39" t="s">
        <v>400</v>
      </c>
      <c r="AS541" s="39"/>
      <c r="AT541" s="39">
        <v>200</v>
      </c>
      <c r="AZ541" t="s">
        <v>108</v>
      </c>
      <c r="BC541" t="s">
        <v>336</v>
      </c>
    </row>
    <row r="542" spans="1:55" x14ac:dyDescent="0.25">
      <c r="A542" t="str">
        <f t="shared" si="8"/>
        <v>A69-1601-1310</v>
      </c>
      <c r="B542" t="s">
        <v>398</v>
      </c>
      <c r="C542" t="s">
        <v>324</v>
      </c>
      <c r="D542" t="s">
        <v>345</v>
      </c>
      <c r="F542">
        <v>1310</v>
      </c>
      <c r="G542" t="s">
        <v>346</v>
      </c>
      <c r="H542" t="s">
        <v>327</v>
      </c>
      <c r="I542" s="20">
        <v>40694</v>
      </c>
      <c r="J542">
        <v>101</v>
      </c>
      <c r="L542" t="s">
        <v>109</v>
      </c>
      <c r="M542" t="s">
        <v>328</v>
      </c>
      <c r="N542" t="s">
        <v>329</v>
      </c>
      <c r="O542" t="s">
        <v>330</v>
      </c>
      <c r="P542" t="s">
        <v>331</v>
      </c>
      <c r="U542">
        <v>0.5</v>
      </c>
      <c r="V542">
        <v>0.248</v>
      </c>
      <c r="W542" t="s">
        <v>399</v>
      </c>
      <c r="Y542" t="s">
        <v>337</v>
      </c>
      <c r="AB542" t="s">
        <v>348</v>
      </c>
      <c r="AC542" t="s">
        <v>334</v>
      </c>
      <c r="AD542" s="34">
        <v>46.17166667</v>
      </c>
      <c r="AE542" s="34">
        <v>-84.078343329999996</v>
      </c>
      <c r="AF542" s="18">
        <v>40696.910416666666</v>
      </c>
      <c r="AG542" s="19">
        <v>40696.743750000001</v>
      </c>
      <c r="AH542" t="s">
        <v>161</v>
      </c>
      <c r="AL542" t="s">
        <v>335</v>
      </c>
      <c r="AM542" s="20">
        <v>40694</v>
      </c>
      <c r="AR542" s="39" t="s">
        <v>400</v>
      </c>
      <c r="AS542" s="39"/>
      <c r="AT542" s="39">
        <v>200</v>
      </c>
      <c r="AZ542" t="s">
        <v>108</v>
      </c>
      <c r="BC542" t="s">
        <v>336</v>
      </c>
    </row>
    <row r="543" spans="1:55" x14ac:dyDescent="0.25">
      <c r="A543" t="str">
        <f t="shared" si="8"/>
        <v>A69-1601-1311</v>
      </c>
      <c r="B543" t="s">
        <v>398</v>
      </c>
      <c r="C543" t="s">
        <v>324</v>
      </c>
      <c r="D543" t="s">
        <v>345</v>
      </c>
      <c r="F543">
        <v>1311</v>
      </c>
      <c r="G543" t="s">
        <v>346</v>
      </c>
      <c r="H543" t="s">
        <v>327</v>
      </c>
      <c r="I543" s="20">
        <v>40694</v>
      </c>
      <c r="J543">
        <v>101</v>
      </c>
      <c r="L543" t="s">
        <v>109</v>
      </c>
      <c r="M543" t="s">
        <v>328</v>
      </c>
      <c r="N543" t="s">
        <v>329</v>
      </c>
      <c r="O543" t="s">
        <v>330</v>
      </c>
      <c r="P543" t="s">
        <v>331</v>
      </c>
      <c r="U543">
        <v>0.46</v>
      </c>
      <c r="V543">
        <v>0.20799999999999999</v>
      </c>
      <c r="W543" t="s">
        <v>399</v>
      </c>
      <c r="Y543" t="s">
        <v>337</v>
      </c>
      <c r="AB543" t="s">
        <v>348</v>
      </c>
      <c r="AC543" t="s">
        <v>334</v>
      </c>
      <c r="AD543" s="34">
        <v>46.17166667</v>
      </c>
      <c r="AE543" s="34">
        <v>-84.078343329999996</v>
      </c>
      <c r="AF543" s="18">
        <v>40696.910416666666</v>
      </c>
      <c r="AG543" s="19">
        <v>40696.743750000001</v>
      </c>
      <c r="AH543" t="s">
        <v>161</v>
      </c>
      <c r="AL543" t="s">
        <v>335</v>
      </c>
      <c r="AM543" s="20">
        <v>40694</v>
      </c>
      <c r="AR543" s="39" t="s">
        <v>400</v>
      </c>
      <c r="AS543" s="39"/>
      <c r="AT543" s="39">
        <v>200</v>
      </c>
      <c r="AZ543" t="s">
        <v>108</v>
      </c>
      <c r="BC543" t="s">
        <v>336</v>
      </c>
    </row>
    <row r="544" spans="1:55" x14ac:dyDescent="0.25">
      <c r="A544" t="str">
        <f t="shared" si="8"/>
        <v>A69-1601-1312</v>
      </c>
      <c r="B544" t="s">
        <v>398</v>
      </c>
      <c r="C544" t="s">
        <v>324</v>
      </c>
      <c r="D544" t="s">
        <v>345</v>
      </c>
      <c r="F544">
        <v>1312</v>
      </c>
      <c r="G544" t="s">
        <v>346</v>
      </c>
      <c r="H544" t="s">
        <v>327</v>
      </c>
      <c r="I544" s="20">
        <v>40694</v>
      </c>
      <c r="J544">
        <v>101</v>
      </c>
      <c r="L544" t="s">
        <v>109</v>
      </c>
      <c r="M544" t="s">
        <v>328</v>
      </c>
      <c r="N544" t="s">
        <v>329</v>
      </c>
      <c r="O544" t="s">
        <v>330</v>
      </c>
      <c r="P544" t="s">
        <v>331</v>
      </c>
      <c r="U544">
        <v>0.51</v>
      </c>
      <c r="V544">
        <v>0.27100000000000002</v>
      </c>
      <c r="W544" t="s">
        <v>399</v>
      </c>
      <c r="Y544" t="s">
        <v>337</v>
      </c>
      <c r="AB544" t="s">
        <v>348</v>
      </c>
      <c r="AC544" t="s">
        <v>334</v>
      </c>
      <c r="AD544" s="34">
        <v>46.17166667</v>
      </c>
      <c r="AE544" s="34">
        <v>-84.078343329999996</v>
      </c>
      <c r="AF544" s="18">
        <v>40696.910416666666</v>
      </c>
      <c r="AG544" s="19">
        <v>40696.743750000001</v>
      </c>
      <c r="AH544" t="s">
        <v>161</v>
      </c>
      <c r="AL544" t="s">
        <v>335</v>
      </c>
      <c r="AM544" s="20">
        <v>40694</v>
      </c>
      <c r="AR544" s="39" t="s">
        <v>400</v>
      </c>
      <c r="AS544" s="39"/>
      <c r="AT544" s="39">
        <v>200</v>
      </c>
      <c r="AZ544" t="s">
        <v>108</v>
      </c>
      <c r="BC544" t="s">
        <v>336</v>
      </c>
    </row>
    <row r="545" spans="1:55" x14ac:dyDescent="0.25">
      <c r="A545" t="str">
        <f t="shared" si="8"/>
        <v>A69-1601-1313</v>
      </c>
      <c r="B545" t="s">
        <v>398</v>
      </c>
      <c r="C545" t="s">
        <v>324</v>
      </c>
      <c r="D545" t="s">
        <v>345</v>
      </c>
      <c r="F545">
        <v>1313</v>
      </c>
      <c r="G545" t="s">
        <v>346</v>
      </c>
      <c r="H545" t="s">
        <v>327</v>
      </c>
      <c r="I545" s="20">
        <v>40694</v>
      </c>
      <c r="J545">
        <v>101</v>
      </c>
      <c r="L545" t="s">
        <v>109</v>
      </c>
      <c r="M545" t="s">
        <v>328</v>
      </c>
      <c r="N545" t="s">
        <v>329</v>
      </c>
      <c r="O545" t="s">
        <v>330</v>
      </c>
      <c r="P545" t="s">
        <v>331</v>
      </c>
      <c r="U545">
        <v>0.46</v>
      </c>
      <c r="V545">
        <v>0.20799999999999999</v>
      </c>
      <c r="W545" t="s">
        <v>399</v>
      </c>
      <c r="Y545" t="s">
        <v>332</v>
      </c>
      <c r="AB545" t="s">
        <v>348</v>
      </c>
      <c r="AC545" t="s">
        <v>334</v>
      </c>
      <c r="AD545" s="34">
        <v>46.17166667</v>
      </c>
      <c r="AE545" s="34">
        <v>-84.078343329999996</v>
      </c>
      <c r="AF545" s="18">
        <v>40696.910416666666</v>
      </c>
      <c r="AG545" s="19">
        <v>40696.743750000001</v>
      </c>
      <c r="AH545" t="s">
        <v>161</v>
      </c>
      <c r="AL545" t="s">
        <v>335</v>
      </c>
      <c r="AM545" s="20">
        <v>40694</v>
      </c>
      <c r="AR545" s="39" t="s">
        <v>400</v>
      </c>
      <c r="AS545" s="39"/>
      <c r="AT545" s="39">
        <v>200</v>
      </c>
      <c r="AZ545" t="s">
        <v>108</v>
      </c>
      <c r="BC545" t="s">
        <v>336</v>
      </c>
    </row>
    <row r="546" spans="1:55" x14ac:dyDescent="0.25">
      <c r="A546" t="str">
        <f t="shared" si="8"/>
        <v>A69-1601-1314</v>
      </c>
      <c r="B546" t="s">
        <v>398</v>
      </c>
      <c r="C546" t="s">
        <v>324</v>
      </c>
      <c r="D546" t="s">
        <v>345</v>
      </c>
      <c r="F546">
        <v>1314</v>
      </c>
      <c r="G546" t="s">
        <v>346</v>
      </c>
      <c r="H546" t="s">
        <v>327</v>
      </c>
      <c r="I546" s="20">
        <v>40694</v>
      </c>
      <c r="J546">
        <v>101</v>
      </c>
      <c r="L546" t="s">
        <v>109</v>
      </c>
      <c r="M546" t="s">
        <v>328</v>
      </c>
      <c r="N546" t="s">
        <v>329</v>
      </c>
      <c r="O546" t="s">
        <v>330</v>
      </c>
      <c r="P546" t="s">
        <v>331</v>
      </c>
      <c r="U546">
        <v>0.52</v>
      </c>
      <c r="V546">
        <v>0.308</v>
      </c>
      <c r="W546" t="s">
        <v>399</v>
      </c>
      <c r="Y546" t="s">
        <v>337</v>
      </c>
      <c r="AB546" t="s">
        <v>348</v>
      </c>
      <c r="AC546" t="s">
        <v>334</v>
      </c>
      <c r="AD546" s="34">
        <v>46.17166667</v>
      </c>
      <c r="AE546" s="34">
        <v>-84.078343329999996</v>
      </c>
      <c r="AF546" s="18">
        <v>40696.910416666666</v>
      </c>
      <c r="AG546" s="19">
        <v>40696.743750000001</v>
      </c>
      <c r="AH546" t="s">
        <v>161</v>
      </c>
      <c r="AL546" t="s">
        <v>335</v>
      </c>
      <c r="AM546" s="20">
        <v>40694</v>
      </c>
      <c r="AR546" s="39" t="s">
        <v>400</v>
      </c>
      <c r="AS546" s="39"/>
      <c r="AT546" s="39">
        <v>200</v>
      </c>
      <c r="AZ546" t="s">
        <v>108</v>
      </c>
      <c r="BC546" t="s">
        <v>336</v>
      </c>
    </row>
    <row r="547" spans="1:55" x14ac:dyDescent="0.25">
      <c r="A547" t="str">
        <f t="shared" si="8"/>
        <v>A69-1601-1315</v>
      </c>
      <c r="B547" t="s">
        <v>398</v>
      </c>
      <c r="C547" t="s">
        <v>324</v>
      </c>
      <c r="D547" t="s">
        <v>345</v>
      </c>
      <c r="F547">
        <v>1315</v>
      </c>
      <c r="G547" t="s">
        <v>346</v>
      </c>
      <c r="H547" t="s">
        <v>327</v>
      </c>
      <c r="I547" s="20">
        <v>40694</v>
      </c>
      <c r="J547">
        <v>101</v>
      </c>
      <c r="L547" t="s">
        <v>109</v>
      </c>
      <c r="M547" t="s">
        <v>328</v>
      </c>
      <c r="N547" t="s">
        <v>329</v>
      </c>
      <c r="O547" t="s">
        <v>330</v>
      </c>
      <c r="P547" t="s">
        <v>331</v>
      </c>
      <c r="U547">
        <v>0.54</v>
      </c>
      <c r="V547">
        <v>0.307</v>
      </c>
      <c r="W547" t="s">
        <v>399</v>
      </c>
      <c r="Y547" t="s">
        <v>332</v>
      </c>
      <c r="AB547" t="s">
        <v>348</v>
      </c>
      <c r="AC547" t="s">
        <v>334</v>
      </c>
      <c r="AD547" s="34">
        <v>46.17166667</v>
      </c>
      <c r="AE547" s="34">
        <v>-84.078343329999996</v>
      </c>
      <c r="AF547" s="18">
        <v>40696.910416666666</v>
      </c>
      <c r="AG547" s="19">
        <v>40696.743750000001</v>
      </c>
      <c r="AH547" t="s">
        <v>161</v>
      </c>
      <c r="AL547" t="s">
        <v>335</v>
      </c>
      <c r="AM547" s="20">
        <v>40694</v>
      </c>
      <c r="AR547" s="39" t="s">
        <v>400</v>
      </c>
      <c r="AS547" s="39"/>
      <c r="AT547" s="39">
        <v>200</v>
      </c>
      <c r="AZ547" t="s">
        <v>108</v>
      </c>
      <c r="BC547" t="s">
        <v>336</v>
      </c>
    </row>
    <row r="548" spans="1:55" x14ac:dyDescent="0.25">
      <c r="A548" t="str">
        <f t="shared" si="8"/>
        <v>A69-1601-1316</v>
      </c>
      <c r="B548" t="s">
        <v>398</v>
      </c>
      <c r="C548" t="s">
        <v>324</v>
      </c>
      <c r="D548" t="s">
        <v>345</v>
      </c>
      <c r="F548">
        <v>1316</v>
      </c>
      <c r="G548" t="s">
        <v>346</v>
      </c>
      <c r="H548" t="s">
        <v>327</v>
      </c>
      <c r="I548" s="20">
        <v>40694</v>
      </c>
      <c r="J548">
        <v>101</v>
      </c>
      <c r="L548" t="s">
        <v>109</v>
      </c>
      <c r="M548" t="s">
        <v>328</v>
      </c>
      <c r="N548" t="s">
        <v>329</v>
      </c>
      <c r="O548" t="s">
        <v>330</v>
      </c>
      <c r="P548" t="s">
        <v>331</v>
      </c>
      <c r="U548">
        <v>0.55000000000000004</v>
      </c>
      <c r="V548">
        <v>0.32500000000000001</v>
      </c>
      <c r="W548" t="s">
        <v>399</v>
      </c>
      <c r="Y548" t="s">
        <v>332</v>
      </c>
      <c r="AB548" t="s">
        <v>348</v>
      </c>
      <c r="AC548" t="s">
        <v>334</v>
      </c>
      <c r="AD548" s="34">
        <v>46.17166667</v>
      </c>
      <c r="AE548" s="34">
        <v>-84.078343329999996</v>
      </c>
      <c r="AF548" s="18">
        <v>40696.910416666666</v>
      </c>
      <c r="AG548" s="19">
        <v>40696.743750000001</v>
      </c>
      <c r="AH548" t="s">
        <v>161</v>
      </c>
      <c r="AL548" t="s">
        <v>335</v>
      </c>
      <c r="AM548" s="20">
        <v>40694</v>
      </c>
      <c r="AR548" s="39" t="s">
        <v>400</v>
      </c>
      <c r="AS548" s="39"/>
      <c r="AT548" s="39">
        <v>200</v>
      </c>
      <c r="AZ548" t="s">
        <v>108</v>
      </c>
      <c r="BC548" t="s">
        <v>336</v>
      </c>
    </row>
    <row r="549" spans="1:55" x14ac:dyDescent="0.25">
      <c r="A549" t="str">
        <f t="shared" si="8"/>
        <v>A69-1601-1317</v>
      </c>
      <c r="B549" t="s">
        <v>398</v>
      </c>
      <c r="C549" t="s">
        <v>324</v>
      </c>
      <c r="D549" t="s">
        <v>345</v>
      </c>
      <c r="F549">
        <v>1317</v>
      </c>
      <c r="G549" t="s">
        <v>346</v>
      </c>
      <c r="H549" t="s">
        <v>327</v>
      </c>
      <c r="I549" s="20">
        <v>40694</v>
      </c>
      <c r="J549">
        <v>101</v>
      </c>
      <c r="L549" t="s">
        <v>109</v>
      </c>
      <c r="M549" t="s">
        <v>328</v>
      </c>
      <c r="N549" t="s">
        <v>329</v>
      </c>
      <c r="O549" t="s">
        <v>330</v>
      </c>
      <c r="P549" t="s">
        <v>331</v>
      </c>
      <c r="U549">
        <v>0.51</v>
      </c>
      <c r="V549">
        <v>0.27700000000000002</v>
      </c>
      <c r="W549" t="s">
        <v>399</v>
      </c>
      <c r="Y549" t="s">
        <v>332</v>
      </c>
      <c r="AB549" t="s">
        <v>348</v>
      </c>
      <c r="AC549" t="s">
        <v>334</v>
      </c>
      <c r="AD549" s="34">
        <v>46.17166667</v>
      </c>
      <c r="AE549" s="34">
        <v>-84.078343329999996</v>
      </c>
      <c r="AF549" s="18">
        <v>40696.910416666666</v>
      </c>
      <c r="AG549" s="19">
        <v>40696.743750000001</v>
      </c>
      <c r="AH549" t="s">
        <v>161</v>
      </c>
      <c r="AL549" t="s">
        <v>335</v>
      </c>
      <c r="AM549" s="20">
        <v>40694</v>
      </c>
      <c r="AR549" s="39" t="s">
        <v>400</v>
      </c>
      <c r="AS549" s="39"/>
      <c r="AT549" s="39">
        <v>200</v>
      </c>
      <c r="AZ549" t="s">
        <v>108</v>
      </c>
      <c r="BC549" t="s">
        <v>336</v>
      </c>
    </row>
    <row r="550" spans="1:55" x14ac:dyDescent="0.25">
      <c r="A550" t="str">
        <f t="shared" si="8"/>
        <v>A69-1601-1318</v>
      </c>
      <c r="B550" t="s">
        <v>398</v>
      </c>
      <c r="C550" t="s">
        <v>324</v>
      </c>
      <c r="D550" t="s">
        <v>345</v>
      </c>
      <c r="F550">
        <v>1318</v>
      </c>
      <c r="G550" t="s">
        <v>346</v>
      </c>
      <c r="H550" t="s">
        <v>327</v>
      </c>
      <c r="I550" s="20">
        <v>40694</v>
      </c>
      <c r="J550">
        <v>101</v>
      </c>
      <c r="L550" t="s">
        <v>109</v>
      </c>
      <c r="M550" t="s">
        <v>328</v>
      </c>
      <c r="N550" t="s">
        <v>329</v>
      </c>
      <c r="O550" t="s">
        <v>330</v>
      </c>
      <c r="P550" t="s">
        <v>331</v>
      </c>
      <c r="U550">
        <v>0.47</v>
      </c>
      <c r="V550">
        <v>0.26100000000000001</v>
      </c>
      <c r="W550" t="s">
        <v>399</v>
      </c>
      <c r="Y550" t="s">
        <v>337</v>
      </c>
      <c r="AB550" t="s">
        <v>348</v>
      </c>
      <c r="AC550" t="s">
        <v>334</v>
      </c>
      <c r="AD550" s="34">
        <v>46.17166667</v>
      </c>
      <c r="AE550" s="34">
        <v>-84.078343329999996</v>
      </c>
      <c r="AF550" s="18">
        <v>40696.910416666666</v>
      </c>
      <c r="AG550" s="19">
        <v>40696.743750000001</v>
      </c>
      <c r="AH550" t="s">
        <v>161</v>
      </c>
      <c r="AL550" t="s">
        <v>335</v>
      </c>
      <c r="AM550" s="20">
        <v>40694</v>
      </c>
      <c r="AR550" s="39" t="s">
        <v>400</v>
      </c>
      <c r="AS550" s="39"/>
      <c r="AT550" s="39">
        <v>200</v>
      </c>
      <c r="AZ550" t="s">
        <v>108</v>
      </c>
      <c r="BC550" t="s">
        <v>336</v>
      </c>
    </row>
    <row r="551" spans="1:55" x14ac:dyDescent="0.25">
      <c r="A551" t="str">
        <f t="shared" si="8"/>
        <v>A69-1601-1319</v>
      </c>
      <c r="B551" t="s">
        <v>398</v>
      </c>
      <c r="C551" t="s">
        <v>324</v>
      </c>
      <c r="D551" t="s">
        <v>345</v>
      </c>
      <c r="F551">
        <v>1319</v>
      </c>
      <c r="G551" t="s">
        <v>346</v>
      </c>
      <c r="H551" t="s">
        <v>327</v>
      </c>
      <c r="I551" s="20">
        <v>40694</v>
      </c>
      <c r="J551">
        <v>101</v>
      </c>
      <c r="L551" t="s">
        <v>109</v>
      </c>
      <c r="M551" t="s">
        <v>328</v>
      </c>
      <c r="N551" t="s">
        <v>329</v>
      </c>
      <c r="O551" t="s">
        <v>330</v>
      </c>
      <c r="P551" t="s">
        <v>331</v>
      </c>
      <c r="U551">
        <v>0.47</v>
      </c>
      <c r="V551">
        <v>0.22</v>
      </c>
      <c r="W551" t="s">
        <v>399</v>
      </c>
      <c r="Y551" t="s">
        <v>332</v>
      </c>
      <c r="AB551" t="s">
        <v>348</v>
      </c>
      <c r="AC551" t="s">
        <v>334</v>
      </c>
      <c r="AD551" s="34">
        <v>46.17166667</v>
      </c>
      <c r="AE551" s="34">
        <v>-84.078343329999996</v>
      </c>
      <c r="AF551" s="18">
        <v>40696.910416666666</v>
      </c>
      <c r="AG551" s="19">
        <v>40696.743750000001</v>
      </c>
      <c r="AH551" t="s">
        <v>161</v>
      </c>
      <c r="AL551" t="s">
        <v>335</v>
      </c>
      <c r="AM551" s="20">
        <v>40694</v>
      </c>
      <c r="AR551" s="39" t="s">
        <v>400</v>
      </c>
      <c r="AS551" s="39"/>
      <c r="AT551" s="39">
        <v>200</v>
      </c>
      <c r="AZ551" t="s">
        <v>108</v>
      </c>
      <c r="BC551" t="s">
        <v>336</v>
      </c>
    </row>
    <row r="552" spans="1:55" x14ac:dyDescent="0.25">
      <c r="A552" t="str">
        <f t="shared" si="8"/>
        <v>A69-1601-1320</v>
      </c>
      <c r="B552" t="s">
        <v>398</v>
      </c>
      <c r="C552" t="s">
        <v>324</v>
      </c>
      <c r="D552" t="s">
        <v>345</v>
      </c>
      <c r="F552">
        <v>1320</v>
      </c>
      <c r="G552" t="s">
        <v>346</v>
      </c>
      <c r="H552" t="s">
        <v>327</v>
      </c>
      <c r="I552" s="20">
        <v>40694</v>
      </c>
      <c r="J552">
        <v>101</v>
      </c>
      <c r="L552" t="s">
        <v>109</v>
      </c>
      <c r="M552" t="s">
        <v>328</v>
      </c>
      <c r="N552" t="s">
        <v>329</v>
      </c>
      <c r="O552" t="s">
        <v>330</v>
      </c>
      <c r="P552" t="s">
        <v>331</v>
      </c>
      <c r="U552">
        <v>0.52</v>
      </c>
      <c r="V552">
        <v>0.27700000000000002</v>
      </c>
      <c r="W552" t="s">
        <v>399</v>
      </c>
      <c r="Y552" t="s">
        <v>332</v>
      </c>
      <c r="AB552" t="s">
        <v>348</v>
      </c>
      <c r="AC552" t="s">
        <v>334</v>
      </c>
      <c r="AD552" s="34">
        <v>46.17166667</v>
      </c>
      <c r="AE552" s="34">
        <v>-84.078343329999996</v>
      </c>
      <c r="AF552" s="18">
        <v>40696.910416666666</v>
      </c>
      <c r="AG552" s="19">
        <v>40696.743750000001</v>
      </c>
      <c r="AH552" t="s">
        <v>161</v>
      </c>
      <c r="AL552" t="s">
        <v>335</v>
      </c>
      <c r="AM552" s="20">
        <v>40694</v>
      </c>
      <c r="AR552" s="39" t="s">
        <v>400</v>
      </c>
      <c r="AS552" s="39"/>
      <c r="AT552" s="39">
        <v>200</v>
      </c>
      <c r="AZ552" t="s">
        <v>108</v>
      </c>
      <c r="BC552" t="s">
        <v>336</v>
      </c>
    </row>
    <row r="553" spans="1:55" x14ac:dyDescent="0.25">
      <c r="A553" t="str">
        <f t="shared" si="8"/>
        <v>A69-1601-1321</v>
      </c>
      <c r="B553" t="s">
        <v>398</v>
      </c>
      <c r="C553" t="s">
        <v>324</v>
      </c>
      <c r="D553" t="s">
        <v>345</v>
      </c>
      <c r="F553">
        <v>1321</v>
      </c>
      <c r="G553" t="s">
        <v>346</v>
      </c>
      <c r="H553" t="s">
        <v>327</v>
      </c>
      <c r="I553" s="20">
        <v>40694</v>
      </c>
      <c r="J553">
        <v>101</v>
      </c>
      <c r="L553" t="s">
        <v>109</v>
      </c>
      <c r="M553" t="s">
        <v>328</v>
      </c>
      <c r="N553" t="s">
        <v>329</v>
      </c>
      <c r="O553" t="s">
        <v>330</v>
      </c>
      <c r="P553" t="s">
        <v>331</v>
      </c>
      <c r="U553">
        <v>0.47</v>
      </c>
      <c r="V553">
        <v>0.20300000000000001</v>
      </c>
      <c r="W553" t="s">
        <v>399</v>
      </c>
      <c r="Y553" t="s">
        <v>332</v>
      </c>
      <c r="AB553" t="s">
        <v>348</v>
      </c>
      <c r="AC553" t="s">
        <v>334</v>
      </c>
      <c r="AD553" s="34">
        <v>46.17166667</v>
      </c>
      <c r="AE553" s="34">
        <v>-84.078343329999996</v>
      </c>
      <c r="AF553" s="18">
        <v>40696.910416666666</v>
      </c>
      <c r="AG553" s="19">
        <v>40696.743750000001</v>
      </c>
      <c r="AH553" t="s">
        <v>161</v>
      </c>
      <c r="AL553" t="s">
        <v>335</v>
      </c>
      <c r="AM553" s="20">
        <v>40694</v>
      </c>
      <c r="AR553" s="39" t="s">
        <v>400</v>
      </c>
      <c r="AS553" s="39"/>
      <c r="AT553" s="39">
        <v>200</v>
      </c>
      <c r="AZ553" t="s">
        <v>108</v>
      </c>
      <c r="BC553" t="s">
        <v>336</v>
      </c>
    </row>
    <row r="554" spans="1:55" x14ac:dyDescent="0.25">
      <c r="A554" t="str">
        <f t="shared" si="8"/>
        <v>A69-1601-1322</v>
      </c>
      <c r="B554" t="s">
        <v>398</v>
      </c>
      <c r="C554" t="s">
        <v>324</v>
      </c>
      <c r="D554" t="s">
        <v>345</v>
      </c>
      <c r="F554">
        <v>1322</v>
      </c>
      <c r="G554" t="s">
        <v>346</v>
      </c>
      <c r="H554" t="s">
        <v>327</v>
      </c>
      <c r="I554" s="20">
        <v>40694</v>
      </c>
      <c r="J554">
        <v>101</v>
      </c>
      <c r="L554" t="s">
        <v>109</v>
      </c>
      <c r="M554" t="s">
        <v>328</v>
      </c>
      <c r="N554" t="s">
        <v>329</v>
      </c>
      <c r="O554" t="s">
        <v>330</v>
      </c>
      <c r="P554" t="s">
        <v>331</v>
      </c>
      <c r="U554">
        <v>0.5</v>
      </c>
      <c r="V554">
        <v>0.23699999999999999</v>
      </c>
      <c r="W554" t="s">
        <v>399</v>
      </c>
      <c r="Y554" t="s">
        <v>332</v>
      </c>
      <c r="AB554" t="s">
        <v>348</v>
      </c>
      <c r="AC554" t="s">
        <v>334</v>
      </c>
      <c r="AD554" s="34">
        <v>46.17166667</v>
      </c>
      <c r="AE554" s="34">
        <v>-84.078343329999996</v>
      </c>
      <c r="AF554" s="18">
        <v>40696.910416666666</v>
      </c>
      <c r="AG554" s="19">
        <v>40696.743750000001</v>
      </c>
      <c r="AH554" t="s">
        <v>161</v>
      </c>
      <c r="AL554" t="s">
        <v>335</v>
      </c>
      <c r="AM554" s="20">
        <v>40694</v>
      </c>
      <c r="AR554" s="39" t="s">
        <v>400</v>
      </c>
      <c r="AS554" s="39"/>
      <c r="AT554" s="39">
        <v>200</v>
      </c>
      <c r="AZ554" t="s">
        <v>108</v>
      </c>
      <c r="BC554" t="s">
        <v>336</v>
      </c>
    </row>
    <row r="555" spans="1:55" x14ac:dyDescent="0.25">
      <c r="A555" t="str">
        <f t="shared" si="8"/>
        <v>A69-1601-1323</v>
      </c>
      <c r="B555" t="s">
        <v>398</v>
      </c>
      <c r="C555" t="s">
        <v>324</v>
      </c>
      <c r="D555" t="s">
        <v>345</v>
      </c>
      <c r="F555">
        <v>1323</v>
      </c>
      <c r="G555" t="s">
        <v>346</v>
      </c>
      <c r="H555" t="s">
        <v>327</v>
      </c>
      <c r="I555" s="20">
        <v>40694</v>
      </c>
      <c r="J555">
        <v>101</v>
      </c>
      <c r="L555" t="s">
        <v>109</v>
      </c>
      <c r="M555" t="s">
        <v>328</v>
      </c>
      <c r="N555" t="s">
        <v>329</v>
      </c>
      <c r="O555" t="s">
        <v>330</v>
      </c>
      <c r="P555" t="s">
        <v>331</v>
      </c>
      <c r="U555">
        <v>0.51</v>
      </c>
      <c r="V555">
        <v>0.28199999999999997</v>
      </c>
      <c r="W555" t="s">
        <v>399</v>
      </c>
      <c r="Y555" t="s">
        <v>332</v>
      </c>
      <c r="AB555" t="s">
        <v>348</v>
      </c>
      <c r="AC555" t="s">
        <v>334</v>
      </c>
      <c r="AD555" s="34">
        <v>46.17166667</v>
      </c>
      <c r="AE555" s="34">
        <v>-84.078343329999996</v>
      </c>
      <c r="AF555" s="18">
        <v>40696.910416666666</v>
      </c>
      <c r="AG555" s="19">
        <v>40696.743750000001</v>
      </c>
      <c r="AH555" t="s">
        <v>161</v>
      </c>
      <c r="AL555" t="s">
        <v>335</v>
      </c>
      <c r="AM555" s="20">
        <v>40694</v>
      </c>
      <c r="AR555" s="39" t="s">
        <v>400</v>
      </c>
      <c r="AS555" s="39"/>
      <c r="AT555" s="39">
        <v>200</v>
      </c>
      <c r="AZ555" t="s">
        <v>108</v>
      </c>
      <c r="BC555" t="s">
        <v>336</v>
      </c>
    </row>
    <row r="556" spans="1:55" x14ac:dyDescent="0.25">
      <c r="A556" t="str">
        <f t="shared" si="8"/>
        <v>A69-1601-1324</v>
      </c>
      <c r="B556" t="s">
        <v>398</v>
      </c>
      <c r="C556" t="s">
        <v>324</v>
      </c>
      <c r="D556" t="s">
        <v>345</v>
      </c>
      <c r="F556">
        <v>1324</v>
      </c>
      <c r="G556" t="s">
        <v>346</v>
      </c>
      <c r="H556" t="s">
        <v>327</v>
      </c>
      <c r="I556" s="20">
        <v>40694</v>
      </c>
      <c r="J556">
        <v>101</v>
      </c>
      <c r="L556" t="s">
        <v>109</v>
      </c>
      <c r="M556" t="s">
        <v>328</v>
      </c>
      <c r="N556" t="s">
        <v>329</v>
      </c>
      <c r="O556" t="s">
        <v>330</v>
      </c>
      <c r="P556" t="s">
        <v>331</v>
      </c>
      <c r="U556">
        <v>0.49</v>
      </c>
      <c r="V556">
        <v>0.23799999999999999</v>
      </c>
      <c r="W556" t="s">
        <v>399</v>
      </c>
      <c r="Y556" t="s">
        <v>332</v>
      </c>
      <c r="AB556" t="s">
        <v>348</v>
      </c>
      <c r="AC556" t="s">
        <v>334</v>
      </c>
      <c r="AD556" s="34">
        <v>46.17166667</v>
      </c>
      <c r="AE556" s="34">
        <v>-84.078343329999996</v>
      </c>
      <c r="AF556" s="18">
        <v>40696.910416666666</v>
      </c>
      <c r="AG556" s="19">
        <v>40696.743750000001</v>
      </c>
      <c r="AH556" t="s">
        <v>161</v>
      </c>
      <c r="AL556" t="s">
        <v>335</v>
      </c>
      <c r="AM556" s="20">
        <v>40694</v>
      </c>
      <c r="AR556" s="39" t="s">
        <v>400</v>
      </c>
      <c r="AS556" s="39"/>
      <c r="AT556" s="39">
        <v>200</v>
      </c>
      <c r="AZ556" t="s">
        <v>108</v>
      </c>
      <c r="BC556" t="s">
        <v>336</v>
      </c>
    </row>
    <row r="557" spans="1:55" x14ac:dyDescent="0.25">
      <c r="A557" t="str">
        <f t="shared" si="8"/>
        <v>A69-1601-1325</v>
      </c>
      <c r="B557" t="s">
        <v>398</v>
      </c>
      <c r="C557" t="s">
        <v>324</v>
      </c>
      <c r="D557" t="s">
        <v>345</v>
      </c>
      <c r="F557">
        <v>1325</v>
      </c>
      <c r="G557" t="s">
        <v>346</v>
      </c>
      <c r="H557" t="s">
        <v>327</v>
      </c>
      <c r="I557" s="20">
        <v>40694</v>
      </c>
      <c r="J557">
        <v>101</v>
      </c>
      <c r="L557" t="s">
        <v>109</v>
      </c>
      <c r="M557" t="s">
        <v>328</v>
      </c>
      <c r="N557" t="s">
        <v>329</v>
      </c>
      <c r="O557" t="s">
        <v>330</v>
      </c>
      <c r="P557" t="s">
        <v>331</v>
      </c>
      <c r="U557">
        <v>0.54</v>
      </c>
      <c r="V557">
        <v>0.34200000000000003</v>
      </c>
      <c r="W557" t="s">
        <v>399</v>
      </c>
      <c r="Y557" t="s">
        <v>332</v>
      </c>
      <c r="AB557" t="s">
        <v>348</v>
      </c>
      <c r="AC557" t="s">
        <v>334</v>
      </c>
      <c r="AD557" s="34">
        <v>46.17166667</v>
      </c>
      <c r="AE557" s="34">
        <v>-84.078343329999996</v>
      </c>
      <c r="AF557" s="18">
        <v>40696.910416666666</v>
      </c>
      <c r="AG557" s="19">
        <v>40696.743750000001</v>
      </c>
      <c r="AH557" t="s">
        <v>161</v>
      </c>
      <c r="AL557" t="s">
        <v>335</v>
      </c>
      <c r="AM557" s="20">
        <v>40694</v>
      </c>
      <c r="AR557" s="39" t="s">
        <v>400</v>
      </c>
      <c r="AS557" s="39"/>
      <c r="AT557" s="39">
        <v>200</v>
      </c>
      <c r="AZ557" t="s">
        <v>108</v>
      </c>
      <c r="BC557" t="s">
        <v>336</v>
      </c>
    </row>
    <row r="558" spans="1:55" x14ac:dyDescent="0.25">
      <c r="A558" t="str">
        <f t="shared" si="8"/>
        <v>A69-1601-1326</v>
      </c>
      <c r="B558" t="s">
        <v>398</v>
      </c>
      <c r="C558" t="s">
        <v>324</v>
      </c>
      <c r="D558" t="s">
        <v>345</v>
      </c>
      <c r="F558">
        <v>1326</v>
      </c>
      <c r="G558" t="s">
        <v>346</v>
      </c>
      <c r="H558" t="s">
        <v>327</v>
      </c>
      <c r="I558" s="20">
        <v>40694</v>
      </c>
      <c r="J558">
        <v>101</v>
      </c>
      <c r="L558" t="s">
        <v>109</v>
      </c>
      <c r="M558" t="s">
        <v>328</v>
      </c>
      <c r="N558" t="s">
        <v>329</v>
      </c>
      <c r="O558" t="s">
        <v>330</v>
      </c>
      <c r="P558" t="s">
        <v>331</v>
      </c>
      <c r="U558">
        <v>0.55000000000000004</v>
      </c>
      <c r="V558">
        <v>0.29499999999999998</v>
      </c>
      <c r="W558" t="s">
        <v>399</v>
      </c>
      <c r="Y558" t="s">
        <v>332</v>
      </c>
      <c r="AB558" t="s">
        <v>348</v>
      </c>
      <c r="AC558" t="s">
        <v>334</v>
      </c>
      <c r="AD558" s="34">
        <v>46.17166667</v>
      </c>
      <c r="AE558" s="34">
        <v>-84.078343329999996</v>
      </c>
      <c r="AF558" s="18">
        <v>40696.910416666666</v>
      </c>
      <c r="AG558" s="19">
        <v>40696.743750000001</v>
      </c>
      <c r="AH558" t="s">
        <v>161</v>
      </c>
      <c r="AL558" t="s">
        <v>335</v>
      </c>
      <c r="AM558" s="20">
        <v>40694</v>
      </c>
      <c r="AR558" s="39" t="s">
        <v>400</v>
      </c>
      <c r="AS558" s="39"/>
      <c r="AT558" s="39">
        <v>200</v>
      </c>
      <c r="AZ558" t="s">
        <v>108</v>
      </c>
      <c r="BC558" t="s">
        <v>336</v>
      </c>
    </row>
    <row r="559" spans="1:55" x14ac:dyDescent="0.25">
      <c r="A559" t="str">
        <f t="shared" si="8"/>
        <v>A69-1601-1327</v>
      </c>
      <c r="B559" t="s">
        <v>398</v>
      </c>
      <c r="C559" t="s">
        <v>324</v>
      </c>
      <c r="D559" t="s">
        <v>345</v>
      </c>
      <c r="F559">
        <v>1327</v>
      </c>
      <c r="G559" t="s">
        <v>346</v>
      </c>
      <c r="H559" t="s">
        <v>327</v>
      </c>
      <c r="I559" s="20">
        <v>40694</v>
      </c>
      <c r="J559">
        <v>101</v>
      </c>
      <c r="L559" t="s">
        <v>109</v>
      </c>
      <c r="M559" t="s">
        <v>328</v>
      </c>
      <c r="N559" t="s">
        <v>329</v>
      </c>
      <c r="O559" t="s">
        <v>330</v>
      </c>
      <c r="P559" t="s">
        <v>331</v>
      </c>
      <c r="U559">
        <v>0.46</v>
      </c>
      <c r="V559">
        <v>0.219</v>
      </c>
      <c r="W559" t="s">
        <v>399</v>
      </c>
      <c r="Y559" t="s">
        <v>337</v>
      </c>
      <c r="AB559" t="s">
        <v>348</v>
      </c>
      <c r="AC559" t="s">
        <v>334</v>
      </c>
      <c r="AD559" s="34">
        <v>46.17166667</v>
      </c>
      <c r="AE559" s="34">
        <v>-84.078343329999996</v>
      </c>
      <c r="AF559" s="18">
        <v>40696.910416666666</v>
      </c>
      <c r="AG559" s="19">
        <v>40696.743750000001</v>
      </c>
      <c r="AH559" t="s">
        <v>161</v>
      </c>
      <c r="AL559" t="s">
        <v>335</v>
      </c>
      <c r="AM559" s="20">
        <v>40694</v>
      </c>
      <c r="AR559" s="39" t="s">
        <v>400</v>
      </c>
      <c r="AS559" s="39"/>
      <c r="AT559" s="39">
        <v>200</v>
      </c>
      <c r="AZ559" t="s">
        <v>108</v>
      </c>
      <c r="BC559" t="s">
        <v>336</v>
      </c>
    </row>
    <row r="560" spans="1:55" x14ac:dyDescent="0.25">
      <c r="A560" t="str">
        <f t="shared" si="8"/>
        <v>A69-1601-1328</v>
      </c>
      <c r="B560" t="s">
        <v>398</v>
      </c>
      <c r="C560" t="s">
        <v>324</v>
      </c>
      <c r="D560" t="s">
        <v>345</v>
      </c>
      <c r="F560">
        <v>1328</v>
      </c>
      <c r="G560" t="s">
        <v>346</v>
      </c>
      <c r="H560" t="s">
        <v>327</v>
      </c>
      <c r="I560" s="20">
        <v>40694</v>
      </c>
      <c r="J560">
        <v>101</v>
      </c>
      <c r="L560" t="s">
        <v>109</v>
      </c>
      <c r="M560" t="s">
        <v>328</v>
      </c>
      <c r="N560" t="s">
        <v>329</v>
      </c>
      <c r="O560" t="s">
        <v>330</v>
      </c>
      <c r="P560" t="s">
        <v>331</v>
      </c>
      <c r="U560">
        <v>0.55000000000000004</v>
      </c>
      <c r="V560">
        <v>0.312</v>
      </c>
      <c r="W560" t="s">
        <v>399</v>
      </c>
      <c r="Y560" t="s">
        <v>337</v>
      </c>
      <c r="AB560" t="s">
        <v>348</v>
      </c>
      <c r="AC560" t="s">
        <v>334</v>
      </c>
      <c r="AD560" s="34">
        <v>46.17166667</v>
      </c>
      <c r="AE560" s="34">
        <v>-84.078343329999996</v>
      </c>
      <c r="AF560" s="18">
        <v>40696.910416666666</v>
      </c>
      <c r="AG560" s="19">
        <v>40696.743750000001</v>
      </c>
      <c r="AH560" t="s">
        <v>161</v>
      </c>
      <c r="AL560" t="s">
        <v>335</v>
      </c>
      <c r="AM560" s="20">
        <v>40694</v>
      </c>
      <c r="AR560" s="39" t="s">
        <v>400</v>
      </c>
      <c r="AS560" s="39"/>
      <c r="AT560" s="39">
        <v>200</v>
      </c>
      <c r="AZ560" t="s">
        <v>108</v>
      </c>
      <c r="BC560" t="s">
        <v>336</v>
      </c>
    </row>
    <row r="561" spans="1:71" x14ac:dyDescent="0.25">
      <c r="A561" t="str">
        <f t="shared" si="8"/>
        <v>A69-1601-1329</v>
      </c>
      <c r="B561" t="s">
        <v>398</v>
      </c>
      <c r="C561" t="s">
        <v>324</v>
      </c>
      <c r="D561" t="s">
        <v>345</v>
      </c>
      <c r="F561">
        <v>1329</v>
      </c>
      <c r="G561" t="s">
        <v>346</v>
      </c>
      <c r="H561" t="s">
        <v>327</v>
      </c>
      <c r="I561" s="20">
        <v>40694</v>
      </c>
      <c r="J561">
        <v>101</v>
      </c>
      <c r="L561" t="s">
        <v>109</v>
      </c>
      <c r="M561" t="s">
        <v>328</v>
      </c>
      <c r="N561" t="s">
        <v>329</v>
      </c>
      <c r="O561" t="s">
        <v>330</v>
      </c>
      <c r="P561" t="s">
        <v>331</v>
      </c>
      <c r="U561">
        <v>0.51</v>
      </c>
      <c r="V561">
        <v>0.22</v>
      </c>
      <c r="W561" t="s">
        <v>399</v>
      </c>
      <c r="Y561" t="s">
        <v>332</v>
      </c>
      <c r="AB561" t="s">
        <v>348</v>
      </c>
      <c r="AC561" t="s">
        <v>334</v>
      </c>
      <c r="AD561" s="34">
        <v>46.17166667</v>
      </c>
      <c r="AE561" s="34">
        <v>-84.078343329999996</v>
      </c>
      <c r="AF561" s="18">
        <v>40696.910416666666</v>
      </c>
      <c r="AG561" s="19">
        <v>40696.743750000001</v>
      </c>
      <c r="AH561" t="s">
        <v>161</v>
      </c>
      <c r="AL561" t="s">
        <v>335</v>
      </c>
      <c r="AM561" s="20">
        <v>40694</v>
      </c>
      <c r="AR561" s="39" t="s">
        <v>400</v>
      </c>
      <c r="AS561" s="39"/>
      <c r="AT561" s="39">
        <v>200</v>
      </c>
      <c r="AZ561" t="s">
        <v>108</v>
      </c>
      <c r="BC561" t="s">
        <v>336</v>
      </c>
    </row>
    <row r="562" spans="1:71" x14ac:dyDescent="0.25">
      <c r="A562" t="str">
        <f t="shared" si="8"/>
        <v>A69-1601-1330</v>
      </c>
      <c r="B562" t="s">
        <v>398</v>
      </c>
      <c r="C562" t="s">
        <v>324</v>
      </c>
      <c r="D562" t="s">
        <v>345</v>
      </c>
      <c r="F562">
        <v>1330</v>
      </c>
      <c r="G562" t="s">
        <v>346</v>
      </c>
      <c r="H562" t="s">
        <v>327</v>
      </c>
      <c r="I562" s="20">
        <v>40694</v>
      </c>
      <c r="J562">
        <v>101</v>
      </c>
      <c r="L562" t="s">
        <v>109</v>
      </c>
      <c r="M562" t="s">
        <v>328</v>
      </c>
      <c r="N562" t="s">
        <v>329</v>
      </c>
      <c r="O562" t="s">
        <v>330</v>
      </c>
      <c r="P562" t="s">
        <v>331</v>
      </c>
      <c r="U562">
        <v>0.49</v>
      </c>
      <c r="V562">
        <v>0.26600000000000001</v>
      </c>
      <c r="W562" t="s">
        <v>399</v>
      </c>
      <c r="Y562" t="s">
        <v>337</v>
      </c>
      <c r="AB562" t="s">
        <v>348</v>
      </c>
      <c r="AC562" t="s">
        <v>334</v>
      </c>
      <c r="AD562" s="34">
        <v>46.17166667</v>
      </c>
      <c r="AE562" s="34">
        <v>-84.078343329999996</v>
      </c>
      <c r="AF562" s="18">
        <v>40696.910416666666</v>
      </c>
      <c r="AG562" s="19">
        <v>40696.743750000001</v>
      </c>
      <c r="AH562" t="s">
        <v>161</v>
      </c>
      <c r="AL562" t="s">
        <v>335</v>
      </c>
      <c r="AM562" s="20">
        <v>40694</v>
      </c>
      <c r="AR562" s="39" t="s">
        <v>400</v>
      </c>
      <c r="AS562" s="39"/>
      <c r="AT562" s="39">
        <v>200</v>
      </c>
      <c r="AZ562" t="s">
        <v>108</v>
      </c>
      <c r="BC562" t="s">
        <v>336</v>
      </c>
    </row>
    <row r="563" spans="1:71" x14ac:dyDescent="0.25">
      <c r="A563" t="str">
        <f t="shared" si="8"/>
        <v>A69-1601-1331</v>
      </c>
      <c r="B563" t="s">
        <v>398</v>
      </c>
      <c r="C563" t="s">
        <v>324</v>
      </c>
      <c r="D563" t="s">
        <v>345</v>
      </c>
      <c r="F563">
        <v>1331</v>
      </c>
      <c r="G563" t="s">
        <v>346</v>
      </c>
      <c r="H563" t="s">
        <v>327</v>
      </c>
      <c r="I563" s="20">
        <v>40694</v>
      </c>
      <c r="J563">
        <v>101</v>
      </c>
      <c r="L563" t="s">
        <v>109</v>
      </c>
      <c r="M563" t="s">
        <v>328</v>
      </c>
      <c r="N563" t="s">
        <v>329</v>
      </c>
      <c r="O563" t="s">
        <v>330</v>
      </c>
      <c r="P563" t="s">
        <v>331</v>
      </c>
      <c r="U563">
        <v>0.54</v>
      </c>
      <c r="V563">
        <v>0.25700000000000001</v>
      </c>
      <c r="W563" t="s">
        <v>399</v>
      </c>
      <c r="Y563" t="s">
        <v>332</v>
      </c>
      <c r="AB563" t="s">
        <v>348</v>
      </c>
      <c r="AC563" t="s">
        <v>334</v>
      </c>
      <c r="AD563" s="34">
        <v>46.17166667</v>
      </c>
      <c r="AE563" s="34">
        <v>-84.078343329999996</v>
      </c>
      <c r="AF563" s="18">
        <v>40696.910416666666</v>
      </c>
      <c r="AG563" s="19">
        <v>40696.743750000001</v>
      </c>
      <c r="AH563" t="s">
        <v>161</v>
      </c>
      <c r="AL563" t="s">
        <v>335</v>
      </c>
      <c r="AM563" s="20">
        <v>40694</v>
      </c>
      <c r="AR563" s="39" t="s">
        <v>400</v>
      </c>
      <c r="AS563" s="39"/>
      <c r="AT563" s="39">
        <v>200</v>
      </c>
      <c r="AZ563" t="s">
        <v>108</v>
      </c>
      <c r="BC563" t="s">
        <v>336</v>
      </c>
    </row>
    <row r="564" spans="1:71" x14ac:dyDescent="0.25">
      <c r="A564" t="str">
        <f t="shared" si="8"/>
        <v>A69-1601-1332</v>
      </c>
      <c r="B564" t="s">
        <v>398</v>
      </c>
      <c r="C564" t="s">
        <v>324</v>
      </c>
      <c r="D564" t="s">
        <v>345</v>
      </c>
      <c r="F564">
        <v>1332</v>
      </c>
      <c r="G564" t="s">
        <v>346</v>
      </c>
      <c r="H564" t="s">
        <v>327</v>
      </c>
      <c r="I564" s="20">
        <v>40694</v>
      </c>
      <c r="J564">
        <v>101</v>
      </c>
      <c r="L564" t="s">
        <v>109</v>
      </c>
      <c r="M564" t="s">
        <v>328</v>
      </c>
      <c r="N564" t="s">
        <v>329</v>
      </c>
      <c r="O564" t="s">
        <v>330</v>
      </c>
      <c r="P564" t="s">
        <v>331</v>
      </c>
      <c r="U564">
        <v>0.51</v>
      </c>
      <c r="V564">
        <v>0.26500000000000001</v>
      </c>
      <c r="W564" t="s">
        <v>399</v>
      </c>
      <c r="Y564" t="s">
        <v>332</v>
      </c>
      <c r="AB564" t="s">
        <v>348</v>
      </c>
      <c r="AC564" t="s">
        <v>334</v>
      </c>
      <c r="AD564" s="34">
        <v>46.17166667</v>
      </c>
      <c r="AE564" s="34">
        <v>-84.078343329999996</v>
      </c>
      <c r="AF564" s="18">
        <v>40696.910416666666</v>
      </c>
      <c r="AG564" s="19">
        <v>40696.743750000001</v>
      </c>
      <c r="AH564" t="s">
        <v>161</v>
      </c>
      <c r="AL564" t="s">
        <v>335</v>
      </c>
      <c r="AM564" s="20">
        <v>40694</v>
      </c>
      <c r="AR564" s="39" t="s">
        <v>400</v>
      </c>
      <c r="AS564" s="39"/>
      <c r="AT564" s="39">
        <v>200</v>
      </c>
      <c r="AZ564" t="s">
        <v>108</v>
      </c>
      <c r="BC564" t="s">
        <v>336</v>
      </c>
    </row>
    <row r="565" spans="1:71" x14ac:dyDescent="0.25">
      <c r="A565" t="str">
        <f t="shared" si="8"/>
        <v>A69-1601-1333</v>
      </c>
      <c r="B565" t="s">
        <v>398</v>
      </c>
      <c r="C565" t="s">
        <v>324</v>
      </c>
      <c r="D565" t="s">
        <v>345</v>
      </c>
      <c r="F565">
        <v>1333</v>
      </c>
      <c r="G565" t="s">
        <v>346</v>
      </c>
      <c r="H565" t="s">
        <v>327</v>
      </c>
      <c r="I565" s="20">
        <v>40694</v>
      </c>
      <c r="J565">
        <v>101</v>
      </c>
      <c r="L565" t="s">
        <v>109</v>
      </c>
      <c r="M565" t="s">
        <v>328</v>
      </c>
      <c r="N565" t="s">
        <v>329</v>
      </c>
      <c r="O565" t="s">
        <v>330</v>
      </c>
      <c r="P565" t="s">
        <v>331</v>
      </c>
      <c r="U565">
        <v>0.56999999999999995</v>
      </c>
      <c r="V565">
        <v>0.34100000000000003</v>
      </c>
      <c r="W565" t="s">
        <v>399</v>
      </c>
      <c r="Y565" t="s">
        <v>337</v>
      </c>
      <c r="AB565" t="s">
        <v>347</v>
      </c>
      <c r="AC565" t="s">
        <v>342</v>
      </c>
      <c r="AD565" s="34">
        <v>46.306741670000001</v>
      </c>
      <c r="AE565" s="34">
        <v>-84.060811670000007</v>
      </c>
      <c r="AF565" s="18">
        <v>40696.938888888886</v>
      </c>
      <c r="AG565" s="19">
        <v>40696.772222222222</v>
      </c>
      <c r="AH565" t="s">
        <v>161</v>
      </c>
      <c r="AL565" t="s">
        <v>335</v>
      </c>
      <c r="AM565" s="20">
        <v>40694</v>
      </c>
      <c r="AR565" s="39" t="s">
        <v>400</v>
      </c>
      <c r="AS565" s="39"/>
      <c r="AT565" s="39">
        <v>200</v>
      </c>
      <c r="AZ565" t="s">
        <v>108</v>
      </c>
      <c r="BC565" t="s">
        <v>336</v>
      </c>
    </row>
    <row r="566" spans="1:71" x14ac:dyDescent="0.25">
      <c r="A566" t="str">
        <f t="shared" si="8"/>
        <v>A69-1601-1334</v>
      </c>
      <c r="B566" t="s">
        <v>398</v>
      </c>
      <c r="C566" t="s">
        <v>324</v>
      </c>
      <c r="D566" t="s">
        <v>345</v>
      </c>
      <c r="F566">
        <v>1334</v>
      </c>
      <c r="G566" t="s">
        <v>346</v>
      </c>
      <c r="H566" t="s">
        <v>327</v>
      </c>
      <c r="I566" s="20">
        <v>40694</v>
      </c>
      <c r="J566">
        <v>101</v>
      </c>
      <c r="L566" t="s">
        <v>109</v>
      </c>
      <c r="M566" t="s">
        <v>328</v>
      </c>
      <c r="N566" t="s">
        <v>329</v>
      </c>
      <c r="O566" t="s">
        <v>330</v>
      </c>
      <c r="P566" t="s">
        <v>331</v>
      </c>
      <c r="U566">
        <v>0.52</v>
      </c>
      <c r="V566">
        <v>0.27800000000000002</v>
      </c>
      <c r="W566" t="s">
        <v>399</v>
      </c>
      <c r="Y566" t="s">
        <v>332</v>
      </c>
      <c r="AB566" t="s">
        <v>348</v>
      </c>
      <c r="AC566" t="s">
        <v>334</v>
      </c>
      <c r="AD566" s="34">
        <v>46.17166667</v>
      </c>
      <c r="AE566" s="34">
        <v>-84.078343329999996</v>
      </c>
      <c r="AF566" s="18">
        <v>40696.910416666666</v>
      </c>
      <c r="AG566" s="19">
        <v>40696.743750000001</v>
      </c>
      <c r="AH566" t="s">
        <v>161</v>
      </c>
      <c r="AL566" t="s">
        <v>335</v>
      </c>
      <c r="AM566" s="20">
        <v>40694</v>
      </c>
      <c r="AR566" s="39" t="s">
        <v>400</v>
      </c>
      <c r="AS566" s="39"/>
      <c r="AT566" s="39">
        <v>200</v>
      </c>
      <c r="AZ566" t="s">
        <v>108</v>
      </c>
      <c r="BC566" t="s">
        <v>336</v>
      </c>
    </row>
    <row r="567" spans="1:71" x14ac:dyDescent="0.25">
      <c r="A567" t="str">
        <f t="shared" si="8"/>
        <v>A69-1601-1335</v>
      </c>
      <c r="B567" t="s">
        <v>398</v>
      </c>
      <c r="C567" t="s">
        <v>324</v>
      </c>
      <c r="D567" t="s">
        <v>345</v>
      </c>
      <c r="F567">
        <v>1335</v>
      </c>
      <c r="G567" t="s">
        <v>346</v>
      </c>
      <c r="H567" t="s">
        <v>327</v>
      </c>
      <c r="I567" s="20">
        <v>40694</v>
      </c>
      <c r="J567">
        <v>101</v>
      </c>
      <c r="L567" t="s">
        <v>109</v>
      </c>
      <c r="M567" t="s">
        <v>328</v>
      </c>
      <c r="N567" t="s">
        <v>329</v>
      </c>
      <c r="O567" t="s">
        <v>330</v>
      </c>
      <c r="P567" t="s">
        <v>331</v>
      </c>
      <c r="U567">
        <v>0.49</v>
      </c>
      <c r="V567">
        <v>0.23</v>
      </c>
      <c r="W567" t="s">
        <v>399</v>
      </c>
      <c r="Y567" t="s">
        <v>332</v>
      </c>
      <c r="AB567" t="s">
        <v>348</v>
      </c>
      <c r="AC567" t="s">
        <v>334</v>
      </c>
      <c r="AD567" s="34">
        <v>46.17166667</v>
      </c>
      <c r="AE567" s="34">
        <v>-84.078343329999996</v>
      </c>
      <c r="AF567" s="18">
        <v>40696.910416666666</v>
      </c>
      <c r="AG567" s="19">
        <v>40696.743750000001</v>
      </c>
      <c r="AH567" t="s">
        <v>161</v>
      </c>
      <c r="AL567" t="s">
        <v>335</v>
      </c>
      <c r="AM567" s="20">
        <v>40694</v>
      </c>
      <c r="AR567" s="39" t="s">
        <v>400</v>
      </c>
      <c r="AS567" s="39"/>
      <c r="AT567" s="39">
        <v>200</v>
      </c>
      <c r="AZ567" t="s">
        <v>108</v>
      </c>
      <c r="BC567" t="s">
        <v>336</v>
      </c>
    </row>
    <row r="568" spans="1:71" x14ac:dyDescent="0.25">
      <c r="A568" t="str">
        <f t="shared" si="8"/>
        <v>A69-1601-1337</v>
      </c>
      <c r="B568" t="s">
        <v>398</v>
      </c>
      <c r="C568" t="s">
        <v>324</v>
      </c>
      <c r="D568" t="s">
        <v>345</v>
      </c>
      <c r="F568">
        <v>1337</v>
      </c>
      <c r="G568" t="s">
        <v>346</v>
      </c>
      <c r="H568" t="s">
        <v>327</v>
      </c>
      <c r="I568" s="20">
        <v>40694</v>
      </c>
      <c r="J568">
        <v>101</v>
      </c>
      <c r="L568" t="s">
        <v>109</v>
      </c>
      <c r="M568" t="s">
        <v>328</v>
      </c>
      <c r="N568" t="s">
        <v>329</v>
      </c>
      <c r="O568" t="s">
        <v>330</v>
      </c>
      <c r="P568" t="s">
        <v>331</v>
      </c>
      <c r="U568">
        <v>0.53</v>
      </c>
      <c r="V568">
        <v>0.318</v>
      </c>
      <c r="W568" t="s">
        <v>399</v>
      </c>
      <c r="Y568" t="s">
        <v>337</v>
      </c>
      <c r="AB568" t="s">
        <v>347</v>
      </c>
      <c r="AC568" t="s">
        <v>342</v>
      </c>
      <c r="AD568" s="34">
        <v>46.306741670000001</v>
      </c>
      <c r="AE568" s="34">
        <v>-84.060811670000007</v>
      </c>
      <c r="AF568" s="18">
        <v>40696.938888888886</v>
      </c>
      <c r="AG568" s="19">
        <v>40696.772222222222</v>
      </c>
      <c r="AH568" t="s">
        <v>161</v>
      </c>
      <c r="AL568" t="s">
        <v>335</v>
      </c>
      <c r="AM568" s="20">
        <v>40694</v>
      </c>
      <c r="AR568" s="39" t="s">
        <v>400</v>
      </c>
      <c r="AS568" s="39"/>
      <c r="AT568" s="39">
        <v>200</v>
      </c>
      <c r="AZ568" t="s">
        <v>108</v>
      </c>
      <c r="BC568" t="s">
        <v>163</v>
      </c>
      <c r="BD568" s="20">
        <v>40728</v>
      </c>
      <c r="BF568" s="21" t="s">
        <v>406</v>
      </c>
      <c r="BG568" s="38" t="s">
        <v>113</v>
      </c>
      <c r="BH568" s="1" t="s">
        <v>408</v>
      </c>
      <c r="BI568" s="1">
        <v>46.514783999999999</v>
      </c>
      <c r="BJ568" s="1">
        <v>-84.346945000000005</v>
      </c>
      <c r="BK568" s="1" t="s">
        <v>404</v>
      </c>
      <c r="BL568" s="1" t="s">
        <v>163</v>
      </c>
      <c r="BM568" s="1" t="s">
        <v>163</v>
      </c>
      <c r="BN568" s="1" t="s">
        <v>410</v>
      </c>
      <c r="BO568" s="39">
        <v>3385</v>
      </c>
      <c r="BP568" s="39">
        <v>3386</v>
      </c>
      <c r="BQ568" s="39" t="s">
        <v>337</v>
      </c>
      <c r="BR568" s="39">
        <v>517</v>
      </c>
      <c r="BS568" s="39">
        <v>291</v>
      </c>
    </row>
    <row r="569" spans="1:71" x14ac:dyDescent="0.25">
      <c r="A569" t="str">
        <f t="shared" si="8"/>
        <v>A69-1601-1338</v>
      </c>
      <c r="B569" t="s">
        <v>398</v>
      </c>
      <c r="C569" t="s">
        <v>324</v>
      </c>
      <c r="D569" t="s">
        <v>345</v>
      </c>
      <c r="F569">
        <v>1338</v>
      </c>
      <c r="G569" t="s">
        <v>346</v>
      </c>
      <c r="H569" t="s">
        <v>327</v>
      </c>
      <c r="I569" s="20">
        <v>40694</v>
      </c>
      <c r="J569">
        <v>101</v>
      </c>
      <c r="L569" t="s">
        <v>109</v>
      </c>
      <c r="M569" t="s">
        <v>328</v>
      </c>
      <c r="N569" t="s">
        <v>329</v>
      </c>
      <c r="O569" t="s">
        <v>330</v>
      </c>
      <c r="P569" t="s">
        <v>331</v>
      </c>
      <c r="U569">
        <v>0.5</v>
      </c>
      <c r="V569">
        <v>0.27100000000000002</v>
      </c>
      <c r="W569" t="s">
        <v>399</v>
      </c>
      <c r="Y569" t="s">
        <v>337</v>
      </c>
      <c r="AB569" t="s">
        <v>347</v>
      </c>
      <c r="AC569" t="s">
        <v>342</v>
      </c>
      <c r="AD569" s="34">
        <v>46.306741670000001</v>
      </c>
      <c r="AE569" s="34">
        <v>-84.060811670000007</v>
      </c>
      <c r="AF569" s="18">
        <v>40696.938888888886</v>
      </c>
      <c r="AG569" s="19">
        <v>40696.772222222222</v>
      </c>
      <c r="AH569" t="s">
        <v>161</v>
      </c>
      <c r="AL569" t="s">
        <v>335</v>
      </c>
      <c r="AM569" s="20">
        <v>40694</v>
      </c>
      <c r="AR569" s="39" t="s">
        <v>400</v>
      </c>
      <c r="AS569" s="39"/>
      <c r="AT569" s="39">
        <v>200</v>
      </c>
      <c r="AZ569" t="s">
        <v>108</v>
      </c>
      <c r="BC569" t="s">
        <v>336</v>
      </c>
    </row>
    <row r="570" spans="1:71" x14ac:dyDescent="0.25">
      <c r="A570" t="str">
        <f t="shared" si="8"/>
        <v>A69-1601-1339</v>
      </c>
      <c r="B570" t="s">
        <v>398</v>
      </c>
      <c r="C570" t="s">
        <v>324</v>
      </c>
      <c r="D570" t="s">
        <v>345</v>
      </c>
      <c r="F570">
        <v>1339</v>
      </c>
      <c r="G570" t="s">
        <v>346</v>
      </c>
      <c r="H570" t="s">
        <v>327</v>
      </c>
      <c r="I570" s="20">
        <v>40694</v>
      </c>
      <c r="J570">
        <v>101</v>
      </c>
      <c r="L570" t="s">
        <v>109</v>
      </c>
      <c r="M570" t="s">
        <v>328</v>
      </c>
      <c r="N570" t="s">
        <v>329</v>
      </c>
      <c r="O570" t="s">
        <v>330</v>
      </c>
      <c r="P570" t="s">
        <v>331</v>
      </c>
      <c r="U570">
        <v>0.47</v>
      </c>
      <c r="V570">
        <v>0.23799999999999999</v>
      </c>
      <c r="W570" t="s">
        <v>399</v>
      </c>
      <c r="Y570" t="s">
        <v>332</v>
      </c>
      <c r="AB570" t="s">
        <v>348</v>
      </c>
      <c r="AC570" t="s">
        <v>334</v>
      </c>
      <c r="AD570" s="34">
        <v>46.17166667</v>
      </c>
      <c r="AE570" s="34">
        <v>-84.078343329999996</v>
      </c>
      <c r="AF570" s="18">
        <v>40696.910416666666</v>
      </c>
      <c r="AG570" s="19">
        <v>40696.743750000001</v>
      </c>
      <c r="AH570" t="s">
        <v>161</v>
      </c>
      <c r="AL570" t="s">
        <v>335</v>
      </c>
      <c r="AM570" s="20">
        <v>40694</v>
      </c>
      <c r="AR570" s="39" t="s">
        <v>400</v>
      </c>
      <c r="AS570" s="39"/>
      <c r="AT570" s="39">
        <v>200</v>
      </c>
      <c r="AZ570" t="s">
        <v>108</v>
      </c>
      <c r="BC570" t="s">
        <v>336</v>
      </c>
    </row>
    <row r="571" spans="1:71" x14ac:dyDescent="0.25">
      <c r="A571" t="str">
        <f t="shared" si="8"/>
        <v>A69-1601-1340</v>
      </c>
      <c r="B571" t="s">
        <v>398</v>
      </c>
      <c r="C571" t="s">
        <v>324</v>
      </c>
      <c r="D571" t="s">
        <v>345</v>
      </c>
      <c r="F571">
        <v>1340</v>
      </c>
      <c r="G571" t="s">
        <v>346</v>
      </c>
      <c r="H571" t="s">
        <v>327</v>
      </c>
      <c r="I571" s="20">
        <v>40694</v>
      </c>
      <c r="J571">
        <v>101</v>
      </c>
      <c r="L571" t="s">
        <v>109</v>
      </c>
      <c r="M571" t="s">
        <v>328</v>
      </c>
      <c r="N571" t="s">
        <v>329</v>
      </c>
      <c r="O571" t="s">
        <v>330</v>
      </c>
      <c r="P571" t="s">
        <v>331</v>
      </c>
      <c r="U571">
        <v>0.53</v>
      </c>
      <c r="V571">
        <v>0.30599999999999999</v>
      </c>
      <c r="W571" t="s">
        <v>399</v>
      </c>
      <c r="Y571" t="s">
        <v>332</v>
      </c>
      <c r="AB571" t="s">
        <v>348</v>
      </c>
      <c r="AC571" t="s">
        <v>334</v>
      </c>
      <c r="AD571" s="34">
        <v>46.17166667</v>
      </c>
      <c r="AE571" s="34">
        <v>-84.078343329999996</v>
      </c>
      <c r="AF571" s="18">
        <v>40696.910416666666</v>
      </c>
      <c r="AG571" s="19">
        <v>40696.743750000001</v>
      </c>
      <c r="AH571" t="s">
        <v>161</v>
      </c>
      <c r="AL571" t="s">
        <v>335</v>
      </c>
      <c r="AM571" s="20">
        <v>40694</v>
      </c>
      <c r="AR571" s="39" t="s">
        <v>400</v>
      </c>
      <c r="AS571" s="39"/>
      <c r="AT571" s="39">
        <v>200</v>
      </c>
      <c r="AZ571" t="s">
        <v>108</v>
      </c>
      <c r="BC571" t="s">
        <v>336</v>
      </c>
    </row>
    <row r="572" spans="1:71" x14ac:dyDescent="0.25">
      <c r="A572" t="str">
        <f t="shared" si="8"/>
        <v>A69-1601-1341</v>
      </c>
      <c r="B572" t="s">
        <v>398</v>
      </c>
      <c r="C572" t="s">
        <v>324</v>
      </c>
      <c r="D572" t="s">
        <v>345</v>
      </c>
      <c r="F572">
        <v>1341</v>
      </c>
      <c r="G572" t="s">
        <v>346</v>
      </c>
      <c r="H572" t="s">
        <v>327</v>
      </c>
      <c r="I572" s="20">
        <v>40694</v>
      </c>
      <c r="J572">
        <v>101</v>
      </c>
      <c r="L572" t="s">
        <v>109</v>
      </c>
      <c r="M572" t="s">
        <v>328</v>
      </c>
      <c r="N572" t="s">
        <v>329</v>
      </c>
      <c r="O572" t="s">
        <v>330</v>
      </c>
      <c r="P572" t="s">
        <v>331</v>
      </c>
      <c r="U572">
        <v>0.51</v>
      </c>
      <c r="V572">
        <v>0.27100000000000002</v>
      </c>
      <c r="W572" t="s">
        <v>399</v>
      </c>
      <c r="Y572" t="s">
        <v>332</v>
      </c>
      <c r="AB572" t="s">
        <v>348</v>
      </c>
      <c r="AC572" t="s">
        <v>334</v>
      </c>
      <c r="AD572" s="34">
        <v>46.17166667</v>
      </c>
      <c r="AE572" s="34">
        <v>-84.078343329999996</v>
      </c>
      <c r="AF572" s="18">
        <v>40696.910416666666</v>
      </c>
      <c r="AG572" s="19">
        <v>40696.743750000001</v>
      </c>
      <c r="AH572" t="s">
        <v>161</v>
      </c>
      <c r="AL572" t="s">
        <v>335</v>
      </c>
      <c r="AM572" s="20">
        <v>40694</v>
      </c>
      <c r="AR572" s="39" t="s">
        <v>400</v>
      </c>
      <c r="AS572" s="39"/>
      <c r="AT572" s="39">
        <v>200</v>
      </c>
      <c r="AZ572" t="s">
        <v>108</v>
      </c>
      <c r="BC572" t="s">
        <v>336</v>
      </c>
    </row>
    <row r="573" spans="1:71" x14ac:dyDescent="0.25">
      <c r="A573" t="str">
        <f t="shared" si="8"/>
        <v>A69-1601-1342</v>
      </c>
      <c r="B573" t="s">
        <v>398</v>
      </c>
      <c r="C573" t="s">
        <v>324</v>
      </c>
      <c r="D573" t="s">
        <v>345</v>
      </c>
      <c r="F573">
        <v>1342</v>
      </c>
      <c r="G573" t="s">
        <v>346</v>
      </c>
      <c r="H573" t="s">
        <v>327</v>
      </c>
      <c r="I573" s="20">
        <v>40694</v>
      </c>
      <c r="J573">
        <v>101</v>
      </c>
      <c r="L573" t="s">
        <v>109</v>
      </c>
      <c r="M573" t="s">
        <v>328</v>
      </c>
      <c r="N573" t="s">
        <v>329</v>
      </c>
      <c r="O573" t="s">
        <v>330</v>
      </c>
      <c r="P573" t="s">
        <v>331</v>
      </c>
      <c r="U573">
        <v>0.55000000000000004</v>
      </c>
      <c r="V573">
        <v>0.28100000000000003</v>
      </c>
      <c r="W573" t="s">
        <v>399</v>
      </c>
      <c r="Y573" t="s">
        <v>337</v>
      </c>
      <c r="AB573" t="s">
        <v>347</v>
      </c>
      <c r="AC573" t="s">
        <v>342</v>
      </c>
      <c r="AD573" s="34">
        <v>46.306741670000001</v>
      </c>
      <c r="AE573" s="34">
        <v>-84.060811670000007</v>
      </c>
      <c r="AF573" s="18">
        <v>40696.938888888886</v>
      </c>
      <c r="AG573" s="19">
        <v>40696.772222222222</v>
      </c>
      <c r="AH573" t="s">
        <v>161</v>
      </c>
      <c r="AL573" t="s">
        <v>335</v>
      </c>
      <c r="AM573" s="20">
        <v>40694</v>
      </c>
      <c r="AR573" s="39" t="s">
        <v>400</v>
      </c>
      <c r="AS573" s="39"/>
      <c r="AT573" s="39">
        <v>200</v>
      </c>
      <c r="AZ573" t="s">
        <v>108</v>
      </c>
      <c r="BC573" t="s">
        <v>336</v>
      </c>
    </row>
    <row r="574" spans="1:71" x14ac:dyDescent="0.25">
      <c r="A574" t="str">
        <f t="shared" si="8"/>
        <v>A69-1601-1343</v>
      </c>
      <c r="B574" t="s">
        <v>398</v>
      </c>
      <c r="C574" t="s">
        <v>324</v>
      </c>
      <c r="D574" t="s">
        <v>345</v>
      </c>
      <c r="F574">
        <v>1343</v>
      </c>
      <c r="G574" t="s">
        <v>346</v>
      </c>
      <c r="H574" t="s">
        <v>327</v>
      </c>
      <c r="I574" s="20">
        <v>40694</v>
      </c>
      <c r="J574">
        <v>101</v>
      </c>
      <c r="L574" t="s">
        <v>109</v>
      </c>
      <c r="M574" t="s">
        <v>328</v>
      </c>
      <c r="N574" t="s">
        <v>329</v>
      </c>
      <c r="O574" t="s">
        <v>330</v>
      </c>
      <c r="P574" t="s">
        <v>331</v>
      </c>
      <c r="U574">
        <v>0.47</v>
      </c>
      <c r="V574">
        <v>0.26300000000000001</v>
      </c>
      <c r="W574" t="s">
        <v>399</v>
      </c>
      <c r="Y574" t="s">
        <v>337</v>
      </c>
      <c r="AB574" t="s">
        <v>347</v>
      </c>
      <c r="AC574" t="s">
        <v>342</v>
      </c>
      <c r="AD574" s="34">
        <v>46.306741670000001</v>
      </c>
      <c r="AE574" s="34">
        <v>-84.060811670000007</v>
      </c>
      <c r="AF574" s="18">
        <v>40696.938888888886</v>
      </c>
      <c r="AG574" s="19">
        <v>40696.772222222222</v>
      </c>
      <c r="AH574" t="s">
        <v>161</v>
      </c>
      <c r="AL574" t="s">
        <v>335</v>
      </c>
      <c r="AM574" s="20">
        <v>40694</v>
      </c>
      <c r="AR574" s="39" t="s">
        <v>400</v>
      </c>
      <c r="AS574" s="39"/>
      <c r="AT574" s="39">
        <v>200</v>
      </c>
      <c r="AZ574" t="s">
        <v>108</v>
      </c>
      <c r="BC574" t="s">
        <v>336</v>
      </c>
    </row>
    <row r="575" spans="1:71" x14ac:dyDescent="0.25">
      <c r="A575" t="str">
        <f t="shared" si="8"/>
        <v>A69-1601-1344</v>
      </c>
      <c r="B575" t="s">
        <v>398</v>
      </c>
      <c r="C575" t="s">
        <v>324</v>
      </c>
      <c r="D575" t="s">
        <v>345</v>
      </c>
      <c r="F575">
        <v>1344</v>
      </c>
      <c r="G575" t="s">
        <v>346</v>
      </c>
      <c r="H575" t="s">
        <v>327</v>
      </c>
      <c r="I575" s="20">
        <v>40694</v>
      </c>
      <c r="J575">
        <v>101</v>
      </c>
      <c r="L575" t="s">
        <v>109</v>
      </c>
      <c r="M575" t="s">
        <v>328</v>
      </c>
      <c r="N575" t="s">
        <v>329</v>
      </c>
      <c r="O575" t="s">
        <v>330</v>
      </c>
      <c r="P575" t="s">
        <v>331</v>
      </c>
      <c r="U575">
        <v>0.5</v>
      </c>
      <c r="V575">
        <v>0.26500000000000001</v>
      </c>
      <c r="W575" t="s">
        <v>399</v>
      </c>
      <c r="Y575" t="s">
        <v>337</v>
      </c>
      <c r="AB575" t="s">
        <v>347</v>
      </c>
      <c r="AC575" t="s">
        <v>342</v>
      </c>
      <c r="AD575" s="34">
        <v>46.306741670000001</v>
      </c>
      <c r="AE575" s="34">
        <v>-84.060811670000007</v>
      </c>
      <c r="AF575" s="18">
        <v>40696.938888888886</v>
      </c>
      <c r="AG575" s="19">
        <v>40696.772222222222</v>
      </c>
      <c r="AH575" t="s">
        <v>161</v>
      </c>
      <c r="AL575" t="s">
        <v>335</v>
      </c>
      <c r="AM575" s="20">
        <v>40694</v>
      </c>
      <c r="AR575" s="39" t="s">
        <v>400</v>
      </c>
      <c r="AS575" s="39"/>
      <c r="AT575" s="39">
        <v>200</v>
      </c>
      <c r="AZ575" t="s">
        <v>108</v>
      </c>
      <c r="BC575" t="s">
        <v>336</v>
      </c>
    </row>
    <row r="576" spans="1:71" x14ac:dyDescent="0.25">
      <c r="A576" t="str">
        <f t="shared" si="8"/>
        <v>A69-1601-1345</v>
      </c>
      <c r="B576" t="s">
        <v>398</v>
      </c>
      <c r="C576" t="s">
        <v>324</v>
      </c>
      <c r="D576" t="s">
        <v>345</v>
      </c>
      <c r="F576">
        <v>1345</v>
      </c>
      <c r="G576" t="s">
        <v>346</v>
      </c>
      <c r="H576" t="s">
        <v>327</v>
      </c>
      <c r="I576" s="20">
        <v>40694</v>
      </c>
      <c r="J576">
        <v>101</v>
      </c>
      <c r="L576" t="s">
        <v>109</v>
      </c>
      <c r="M576" t="s">
        <v>328</v>
      </c>
      <c r="N576" t="s">
        <v>329</v>
      </c>
      <c r="O576" t="s">
        <v>330</v>
      </c>
      <c r="P576" t="s">
        <v>331</v>
      </c>
      <c r="U576">
        <v>0.47</v>
      </c>
      <c r="V576">
        <v>0.24099999999999999</v>
      </c>
      <c r="W576" t="s">
        <v>399</v>
      </c>
      <c r="Y576" t="s">
        <v>332</v>
      </c>
      <c r="AB576" t="s">
        <v>347</v>
      </c>
      <c r="AC576" t="s">
        <v>342</v>
      </c>
      <c r="AD576" s="34">
        <v>46.306741670000001</v>
      </c>
      <c r="AE576" s="34">
        <v>-84.060811670000007</v>
      </c>
      <c r="AF576" s="18">
        <v>40696.938888888886</v>
      </c>
      <c r="AG576" s="19">
        <v>40696.772222222222</v>
      </c>
      <c r="AH576" t="s">
        <v>161</v>
      </c>
      <c r="AL576" t="s">
        <v>335</v>
      </c>
      <c r="AM576" s="20">
        <v>40694</v>
      </c>
      <c r="AR576" s="39" t="s">
        <v>400</v>
      </c>
      <c r="AS576" s="39"/>
      <c r="AT576" s="39">
        <v>200</v>
      </c>
      <c r="AZ576" t="s">
        <v>108</v>
      </c>
      <c r="BC576" t="s">
        <v>336</v>
      </c>
    </row>
    <row r="577" spans="1:71" x14ac:dyDescent="0.25">
      <c r="A577" t="str">
        <f t="shared" si="8"/>
        <v>A69-1601-1346</v>
      </c>
      <c r="B577" t="s">
        <v>398</v>
      </c>
      <c r="C577" t="s">
        <v>324</v>
      </c>
      <c r="D577" t="s">
        <v>345</v>
      </c>
      <c r="F577">
        <v>1346</v>
      </c>
      <c r="G577" t="s">
        <v>346</v>
      </c>
      <c r="H577" t="s">
        <v>327</v>
      </c>
      <c r="I577" s="20">
        <v>40694</v>
      </c>
      <c r="J577">
        <v>101</v>
      </c>
      <c r="L577" t="s">
        <v>109</v>
      </c>
      <c r="M577" t="s">
        <v>328</v>
      </c>
      <c r="N577" t="s">
        <v>329</v>
      </c>
      <c r="O577" t="s">
        <v>330</v>
      </c>
      <c r="P577" t="s">
        <v>331</v>
      </c>
      <c r="U577">
        <v>0.5</v>
      </c>
      <c r="V577">
        <v>0.27200000000000002</v>
      </c>
      <c r="W577" t="s">
        <v>399</v>
      </c>
      <c r="Y577" t="s">
        <v>337</v>
      </c>
      <c r="AB577" t="s">
        <v>347</v>
      </c>
      <c r="AC577" t="s">
        <v>342</v>
      </c>
      <c r="AD577" s="34">
        <v>46.306741670000001</v>
      </c>
      <c r="AE577" s="34">
        <v>-84.060811670000007</v>
      </c>
      <c r="AF577" s="18">
        <v>40696.938888888886</v>
      </c>
      <c r="AG577" s="19">
        <v>40696.772222222222</v>
      </c>
      <c r="AH577" t="s">
        <v>161</v>
      </c>
      <c r="AL577" t="s">
        <v>335</v>
      </c>
      <c r="AM577" s="20">
        <v>40694</v>
      </c>
      <c r="AR577" s="39" t="s">
        <v>400</v>
      </c>
      <c r="AS577" s="39"/>
      <c r="AT577" s="39">
        <v>200</v>
      </c>
      <c r="AZ577" t="s">
        <v>108</v>
      </c>
      <c r="BC577" t="s">
        <v>336</v>
      </c>
    </row>
    <row r="578" spans="1:71" x14ac:dyDescent="0.25">
      <c r="A578" t="str">
        <f t="shared" si="8"/>
        <v>A69-1601-1347</v>
      </c>
      <c r="B578" t="s">
        <v>398</v>
      </c>
      <c r="C578" t="s">
        <v>324</v>
      </c>
      <c r="D578" t="s">
        <v>345</v>
      </c>
      <c r="F578">
        <v>1347</v>
      </c>
      <c r="G578" t="s">
        <v>346</v>
      </c>
      <c r="H578" t="s">
        <v>327</v>
      </c>
      <c r="I578" s="20">
        <v>40694</v>
      </c>
      <c r="J578">
        <v>101</v>
      </c>
      <c r="L578" t="s">
        <v>109</v>
      </c>
      <c r="M578" t="s">
        <v>328</v>
      </c>
      <c r="N578" t="s">
        <v>329</v>
      </c>
      <c r="O578" t="s">
        <v>330</v>
      </c>
      <c r="P578" t="s">
        <v>331</v>
      </c>
      <c r="U578">
        <v>0.54</v>
      </c>
      <c r="V578">
        <v>0.32300000000000001</v>
      </c>
      <c r="W578" t="s">
        <v>399</v>
      </c>
      <c r="Y578" t="s">
        <v>332</v>
      </c>
      <c r="AB578" t="s">
        <v>347</v>
      </c>
      <c r="AC578" t="s">
        <v>342</v>
      </c>
      <c r="AD578" s="34">
        <v>46.306741670000001</v>
      </c>
      <c r="AE578" s="34">
        <v>-84.060811670000007</v>
      </c>
      <c r="AF578" s="18">
        <v>40696.938888888886</v>
      </c>
      <c r="AG578" s="19">
        <v>40696.772222222222</v>
      </c>
      <c r="AH578" t="s">
        <v>161</v>
      </c>
      <c r="AL578" t="s">
        <v>335</v>
      </c>
      <c r="AM578" s="20">
        <v>40694</v>
      </c>
      <c r="AR578" s="39" t="s">
        <v>400</v>
      </c>
      <c r="AS578" s="39"/>
      <c r="AT578" s="39">
        <v>200</v>
      </c>
      <c r="AZ578" t="s">
        <v>108</v>
      </c>
      <c r="BC578" t="s">
        <v>336</v>
      </c>
    </row>
    <row r="579" spans="1:71" x14ac:dyDescent="0.25">
      <c r="A579" t="str">
        <f t="shared" si="8"/>
        <v>A69-1601-1348</v>
      </c>
      <c r="B579" t="s">
        <v>398</v>
      </c>
      <c r="C579" t="s">
        <v>324</v>
      </c>
      <c r="D579" t="s">
        <v>345</v>
      </c>
      <c r="F579">
        <v>1348</v>
      </c>
      <c r="G579" t="s">
        <v>346</v>
      </c>
      <c r="H579" t="s">
        <v>327</v>
      </c>
      <c r="I579" s="20">
        <v>40694</v>
      </c>
      <c r="J579">
        <v>101</v>
      </c>
      <c r="L579" t="s">
        <v>109</v>
      </c>
      <c r="M579" t="s">
        <v>328</v>
      </c>
      <c r="N579" t="s">
        <v>329</v>
      </c>
      <c r="O579" t="s">
        <v>330</v>
      </c>
      <c r="P579" t="s">
        <v>331</v>
      </c>
      <c r="U579">
        <v>0.51</v>
      </c>
      <c r="V579">
        <v>0.25600000000000001</v>
      </c>
      <c r="W579" t="s">
        <v>399</v>
      </c>
      <c r="Y579" t="s">
        <v>332</v>
      </c>
      <c r="AB579" t="s">
        <v>348</v>
      </c>
      <c r="AC579" t="s">
        <v>334</v>
      </c>
      <c r="AD579" s="34">
        <v>46.17166667</v>
      </c>
      <c r="AE579" s="34">
        <v>-84.078343329999996</v>
      </c>
      <c r="AF579" s="18">
        <v>40696.910416666666</v>
      </c>
      <c r="AG579" s="19">
        <v>40696.743750000001</v>
      </c>
      <c r="AH579" t="s">
        <v>161</v>
      </c>
      <c r="AL579" t="s">
        <v>335</v>
      </c>
      <c r="AM579" s="20">
        <v>40694</v>
      </c>
      <c r="AR579" s="39" t="s">
        <v>400</v>
      </c>
      <c r="AS579" s="39"/>
      <c r="AT579" s="39">
        <v>200</v>
      </c>
      <c r="AZ579" t="s">
        <v>108</v>
      </c>
      <c r="BC579" t="s">
        <v>336</v>
      </c>
    </row>
    <row r="580" spans="1:71" x14ac:dyDescent="0.25">
      <c r="A580" t="str">
        <f t="shared" ref="A580:A643" si="9">CONCATENATE(G580,"-",F580)</f>
        <v>A69-1601-1349</v>
      </c>
      <c r="B580" t="s">
        <v>398</v>
      </c>
      <c r="C580" t="s">
        <v>324</v>
      </c>
      <c r="D580" t="s">
        <v>345</v>
      </c>
      <c r="F580">
        <v>1349</v>
      </c>
      <c r="G580" t="s">
        <v>346</v>
      </c>
      <c r="H580" t="s">
        <v>327</v>
      </c>
      <c r="I580" s="20">
        <v>40694</v>
      </c>
      <c r="J580">
        <v>101</v>
      </c>
      <c r="L580" t="s">
        <v>109</v>
      </c>
      <c r="M580" t="s">
        <v>328</v>
      </c>
      <c r="N580" t="s">
        <v>329</v>
      </c>
      <c r="O580" t="s">
        <v>330</v>
      </c>
      <c r="P580" t="s">
        <v>331</v>
      </c>
      <c r="U580">
        <v>0.54</v>
      </c>
      <c r="V580">
        <v>0.27300000000000002</v>
      </c>
      <c r="W580" t="s">
        <v>399</v>
      </c>
      <c r="Y580" t="s">
        <v>332</v>
      </c>
      <c r="AB580" t="s">
        <v>348</v>
      </c>
      <c r="AC580" t="s">
        <v>334</v>
      </c>
      <c r="AD580" s="34">
        <v>46.17166667</v>
      </c>
      <c r="AE580" s="34">
        <v>-84.078343329999996</v>
      </c>
      <c r="AF580" s="18">
        <v>40696.910416666666</v>
      </c>
      <c r="AG580" s="19">
        <v>40696.743750000001</v>
      </c>
      <c r="AH580" t="s">
        <v>161</v>
      </c>
      <c r="AL580" t="s">
        <v>335</v>
      </c>
      <c r="AM580" s="20">
        <v>40694</v>
      </c>
      <c r="AR580" s="39" t="s">
        <v>400</v>
      </c>
      <c r="AS580" s="39"/>
      <c r="AT580" s="39">
        <v>200</v>
      </c>
      <c r="AZ580" t="s">
        <v>108</v>
      </c>
      <c r="BC580" t="s">
        <v>336</v>
      </c>
    </row>
    <row r="581" spans="1:71" x14ac:dyDescent="0.25">
      <c r="A581" t="str">
        <f t="shared" si="9"/>
        <v>A69-1601-1350</v>
      </c>
      <c r="B581" t="s">
        <v>398</v>
      </c>
      <c r="C581" t="s">
        <v>324</v>
      </c>
      <c r="D581" t="s">
        <v>345</v>
      </c>
      <c r="F581">
        <v>1350</v>
      </c>
      <c r="G581" t="s">
        <v>346</v>
      </c>
      <c r="H581" t="s">
        <v>327</v>
      </c>
      <c r="I581" s="20">
        <v>40694</v>
      </c>
      <c r="J581">
        <v>101</v>
      </c>
      <c r="L581" t="s">
        <v>109</v>
      </c>
      <c r="M581" t="s">
        <v>328</v>
      </c>
      <c r="N581" t="s">
        <v>329</v>
      </c>
      <c r="O581" t="s">
        <v>330</v>
      </c>
      <c r="P581" t="s">
        <v>331</v>
      </c>
      <c r="U581">
        <v>0.48</v>
      </c>
      <c r="V581">
        <v>0.21099999999999999</v>
      </c>
      <c r="W581" t="s">
        <v>399</v>
      </c>
      <c r="Y581" t="s">
        <v>337</v>
      </c>
      <c r="AB581" t="s">
        <v>347</v>
      </c>
      <c r="AC581" t="s">
        <v>342</v>
      </c>
      <c r="AD581" s="34">
        <v>46.306741670000001</v>
      </c>
      <c r="AE581" s="34">
        <v>-84.060811670000007</v>
      </c>
      <c r="AF581" s="18">
        <v>40696.938888888886</v>
      </c>
      <c r="AG581" s="19">
        <v>40696.772222222222</v>
      </c>
      <c r="AH581" t="s">
        <v>161</v>
      </c>
      <c r="AL581" t="s">
        <v>335</v>
      </c>
      <c r="AM581" s="20">
        <v>40694</v>
      </c>
      <c r="AR581" s="39" t="s">
        <v>400</v>
      </c>
      <c r="AS581" s="39"/>
      <c r="AT581" s="39">
        <v>200</v>
      </c>
      <c r="AZ581" t="s">
        <v>108</v>
      </c>
      <c r="BC581" t="s">
        <v>336</v>
      </c>
    </row>
    <row r="582" spans="1:71" x14ac:dyDescent="0.25">
      <c r="A582" t="str">
        <f t="shared" si="9"/>
        <v>A69-1601-1351</v>
      </c>
      <c r="B582" t="s">
        <v>398</v>
      </c>
      <c r="C582" t="s">
        <v>324</v>
      </c>
      <c r="D582" t="s">
        <v>345</v>
      </c>
      <c r="F582">
        <v>1351</v>
      </c>
      <c r="G582" t="s">
        <v>346</v>
      </c>
      <c r="H582" t="s">
        <v>327</v>
      </c>
      <c r="I582" s="20">
        <v>40694</v>
      </c>
      <c r="J582">
        <v>101</v>
      </c>
      <c r="L582" t="s">
        <v>109</v>
      </c>
      <c r="M582" t="s">
        <v>328</v>
      </c>
      <c r="N582" t="s">
        <v>329</v>
      </c>
      <c r="O582" t="s">
        <v>330</v>
      </c>
      <c r="P582" t="s">
        <v>331</v>
      </c>
      <c r="U582">
        <v>0.49</v>
      </c>
      <c r="V582">
        <v>0.24</v>
      </c>
      <c r="W582" t="s">
        <v>399</v>
      </c>
      <c r="Y582" t="s">
        <v>337</v>
      </c>
      <c r="AB582" t="s">
        <v>347</v>
      </c>
      <c r="AC582" t="s">
        <v>342</v>
      </c>
      <c r="AD582" s="34">
        <v>46.306741670000001</v>
      </c>
      <c r="AE582" s="34">
        <v>-84.060811670000007</v>
      </c>
      <c r="AF582" s="18">
        <v>40696.938888888886</v>
      </c>
      <c r="AG582" s="19">
        <v>40696.772222222222</v>
      </c>
      <c r="AH582" t="s">
        <v>161</v>
      </c>
      <c r="AL582" t="s">
        <v>335</v>
      </c>
      <c r="AM582" s="20">
        <v>40694</v>
      </c>
      <c r="AR582" s="39" t="s">
        <v>400</v>
      </c>
      <c r="AS582" s="39"/>
      <c r="AT582" s="39">
        <v>200</v>
      </c>
      <c r="AZ582" t="s">
        <v>108</v>
      </c>
      <c r="BC582" t="s">
        <v>336</v>
      </c>
    </row>
    <row r="583" spans="1:71" x14ac:dyDescent="0.25">
      <c r="A583" t="str">
        <f t="shared" si="9"/>
        <v>A69-1601-1352</v>
      </c>
      <c r="B583" t="s">
        <v>398</v>
      </c>
      <c r="C583" t="s">
        <v>324</v>
      </c>
      <c r="D583" t="s">
        <v>345</v>
      </c>
      <c r="F583">
        <v>1352</v>
      </c>
      <c r="G583" t="s">
        <v>346</v>
      </c>
      <c r="H583" t="s">
        <v>327</v>
      </c>
      <c r="I583" s="20">
        <v>40694</v>
      </c>
      <c r="J583">
        <v>101</v>
      </c>
      <c r="L583" t="s">
        <v>109</v>
      </c>
      <c r="M583" t="s">
        <v>328</v>
      </c>
      <c r="N583" t="s">
        <v>329</v>
      </c>
      <c r="O583" t="s">
        <v>330</v>
      </c>
      <c r="P583" t="s">
        <v>331</v>
      </c>
      <c r="U583">
        <v>0.44</v>
      </c>
      <c r="V583">
        <v>0.18</v>
      </c>
      <c r="W583" t="s">
        <v>399</v>
      </c>
      <c r="Y583" t="s">
        <v>337</v>
      </c>
      <c r="AB583" t="s">
        <v>347</v>
      </c>
      <c r="AC583" t="s">
        <v>342</v>
      </c>
      <c r="AD583" s="34">
        <v>46.306741670000001</v>
      </c>
      <c r="AE583" s="34">
        <v>-84.060811670000007</v>
      </c>
      <c r="AF583" s="18">
        <v>40696.938888888886</v>
      </c>
      <c r="AG583" s="19">
        <v>40696.772222222222</v>
      </c>
      <c r="AH583" t="s">
        <v>161</v>
      </c>
      <c r="AL583" t="s">
        <v>335</v>
      </c>
      <c r="AM583" s="20">
        <v>40694</v>
      </c>
      <c r="AR583" s="39" t="s">
        <v>400</v>
      </c>
      <c r="AS583" s="39"/>
      <c r="AT583" s="39">
        <v>200</v>
      </c>
      <c r="AZ583" t="s">
        <v>108</v>
      </c>
      <c r="BC583" t="s">
        <v>336</v>
      </c>
    </row>
    <row r="584" spans="1:71" x14ac:dyDescent="0.25">
      <c r="A584" t="str">
        <f t="shared" si="9"/>
        <v>A69-1601-1353</v>
      </c>
      <c r="B584" t="s">
        <v>398</v>
      </c>
      <c r="C584" t="s">
        <v>324</v>
      </c>
      <c r="D584" t="s">
        <v>345</v>
      </c>
      <c r="F584">
        <v>1353</v>
      </c>
      <c r="G584" t="s">
        <v>346</v>
      </c>
      <c r="H584" t="s">
        <v>327</v>
      </c>
      <c r="I584" s="20">
        <v>40694</v>
      </c>
      <c r="J584">
        <v>101</v>
      </c>
      <c r="L584" t="s">
        <v>109</v>
      </c>
      <c r="M584" t="s">
        <v>328</v>
      </c>
      <c r="N584" t="s">
        <v>329</v>
      </c>
      <c r="O584" t="s">
        <v>330</v>
      </c>
      <c r="P584" t="s">
        <v>331</v>
      </c>
      <c r="U584">
        <v>0.48</v>
      </c>
      <c r="V584">
        <v>0.217</v>
      </c>
      <c r="W584" t="s">
        <v>399</v>
      </c>
      <c r="Y584" t="s">
        <v>337</v>
      </c>
      <c r="AB584" t="s">
        <v>347</v>
      </c>
      <c r="AC584" t="s">
        <v>342</v>
      </c>
      <c r="AD584" s="34">
        <v>46.306741670000001</v>
      </c>
      <c r="AE584" s="34">
        <v>-84.060811670000007</v>
      </c>
      <c r="AF584" s="18">
        <v>40696.938888888886</v>
      </c>
      <c r="AG584" s="19">
        <v>40696.772222222222</v>
      </c>
      <c r="AH584" t="s">
        <v>161</v>
      </c>
      <c r="AL584" t="s">
        <v>335</v>
      </c>
      <c r="AM584" s="20">
        <v>40694</v>
      </c>
      <c r="AR584" s="39" t="s">
        <v>400</v>
      </c>
      <c r="AS584" s="39"/>
      <c r="AT584" s="39">
        <v>200</v>
      </c>
      <c r="AZ584" t="s">
        <v>108</v>
      </c>
      <c r="BC584" t="s">
        <v>336</v>
      </c>
    </row>
    <row r="585" spans="1:71" x14ac:dyDescent="0.25">
      <c r="A585" t="str">
        <f t="shared" si="9"/>
        <v>A69-1601-1354</v>
      </c>
      <c r="B585" t="s">
        <v>398</v>
      </c>
      <c r="C585" t="s">
        <v>324</v>
      </c>
      <c r="D585" t="s">
        <v>345</v>
      </c>
      <c r="F585">
        <v>1354</v>
      </c>
      <c r="G585" t="s">
        <v>346</v>
      </c>
      <c r="H585" t="s">
        <v>327</v>
      </c>
      <c r="I585" s="20">
        <v>40694</v>
      </c>
      <c r="J585">
        <v>101</v>
      </c>
      <c r="L585" t="s">
        <v>109</v>
      </c>
      <c r="M585" t="s">
        <v>328</v>
      </c>
      <c r="N585" t="s">
        <v>329</v>
      </c>
      <c r="O585" t="s">
        <v>330</v>
      </c>
      <c r="P585" t="s">
        <v>331</v>
      </c>
      <c r="U585">
        <v>0.48</v>
      </c>
      <c r="V585">
        <v>0.24399999999999999</v>
      </c>
      <c r="W585" t="s">
        <v>399</v>
      </c>
      <c r="Y585" t="s">
        <v>332</v>
      </c>
      <c r="AB585" t="s">
        <v>347</v>
      </c>
      <c r="AC585" t="s">
        <v>342</v>
      </c>
      <c r="AD585" s="34">
        <v>46.306741670000001</v>
      </c>
      <c r="AE585" s="34">
        <v>-84.060811670000007</v>
      </c>
      <c r="AF585" s="18">
        <v>40696.938888888886</v>
      </c>
      <c r="AG585" s="19">
        <v>40696.772222222222</v>
      </c>
      <c r="AH585" t="s">
        <v>161</v>
      </c>
      <c r="AL585" t="s">
        <v>335</v>
      </c>
      <c r="AM585" s="20">
        <v>40694</v>
      </c>
      <c r="AR585" s="39" t="s">
        <v>400</v>
      </c>
      <c r="AS585" s="39"/>
      <c r="AT585" s="39">
        <v>200</v>
      </c>
      <c r="AZ585" t="s">
        <v>108</v>
      </c>
      <c r="BC585" t="s">
        <v>336</v>
      </c>
    </row>
    <row r="586" spans="1:71" x14ac:dyDescent="0.25">
      <c r="A586" t="str">
        <f t="shared" si="9"/>
        <v>A69-1601-1379</v>
      </c>
      <c r="B586" t="s">
        <v>398</v>
      </c>
      <c r="C586" t="s">
        <v>324</v>
      </c>
      <c r="D586" t="s">
        <v>345</v>
      </c>
      <c r="F586">
        <v>1379</v>
      </c>
      <c r="G586" t="s">
        <v>346</v>
      </c>
      <c r="H586" t="s">
        <v>327</v>
      </c>
      <c r="I586" s="20">
        <v>40694</v>
      </c>
      <c r="J586">
        <v>101</v>
      </c>
      <c r="L586" t="s">
        <v>109</v>
      </c>
      <c r="M586" t="s">
        <v>328</v>
      </c>
      <c r="N586" t="s">
        <v>329</v>
      </c>
      <c r="O586" t="s">
        <v>330</v>
      </c>
      <c r="P586" t="s">
        <v>331</v>
      </c>
      <c r="U586">
        <v>0.51</v>
      </c>
      <c r="V586">
        <v>0.30299999999999999</v>
      </c>
      <c r="W586" t="s">
        <v>399</v>
      </c>
      <c r="Y586" t="s">
        <v>337</v>
      </c>
      <c r="AB586" t="s">
        <v>348</v>
      </c>
      <c r="AC586" t="s">
        <v>334</v>
      </c>
      <c r="AD586" s="34">
        <v>46.17166667</v>
      </c>
      <c r="AE586" s="34">
        <v>-84.078343329999996</v>
      </c>
      <c r="AF586" s="18">
        <v>40696.910416666666</v>
      </c>
      <c r="AG586" s="19">
        <v>40696.743750000001</v>
      </c>
      <c r="AH586" t="s">
        <v>161</v>
      </c>
      <c r="AL586" t="s">
        <v>335</v>
      </c>
      <c r="AM586" s="20">
        <v>40694</v>
      </c>
      <c r="AR586" s="39" t="s">
        <v>400</v>
      </c>
      <c r="AS586" s="39"/>
      <c r="AT586" s="39">
        <v>200</v>
      </c>
      <c r="AZ586" t="s">
        <v>108</v>
      </c>
      <c r="BC586" t="s">
        <v>336</v>
      </c>
    </row>
    <row r="587" spans="1:71" x14ac:dyDescent="0.25">
      <c r="A587" t="str">
        <f t="shared" si="9"/>
        <v>A69-1601-1380</v>
      </c>
      <c r="B587" t="s">
        <v>398</v>
      </c>
      <c r="C587" t="s">
        <v>324</v>
      </c>
      <c r="D587" t="s">
        <v>345</v>
      </c>
      <c r="F587">
        <v>1380</v>
      </c>
      <c r="G587" t="s">
        <v>346</v>
      </c>
      <c r="H587" t="s">
        <v>327</v>
      </c>
      <c r="I587" s="20">
        <v>40694</v>
      </c>
      <c r="J587">
        <v>101</v>
      </c>
      <c r="L587" t="s">
        <v>109</v>
      </c>
      <c r="M587" t="s">
        <v>328</v>
      </c>
      <c r="N587" t="s">
        <v>329</v>
      </c>
      <c r="O587" t="s">
        <v>330</v>
      </c>
      <c r="P587" t="s">
        <v>331</v>
      </c>
      <c r="U587">
        <v>0.45</v>
      </c>
      <c r="V587">
        <v>0.19900000000000001</v>
      </c>
      <c r="W587" t="s">
        <v>399</v>
      </c>
      <c r="Y587" t="s">
        <v>337</v>
      </c>
      <c r="AB587" t="s">
        <v>348</v>
      </c>
      <c r="AC587" t="s">
        <v>334</v>
      </c>
      <c r="AD587" s="34">
        <v>46.17166667</v>
      </c>
      <c r="AE587" s="34">
        <v>-84.078343329999996</v>
      </c>
      <c r="AF587" s="18">
        <v>40696.910416666666</v>
      </c>
      <c r="AG587" s="19">
        <v>40696.743750000001</v>
      </c>
      <c r="AH587" t="s">
        <v>161</v>
      </c>
      <c r="AL587" t="s">
        <v>335</v>
      </c>
      <c r="AM587" s="20">
        <v>40694</v>
      </c>
      <c r="AR587" s="39" t="s">
        <v>400</v>
      </c>
      <c r="AS587" s="39"/>
      <c r="AT587" s="39">
        <v>200</v>
      </c>
      <c r="AZ587" t="s">
        <v>108</v>
      </c>
      <c r="BC587" t="s">
        <v>336</v>
      </c>
    </row>
    <row r="588" spans="1:71" x14ac:dyDescent="0.25">
      <c r="A588" t="str">
        <f t="shared" si="9"/>
        <v>A69-1601-1381</v>
      </c>
      <c r="B588" t="s">
        <v>398</v>
      </c>
      <c r="C588" t="s">
        <v>324</v>
      </c>
      <c r="D588" t="s">
        <v>345</v>
      </c>
      <c r="F588">
        <v>1381</v>
      </c>
      <c r="G588" t="s">
        <v>346</v>
      </c>
      <c r="H588" t="s">
        <v>327</v>
      </c>
      <c r="I588" s="20">
        <v>40694</v>
      </c>
      <c r="J588">
        <v>101</v>
      </c>
      <c r="L588" t="s">
        <v>109</v>
      </c>
      <c r="M588" t="s">
        <v>328</v>
      </c>
      <c r="N588" t="s">
        <v>329</v>
      </c>
      <c r="O588" t="s">
        <v>330</v>
      </c>
      <c r="P588" t="s">
        <v>331</v>
      </c>
      <c r="U588">
        <v>0.51</v>
      </c>
      <c r="V588">
        <v>0.28299999999999997</v>
      </c>
      <c r="W588" t="s">
        <v>399</v>
      </c>
      <c r="Y588" t="s">
        <v>332</v>
      </c>
      <c r="AB588" t="s">
        <v>348</v>
      </c>
      <c r="AC588" t="s">
        <v>334</v>
      </c>
      <c r="AD588" s="34">
        <v>46.17166667</v>
      </c>
      <c r="AE588" s="34">
        <v>-84.078343329999996</v>
      </c>
      <c r="AF588" s="18">
        <v>40696.910416666666</v>
      </c>
      <c r="AG588" s="19">
        <v>40696.743750000001</v>
      </c>
      <c r="AH588" t="s">
        <v>161</v>
      </c>
      <c r="AL588" t="s">
        <v>335</v>
      </c>
      <c r="AM588" s="20">
        <v>40694</v>
      </c>
      <c r="AR588" s="39" t="s">
        <v>400</v>
      </c>
      <c r="AS588" s="39"/>
      <c r="AT588" s="39">
        <v>200</v>
      </c>
      <c r="AZ588" t="s">
        <v>108</v>
      </c>
      <c r="BC588" t="s">
        <v>163</v>
      </c>
      <c r="BD588" s="20">
        <v>40728</v>
      </c>
      <c r="BF588" s="21" t="s">
        <v>406</v>
      </c>
      <c r="BG588" s="38" t="s">
        <v>113</v>
      </c>
      <c r="BH588" s="1" t="s">
        <v>408</v>
      </c>
      <c r="BI588" s="1">
        <v>46.514783999999999</v>
      </c>
      <c r="BJ588" s="1">
        <v>-84.346945000000005</v>
      </c>
      <c r="BK588" s="1" t="s">
        <v>404</v>
      </c>
      <c r="BL588" s="1" t="s">
        <v>163</v>
      </c>
      <c r="BM588" s="1" t="s">
        <v>163</v>
      </c>
      <c r="BN588" s="1" t="s">
        <v>410</v>
      </c>
      <c r="BO588" s="39">
        <v>3642</v>
      </c>
      <c r="BP588" s="39">
        <v>3643</v>
      </c>
      <c r="BQ588" s="39" t="s">
        <v>332</v>
      </c>
      <c r="BR588" s="39">
        <v>495</v>
      </c>
      <c r="BS588" s="39">
        <v>276</v>
      </c>
    </row>
    <row r="589" spans="1:71" x14ac:dyDescent="0.25">
      <c r="A589" t="str">
        <f t="shared" si="9"/>
        <v>A69-1601-1382</v>
      </c>
      <c r="B589" t="s">
        <v>398</v>
      </c>
      <c r="C589" t="s">
        <v>324</v>
      </c>
      <c r="D589" t="s">
        <v>345</v>
      </c>
      <c r="F589">
        <v>1382</v>
      </c>
      <c r="G589" t="s">
        <v>346</v>
      </c>
      <c r="H589" t="s">
        <v>327</v>
      </c>
      <c r="I589" s="20">
        <v>40694</v>
      </c>
      <c r="J589">
        <v>101</v>
      </c>
      <c r="L589" t="s">
        <v>109</v>
      </c>
      <c r="M589" t="s">
        <v>328</v>
      </c>
      <c r="N589" t="s">
        <v>329</v>
      </c>
      <c r="O589" t="s">
        <v>330</v>
      </c>
      <c r="P589" t="s">
        <v>331</v>
      </c>
      <c r="U589">
        <v>0.5</v>
      </c>
      <c r="V589">
        <v>0.254</v>
      </c>
      <c r="W589" t="s">
        <v>399</v>
      </c>
      <c r="Y589" t="s">
        <v>337</v>
      </c>
      <c r="AB589" t="s">
        <v>348</v>
      </c>
      <c r="AC589" t="s">
        <v>334</v>
      </c>
      <c r="AD589" s="34">
        <v>46.17166667</v>
      </c>
      <c r="AE589" s="34">
        <v>-84.078343329999996</v>
      </c>
      <c r="AF589" s="18">
        <v>40696.910416666666</v>
      </c>
      <c r="AG589" s="19">
        <v>40696.743750000001</v>
      </c>
      <c r="AH589" t="s">
        <v>161</v>
      </c>
      <c r="AL589" t="s">
        <v>335</v>
      </c>
      <c r="AM589" s="20">
        <v>40694</v>
      </c>
      <c r="AR589" s="39" t="s">
        <v>400</v>
      </c>
      <c r="AS589" s="39"/>
      <c r="AT589" s="39">
        <v>200</v>
      </c>
      <c r="AZ589" t="s">
        <v>108</v>
      </c>
      <c r="BC589" t="s">
        <v>336</v>
      </c>
    </row>
    <row r="590" spans="1:71" x14ac:dyDescent="0.25">
      <c r="A590" t="str">
        <f t="shared" si="9"/>
        <v>A69-1601-1385</v>
      </c>
      <c r="B590" t="s">
        <v>398</v>
      </c>
      <c r="C590" t="s">
        <v>324</v>
      </c>
      <c r="D590" t="s">
        <v>345</v>
      </c>
      <c r="F590">
        <v>1385</v>
      </c>
      <c r="G590" t="s">
        <v>346</v>
      </c>
      <c r="H590" t="s">
        <v>327</v>
      </c>
      <c r="I590" s="20">
        <v>40694</v>
      </c>
      <c r="J590">
        <v>101</v>
      </c>
      <c r="L590" t="s">
        <v>109</v>
      </c>
      <c r="M590" t="s">
        <v>328</v>
      </c>
      <c r="N590" t="s">
        <v>329</v>
      </c>
      <c r="O590" t="s">
        <v>330</v>
      </c>
      <c r="P590" t="s">
        <v>331</v>
      </c>
      <c r="U590">
        <v>0.48</v>
      </c>
      <c r="V590">
        <v>0.25</v>
      </c>
      <c r="W590" t="s">
        <v>399</v>
      </c>
      <c r="Y590" t="s">
        <v>337</v>
      </c>
      <c r="AB590" t="s">
        <v>348</v>
      </c>
      <c r="AC590" t="s">
        <v>334</v>
      </c>
      <c r="AD590" s="34">
        <v>46.17166667</v>
      </c>
      <c r="AE590" s="34">
        <v>-84.078343329999996</v>
      </c>
      <c r="AF590" s="18">
        <v>40696.910416666666</v>
      </c>
      <c r="AG590" s="19">
        <v>40696.743750000001</v>
      </c>
      <c r="AH590" t="s">
        <v>161</v>
      </c>
      <c r="AL590" t="s">
        <v>335</v>
      </c>
      <c r="AM590" s="20">
        <v>40694</v>
      </c>
      <c r="AR590" s="39" t="s">
        <v>400</v>
      </c>
      <c r="AS590" s="39"/>
      <c r="AT590" s="39">
        <v>200</v>
      </c>
      <c r="AZ590" t="s">
        <v>108</v>
      </c>
      <c r="BC590" t="s">
        <v>336</v>
      </c>
    </row>
    <row r="591" spans="1:71" x14ac:dyDescent="0.25">
      <c r="A591" t="str">
        <f t="shared" si="9"/>
        <v>A69-1601-1386</v>
      </c>
      <c r="B591" t="s">
        <v>398</v>
      </c>
      <c r="C591" t="s">
        <v>324</v>
      </c>
      <c r="D591" t="s">
        <v>345</v>
      </c>
      <c r="F591">
        <v>1386</v>
      </c>
      <c r="G591" t="s">
        <v>346</v>
      </c>
      <c r="H591" t="s">
        <v>327</v>
      </c>
      <c r="I591" s="20">
        <v>40694</v>
      </c>
      <c r="J591">
        <v>101</v>
      </c>
      <c r="L591" t="s">
        <v>109</v>
      </c>
      <c r="M591" t="s">
        <v>328</v>
      </c>
      <c r="N591" t="s">
        <v>329</v>
      </c>
      <c r="O591" t="s">
        <v>330</v>
      </c>
      <c r="P591" t="s">
        <v>331</v>
      </c>
      <c r="U591">
        <v>0.52</v>
      </c>
      <c r="V591">
        <v>0.27800000000000002</v>
      </c>
      <c r="W591" t="s">
        <v>399</v>
      </c>
      <c r="Y591" t="s">
        <v>337</v>
      </c>
      <c r="AB591" t="s">
        <v>348</v>
      </c>
      <c r="AC591" t="s">
        <v>334</v>
      </c>
      <c r="AD591" s="34">
        <v>46.17166667</v>
      </c>
      <c r="AE591" s="34">
        <v>-84.078343329999996</v>
      </c>
      <c r="AF591" s="18">
        <v>40696.910416666666</v>
      </c>
      <c r="AG591" s="19">
        <v>40696.743750000001</v>
      </c>
      <c r="AH591" t="s">
        <v>161</v>
      </c>
      <c r="AL591" t="s">
        <v>335</v>
      </c>
      <c r="AM591" s="20">
        <v>40694</v>
      </c>
      <c r="AR591" s="39" t="s">
        <v>400</v>
      </c>
      <c r="AS591" s="39"/>
      <c r="AT591" s="39">
        <v>200</v>
      </c>
      <c r="AZ591" t="s">
        <v>108</v>
      </c>
      <c r="BC591" t="s">
        <v>336</v>
      </c>
    </row>
    <row r="592" spans="1:71" x14ac:dyDescent="0.25">
      <c r="A592" t="str">
        <f t="shared" si="9"/>
        <v>A69-1601-1387</v>
      </c>
      <c r="B592" t="s">
        <v>398</v>
      </c>
      <c r="C592" t="s">
        <v>324</v>
      </c>
      <c r="D592" t="s">
        <v>345</v>
      </c>
      <c r="F592">
        <v>1387</v>
      </c>
      <c r="G592" t="s">
        <v>346</v>
      </c>
      <c r="H592" t="s">
        <v>327</v>
      </c>
      <c r="I592" s="20">
        <v>40694</v>
      </c>
      <c r="J592">
        <v>101</v>
      </c>
      <c r="L592" t="s">
        <v>109</v>
      </c>
      <c r="M592" t="s">
        <v>328</v>
      </c>
      <c r="N592" t="s">
        <v>329</v>
      </c>
      <c r="O592" t="s">
        <v>330</v>
      </c>
      <c r="P592" t="s">
        <v>331</v>
      </c>
      <c r="U592">
        <v>0.47</v>
      </c>
      <c r="V592">
        <v>0.215</v>
      </c>
      <c r="W592" t="s">
        <v>399</v>
      </c>
      <c r="Y592" t="s">
        <v>337</v>
      </c>
      <c r="AB592" t="s">
        <v>348</v>
      </c>
      <c r="AC592" t="s">
        <v>334</v>
      </c>
      <c r="AD592" s="34">
        <v>46.17166667</v>
      </c>
      <c r="AE592" s="34">
        <v>-84.078343329999996</v>
      </c>
      <c r="AF592" s="18">
        <v>40696.910416666666</v>
      </c>
      <c r="AG592" s="19">
        <v>40696.743750000001</v>
      </c>
      <c r="AH592" t="s">
        <v>161</v>
      </c>
      <c r="AL592" t="s">
        <v>335</v>
      </c>
      <c r="AM592" s="20">
        <v>40694</v>
      </c>
      <c r="AR592" s="39" t="s">
        <v>400</v>
      </c>
      <c r="AS592" s="39"/>
      <c r="AT592" s="39">
        <v>200</v>
      </c>
      <c r="AZ592" t="s">
        <v>108</v>
      </c>
      <c r="BC592" t="s">
        <v>336</v>
      </c>
    </row>
    <row r="593" spans="1:55" x14ac:dyDescent="0.25">
      <c r="A593" t="str">
        <f t="shared" si="9"/>
        <v>A69-1601-1388</v>
      </c>
      <c r="B593" t="s">
        <v>398</v>
      </c>
      <c r="C593" t="s">
        <v>324</v>
      </c>
      <c r="D593" t="s">
        <v>345</v>
      </c>
      <c r="F593">
        <v>1388</v>
      </c>
      <c r="G593" t="s">
        <v>346</v>
      </c>
      <c r="H593" t="s">
        <v>327</v>
      </c>
      <c r="I593" s="20">
        <v>40694</v>
      </c>
      <c r="J593">
        <v>101</v>
      </c>
      <c r="L593" t="s">
        <v>109</v>
      </c>
      <c r="M593" t="s">
        <v>328</v>
      </c>
      <c r="N593" t="s">
        <v>329</v>
      </c>
      <c r="O593" t="s">
        <v>330</v>
      </c>
      <c r="P593" t="s">
        <v>331</v>
      </c>
      <c r="U593">
        <v>0.49</v>
      </c>
      <c r="V593">
        <v>0.23599999999999999</v>
      </c>
      <c r="W593" t="s">
        <v>399</v>
      </c>
      <c r="Y593" t="s">
        <v>337</v>
      </c>
      <c r="AB593" t="s">
        <v>348</v>
      </c>
      <c r="AC593" t="s">
        <v>334</v>
      </c>
      <c r="AD593" s="34">
        <v>46.17166667</v>
      </c>
      <c r="AE593" s="34">
        <v>-84.078343329999996</v>
      </c>
      <c r="AF593" s="18">
        <v>40696.910416666666</v>
      </c>
      <c r="AG593" s="19">
        <v>40696.743750000001</v>
      </c>
      <c r="AH593" t="s">
        <v>161</v>
      </c>
      <c r="AL593" t="s">
        <v>335</v>
      </c>
      <c r="AM593" s="20">
        <v>40694</v>
      </c>
      <c r="AR593" s="39" t="s">
        <v>400</v>
      </c>
      <c r="AS593" s="39"/>
      <c r="AT593" s="39">
        <v>200</v>
      </c>
      <c r="AZ593" t="s">
        <v>108</v>
      </c>
      <c r="BC593" t="s">
        <v>336</v>
      </c>
    </row>
    <row r="594" spans="1:55" x14ac:dyDescent="0.25">
      <c r="A594" t="str">
        <f t="shared" si="9"/>
        <v>A69-1601-1390</v>
      </c>
      <c r="B594" t="s">
        <v>398</v>
      </c>
      <c r="C594" t="s">
        <v>324</v>
      </c>
      <c r="D594" t="s">
        <v>345</v>
      </c>
      <c r="F594">
        <v>1390</v>
      </c>
      <c r="G594" t="s">
        <v>346</v>
      </c>
      <c r="H594" t="s">
        <v>327</v>
      </c>
      <c r="I594" s="20">
        <v>40694</v>
      </c>
      <c r="J594">
        <v>101</v>
      </c>
      <c r="L594" t="s">
        <v>109</v>
      </c>
      <c r="M594" t="s">
        <v>328</v>
      </c>
      <c r="N594" t="s">
        <v>329</v>
      </c>
      <c r="O594" t="s">
        <v>330</v>
      </c>
      <c r="P594" t="s">
        <v>331</v>
      </c>
      <c r="U594">
        <v>0.49</v>
      </c>
      <c r="V594">
        <v>0.30299999999999999</v>
      </c>
      <c r="W594" t="s">
        <v>399</v>
      </c>
      <c r="Y594" t="s">
        <v>337</v>
      </c>
      <c r="AB594" t="s">
        <v>348</v>
      </c>
      <c r="AC594" t="s">
        <v>334</v>
      </c>
      <c r="AD594" s="34">
        <v>46.17166667</v>
      </c>
      <c r="AE594" s="34">
        <v>-84.078343329999996</v>
      </c>
      <c r="AF594" s="18">
        <v>40696.910416666666</v>
      </c>
      <c r="AG594" s="19">
        <v>40696.743750000001</v>
      </c>
      <c r="AH594" t="s">
        <v>161</v>
      </c>
      <c r="AL594" t="s">
        <v>335</v>
      </c>
      <c r="AM594" s="20">
        <v>40694</v>
      </c>
      <c r="AR594" s="39" t="s">
        <v>400</v>
      </c>
      <c r="AS594" s="39"/>
      <c r="AT594" s="39">
        <v>200</v>
      </c>
      <c r="AZ594" t="s">
        <v>108</v>
      </c>
      <c r="BC594" t="s">
        <v>336</v>
      </c>
    </row>
    <row r="595" spans="1:55" x14ac:dyDescent="0.25">
      <c r="A595" t="str">
        <f t="shared" si="9"/>
        <v>A69-1601-1391</v>
      </c>
      <c r="B595" t="s">
        <v>398</v>
      </c>
      <c r="C595" t="s">
        <v>324</v>
      </c>
      <c r="D595" t="s">
        <v>345</v>
      </c>
      <c r="F595">
        <v>1391</v>
      </c>
      <c r="G595" t="s">
        <v>346</v>
      </c>
      <c r="H595" t="s">
        <v>327</v>
      </c>
      <c r="I595" s="20">
        <v>40694</v>
      </c>
      <c r="J595">
        <v>101</v>
      </c>
      <c r="L595" t="s">
        <v>109</v>
      </c>
      <c r="M595" t="s">
        <v>328</v>
      </c>
      <c r="N595" t="s">
        <v>329</v>
      </c>
      <c r="O595" t="s">
        <v>330</v>
      </c>
      <c r="P595" t="s">
        <v>331</v>
      </c>
      <c r="U595">
        <v>0.51</v>
      </c>
      <c r="V595">
        <v>0.27700000000000002</v>
      </c>
      <c r="W595" t="s">
        <v>399</v>
      </c>
      <c r="Y595" t="s">
        <v>337</v>
      </c>
      <c r="AB595" t="s">
        <v>348</v>
      </c>
      <c r="AC595" t="s">
        <v>334</v>
      </c>
      <c r="AD595" s="34">
        <v>46.17166667</v>
      </c>
      <c r="AE595" s="34">
        <v>-84.078343329999996</v>
      </c>
      <c r="AF595" s="18">
        <v>40696.910416666666</v>
      </c>
      <c r="AG595" s="19">
        <v>40696.743750000001</v>
      </c>
      <c r="AH595" t="s">
        <v>161</v>
      </c>
      <c r="AL595" t="s">
        <v>335</v>
      </c>
      <c r="AM595" s="20">
        <v>40694</v>
      </c>
      <c r="AR595" s="39" t="s">
        <v>400</v>
      </c>
      <c r="AS595" s="39"/>
      <c r="AT595" s="39">
        <v>200</v>
      </c>
      <c r="AZ595" t="s">
        <v>108</v>
      </c>
      <c r="BC595" t="s">
        <v>336</v>
      </c>
    </row>
    <row r="596" spans="1:55" x14ac:dyDescent="0.25">
      <c r="A596" t="str">
        <f t="shared" si="9"/>
        <v>A69-1601-1392</v>
      </c>
      <c r="B596" t="s">
        <v>398</v>
      </c>
      <c r="C596" t="s">
        <v>324</v>
      </c>
      <c r="D596" t="s">
        <v>345</v>
      </c>
      <c r="F596">
        <v>1392</v>
      </c>
      <c r="G596" t="s">
        <v>346</v>
      </c>
      <c r="H596" t="s">
        <v>327</v>
      </c>
      <c r="I596" s="20">
        <v>40694</v>
      </c>
      <c r="J596">
        <v>101</v>
      </c>
      <c r="L596" t="s">
        <v>109</v>
      </c>
      <c r="M596" t="s">
        <v>328</v>
      </c>
      <c r="N596" t="s">
        <v>329</v>
      </c>
      <c r="O596" t="s">
        <v>330</v>
      </c>
      <c r="P596" t="s">
        <v>331</v>
      </c>
      <c r="U596">
        <v>0.51</v>
      </c>
      <c r="V596">
        <v>0.26100000000000001</v>
      </c>
      <c r="W596" t="s">
        <v>399</v>
      </c>
      <c r="Y596" t="s">
        <v>337</v>
      </c>
      <c r="AB596" t="s">
        <v>348</v>
      </c>
      <c r="AC596" t="s">
        <v>334</v>
      </c>
      <c r="AD596" s="34">
        <v>46.17166667</v>
      </c>
      <c r="AE596" s="34">
        <v>-84.078343329999996</v>
      </c>
      <c r="AF596" s="18">
        <v>40696.910416666666</v>
      </c>
      <c r="AG596" s="19">
        <v>40696.743750000001</v>
      </c>
      <c r="AH596" t="s">
        <v>161</v>
      </c>
      <c r="AL596" t="s">
        <v>335</v>
      </c>
      <c r="AM596" s="20">
        <v>40694</v>
      </c>
      <c r="AR596" s="39" t="s">
        <v>400</v>
      </c>
      <c r="AS596" s="39"/>
      <c r="AT596" s="39">
        <v>200</v>
      </c>
      <c r="AZ596" t="s">
        <v>108</v>
      </c>
      <c r="BC596" t="s">
        <v>336</v>
      </c>
    </row>
    <row r="597" spans="1:55" x14ac:dyDescent="0.25">
      <c r="A597" t="str">
        <f t="shared" si="9"/>
        <v>A69-1601-1393</v>
      </c>
      <c r="B597" t="s">
        <v>398</v>
      </c>
      <c r="C597" t="s">
        <v>324</v>
      </c>
      <c r="D597" t="s">
        <v>345</v>
      </c>
      <c r="F597">
        <v>1393</v>
      </c>
      <c r="G597" t="s">
        <v>346</v>
      </c>
      <c r="H597" t="s">
        <v>327</v>
      </c>
      <c r="I597" s="20">
        <v>40694</v>
      </c>
      <c r="J597">
        <v>101</v>
      </c>
      <c r="L597" t="s">
        <v>109</v>
      </c>
      <c r="M597" t="s">
        <v>328</v>
      </c>
      <c r="N597" t="s">
        <v>329</v>
      </c>
      <c r="O597" t="s">
        <v>330</v>
      </c>
      <c r="P597" t="s">
        <v>331</v>
      </c>
      <c r="U597">
        <v>0.47</v>
      </c>
      <c r="V597">
        <v>0.23899999999999999</v>
      </c>
      <c r="W597" t="s">
        <v>399</v>
      </c>
      <c r="Y597" t="s">
        <v>337</v>
      </c>
      <c r="AB597" t="s">
        <v>348</v>
      </c>
      <c r="AC597" t="s">
        <v>334</v>
      </c>
      <c r="AD597" s="34">
        <v>46.17166667</v>
      </c>
      <c r="AE597" s="34">
        <v>-84.078343329999996</v>
      </c>
      <c r="AF597" s="18">
        <v>40696.910416666666</v>
      </c>
      <c r="AG597" s="19">
        <v>40696.743750000001</v>
      </c>
      <c r="AH597" t="s">
        <v>161</v>
      </c>
      <c r="AL597" t="s">
        <v>335</v>
      </c>
      <c r="AM597" s="20">
        <v>40694</v>
      </c>
      <c r="AR597" s="39" t="s">
        <v>400</v>
      </c>
      <c r="AS597" s="39"/>
      <c r="AT597" s="39">
        <v>200</v>
      </c>
      <c r="AZ597" t="s">
        <v>108</v>
      </c>
      <c r="BC597" t="s">
        <v>336</v>
      </c>
    </row>
    <row r="598" spans="1:55" x14ac:dyDescent="0.25">
      <c r="A598" t="str">
        <f t="shared" si="9"/>
        <v>A69-1601-1394</v>
      </c>
      <c r="B598" t="s">
        <v>398</v>
      </c>
      <c r="C598" t="s">
        <v>324</v>
      </c>
      <c r="D598" t="s">
        <v>345</v>
      </c>
      <c r="F598">
        <v>1394</v>
      </c>
      <c r="G598" t="s">
        <v>346</v>
      </c>
      <c r="H598" t="s">
        <v>327</v>
      </c>
      <c r="I598" s="20">
        <v>40694</v>
      </c>
      <c r="J598">
        <v>101</v>
      </c>
      <c r="L598" t="s">
        <v>109</v>
      </c>
      <c r="M598" t="s">
        <v>328</v>
      </c>
      <c r="N598" t="s">
        <v>329</v>
      </c>
      <c r="O598" t="s">
        <v>330</v>
      </c>
      <c r="P598" t="s">
        <v>331</v>
      </c>
      <c r="U598">
        <v>0.52</v>
      </c>
      <c r="V598">
        <v>0.308</v>
      </c>
      <c r="W598" t="s">
        <v>399</v>
      </c>
      <c r="Y598" t="s">
        <v>337</v>
      </c>
      <c r="AB598" t="s">
        <v>348</v>
      </c>
      <c r="AC598" t="s">
        <v>334</v>
      </c>
      <c r="AD598" s="34">
        <v>46.17166667</v>
      </c>
      <c r="AE598" s="34">
        <v>-84.078343329999996</v>
      </c>
      <c r="AF598" s="18">
        <v>40696.910416666666</v>
      </c>
      <c r="AG598" s="19">
        <v>40696.743750000001</v>
      </c>
      <c r="AH598" t="s">
        <v>161</v>
      </c>
      <c r="AL598" t="s">
        <v>335</v>
      </c>
      <c r="AM598" s="20">
        <v>40694</v>
      </c>
      <c r="AR598" s="39" t="s">
        <v>400</v>
      </c>
      <c r="AS598" s="39"/>
      <c r="AT598" s="39">
        <v>200</v>
      </c>
      <c r="AZ598" t="s">
        <v>108</v>
      </c>
      <c r="BC598" t="s">
        <v>336</v>
      </c>
    </row>
    <row r="599" spans="1:55" x14ac:dyDescent="0.25">
      <c r="A599" t="str">
        <f t="shared" si="9"/>
        <v>A69-1601-1395</v>
      </c>
      <c r="B599" t="s">
        <v>398</v>
      </c>
      <c r="C599" t="s">
        <v>324</v>
      </c>
      <c r="D599" t="s">
        <v>345</v>
      </c>
      <c r="F599">
        <v>1395</v>
      </c>
      <c r="G599" t="s">
        <v>346</v>
      </c>
      <c r="H599" t="s">
        <v>327</v>
      </c>
      <c r="I599" s="20">
        <v>40694</v>
      </c>
      <c r="J599">
        <v>101</v>
      </c>
      <c r="L599" t="s">
        <v>109</v>
      </c>
      <c r="M599" t="s">
        <v>328</v>
      </c>
      <c r="N599" t="s">
        <v>329</v>
      </c>
      <c r="O599" t="s">
        <v>330</v>
      </c>
      <c r="P599" t="s">
        <v>331</v>
      </c>
      <c r="U599">
        <v>0.5</v>
      </c>
      <c r="V599">
        <v>0.254</v>
      </c>
      <c r="W599" t="s">
        <v>399</v>
      </c>
      <c r="Y599" t="s">
        <v>337</v>
      </c>
      <c r="AB599" t="s">
        <v>348</v>
      </c>
      <c r="AC599" t="s">
        <v>334</v>
      </c>
      <c r="AD599" s="34">
        <v>46.17166667</v>
      </c>
      <c r="AE599" s="34">
        <v>-84.078343329999996</v>
      </c>
      <c r="AF599" s="18">
        <v>40696.910416666666</v>
      </c>
      <c r="AG599" s="19">
        <v>40696.743750000001</v>
      </c>
      <c r="AH599" t="s">
        <v>161</v>
      </c>
      <c r="AL599" t="s">
        <v>335</v>
      </c>
      <c r="AM599" s="20">
        <v>40694</v>
      </c>
      <c r="AR599" s="39" t="s">
        <v>400</v>
      </c>
      <c r="AS599" s="39"/>
      <c r="AT599" s="39">
        <v>200</v>
      </c>
      <c r="AZ599" t="s">
        <v>108</v>
      </c>
      <c r="BC599" t="s">
        <v>336</v>
      </c>
    </row>
    <row r="600" spans="1:55" x14ac:dyDescent="0.25">
      <c r="A600" t="str">
        <f t="shared" si="9"/>
        <v>A69-1601-1396</v>
      </c>
      <c r="B600" t="s">
        <v>398</v>
      </c>
      <c r="C600" t="s">
        <v>324</v>
      </c>
      <c r="D600" t="s">
        <v>345</v>
      </c>
      <c r="F600">
        <v>1396</v>
      </c>
      <c r="G600" t="s">
        <v>346</v>
      </c>
      <c r="H600" t="s">
        <v>327</v>
      </c>
      <c r="I600" s="20">
        <v>40694</v>
      </c>
      <c r="J600">
        <v>101</v>
      </c>
      <c r="L600" t="s">
        <v>109</v>
      </c>
      <c r="M600" t="s">
        <v>328</v>
      </c>
      <c r="N600" t="s">
        <v>329</v>
      </c>
      <c r="O600" t="s">
        <v>330</v>
      </c>
      <c r="P600" t="s">
        <v>331</v>
      </c>
      <c r="U600">
        <v>0.5</v>
      </c>
      <c r="V600">
        <v>0.32200000000000001</v>
      </c>
      <c r="W600" t="s">
        <v>399</v>
      </c>
      <c r="Y600" t="s">
        <v>337</v>
      </c>
      <c r="AB600" t="s">
        <v>348</v>
      </c>
      <c r="AC600" t="s">
        <v>334</v>
      </c>
      <c r="AD600" s="34">
        <v>46.17166667</v>
      </c>
      <c r="AE600" s="34">
        <v>-84.078343329999996</v>
      </c>
      <c r="AF600" s="18">
        <v>40696.910416666666</v>
      </c>
      <c r="AG600" s="19">
        <v>40696.743750000001</v>
      </c>
      <c r="AH600" t="s">
        <v>161</v>
      </c>
      <c r="AL600" t="s">
        <v>335</v>
      </c>
      <c r="AM600" s="20">
        <v>40694</v>
      </c>
      <c r="AR600" s="39" t="s">
        <v>400</v>
      </c>
      <c r="AS600" s="39"/>
      <c r="AT600" s="39">
        <v>200</v>
      </c>
      <c r="AZ600" t="s">
        <v>108</v>
      </c>
      <c r="BC600" t="s">
        <v>336</v>
      </c>
    </row>
    <row r="601" spans="1:55" x14ac:dyDescent="0.25">
      <c r="A601" t="str">
        <f t="shared" si="9"/>
        <v>A69-1601-1397</v>
      </c>
      <c r="B601" t="s">
        <v>398</v>
      </c>
      <c r="C601" t="s">
        <v>324</v>
      </c>
      <c r="D601" t="s">
        <v>345</v>
      </c>
      <c r="F601">
        <v>1397</v>
      </c>
      <c r="G601" t="s">
        <v>346</v>
      </c>
      <c r="H601" t="s">
        <v>327</v>
      </c>
      <c r="I601" s="20">
        <v>40694</v>
      </c>
      <c r="J601">
        <v>101</v>
      </c>
      <c r="L601" t="s">
        <v>109</v>
      </c>
      <c r="M601" t="s">
        <v>328</v>
      </c>
      <c r="N601" t="s">
        <v>329</v>
      </c>
      <c r="O601" t="s">
        <v>330</v>
      </c>
      <c r="P601" t="s">
        <v>331</v>
      </c>
      <c r="U601">
        <v>0.51</v>
      </c>
      <c r="V601">
        <v>0.28999999999999998</v>
      </c>
      <c r="W601" t="s">
        <v>399</v>
      </c>
      <c r="Y601" t="s">
        <v>337</v>
      </c>
      <c r="AB601" t="s">
        <v>348</v>
      </c>
      <c r="AC601" t="s">
        <v>334</v>
      </c>
      <c r="AD601" s="34">
        <v>46.17166667</v>
      </c>
      <c r="AE601" s="34">
        <v>-84.078343329999996</v>
      </c>
      <c r="AF601" s="18">
        <v>40696.910416666666</v>
      </c>
      <c r="AG601" s="19">
        <v>40696.743750000001</v>
      </c>
      <c r="AH601" t="s">
        <v>161</v>
      </c>
      <c r="AL601" t="s">
        <v>335</v>
      </c>
      <c r="AM601" s="20">
        <v>40694</v>
      </c>
      <c r="AR601" s="39" t="s">
        <v>400</v>
      </c>
      <c r="AS601" s="39"/>
      <c r="AT601" s="39">
        <v>200</v>
      </c>
      <c r="AZ601" t="s">
        <v>108</v>
      </c>
      <c r="BC601" t="s">
        <v>336</v>
      </c>
    </row>
    <row r="602" spans="1:55" x14ac:dyDescent="0.25">
      <c r="A602" t="str">
        <f t="shared" si="9"/>
        <v>A69-9002-4708</v>
      </c>
      <c r="B602" t="s">
        <v>398</v>
      </c>
      <c r="C602" t="s">
        <v>324</v>
      </c>
      <c r="D602" t="s">
        <v>325</v>
      </c>
      <c r="F602">
        <v>4708</v>
      </c>
      <c r="G602" t="s">
        <v>326</v>
      </c>
      <c r="H602" t="s">
        <v>327</v>
      </c>
      <c r="I602" s="20">
        <v>40694</v>
      </c>
      <c r="J602">
        <v>80</v>
      </c>
      <c r="L602" t="s">
        <v>109</v>
      </c>
      <c r="M602" t="s">
        <v>328</v>
      </c>
      <c r="N602" t="s">
        <v>329</v>
      </c>
      <c r="O602" t="s">
        <v>330</v>
      </c>
      <c r="P602" t="s">
        <v>331</v>
      </c>
      <c r="U602">
        <v>0.44</v>
      </c>
      <c r="V602">
        <v>0.20499999999999999</v>
      </c>
      <c r="W602" t="s">
        <v>399</v>
      </c>
      <c r="Y602" t="s">
        <v>337</v>
      </c>
      <c r="AB602" t="s">
        <v>349</v>
      </c>
      <c r="AC602" t="s">
        <v>342</v>
      </c>
      <c r="AD602" s="34">
        <v>46.306741670000001</v>
      </c>
      <c r="AE602" s="34">
        <v>-84.060811670000007</v>
      </c>
      <c r="AF602" s="18">
        <v>40696.938888888886</v>
      </c>
      <c r="AG602" s="19">
        <v>40696.772222222222</v>
      </c>
      <c r="AH602" t="s">
        <v>161</v>
      </c>
      <c r="AL602" t="s">
        <v>335</v>
      </c>
      <c r="AM602" s="20">
        <v>40694</v>
      </c>
      <c r="AR602" s="39" t="s">
        <v>400</v>
      </c>
      <c r="AS602" s="39"/>
      <c r="AT602" s="39">
        <v>200</v>
      </c>
      <c r="AZ602" t="s">
        <v>108</v>
      </c>
      <c r="BC602" t="s">
        <v>336</v>
      </c>
    </row>
    <row r="603" spans="1:55" x14ac:dyDescent="0.25">
      <c r="A603" t="str">
        <f t="shared" si="9"/>
        <v>A69-9002-4709</v>
      </c>
      <c r="B603" t="s">
        <v>398</v>
      </c>
      <c r="C603" t="s">
        <v>324</v>
      </c>
      <c r="D603" t="s">
        <v>325</v>
      </c>
      <c r="F603">
        <v>4709</v>
      </c>
      <c r="G603" t="s">
        <v>326</v>
      </c>
      <c r="H603" t="s">
        <v>327</v>
      </c>
      <c r="I603" s="20">
        <v>40694</v>
      </c>
      <c r="J603">
        <v>80</v>
      </c>
      <c r="L603" t="s">
        <v>109</v>
      </c>
      <c r="M603" t="s">
        <v>328</v>
      </c>
      <c r="N603" t="s">
        <v>329</v>
      </c>
      <c r="O603" t="s">
        <v>330</v>
      </c>
      <c r="P603" t="s">
        <v>331</v>
      </c>
      <c r="U603">
        <v>0.54</v>
      </c>
      <c r="V603">
        <v>0.27300000000000002</v>
      </c>
      <c r="W603" t="s">
        <v>399</v>
      </c>
      <c r="Y603" t="s">
        <v>332</v>
      </c>
      <c r="AB603" t="s">
        <v>349</v>
      </c>
      <c r="AC603" t="s">
        <v>342</v>
      </c>
      <c r="AD603" s="34">
        <v>46.306741670000001</v>
      </c>
      <c r="AE603" s="34">
        <v>-84.060811670000007</v>
      </c>
      <c r="AF603" s="18">
        <v>40696.938888888886</v>
      </c>
      <c r="AG603" s="19">
        <v>40696.772222222222</v>
      </c>
      <c r="AH603" t="s">
        <v>161</v>
      </c>
      <c r="AL603" t="s">
        <v>335</v>
      </c>
      <c r="AM603" s="20">
        <v>40694</v>
      </c>
      <c r="AR603" s="39" t="s">
        <v>400</v>
      </c>
      <c r="AS603" s="39"/>
      <c r="AT603" s="39">
        <v>200</v>
      </c>
      <c r="AZ603" t="s">
        <v>108</v>
      </c>
      <c r="BC603" t="s">
        <v>336</v>
      </c>
    </row>
    <row r="604" spans="1:55" x14ac:dyDescent="0.25">
      <c r="A604" t="str">
        <f t="shared" si="9"/>
        <v>A69-9002-4710</v>
      </c>
      <c r="B604" t="s">
        <v>398</v>
      </c>
      <c r="C604" t="s">
        <v>324</v>
      </c>
      <c r="D604" t="s">
        <v>325</v>
      </c>
      <c r="F604">
        <v>4710</v>
      </c>
      <c r="G604" t="s">
        <v>326</v>
      </c>
      <c r="H604" t="s">
        <v>327</v>
      </c>
      <c r="I604" s="20">
        <v>40694</v>
      </c>
      <c r="J604">
        <v>80</v>
      </c>
      <c r="L604" t="s">
        <v>109</v>
      </c>
      <c r="M604" t="s">
        <v>328</v>
      </c>
      <c r="N604" t="s">
        <v>329</v>
      </c>
      <c r="O604" t="s">
        <v>330</v>
      </c>
      <c r="P604" t="s">
        <v>331</v>
      </c>
      <c r="U604">
        <v>0.52</v>
      </c>
      <c r="V604">
        <v>0.251</v>
      </c>
      <c r="W604" t="s">
        <v>399</v>
      </c>
      <c r="Y604" t="s">
        <v>332</v>
      </c>
      <c r="AB604" t="s">
        <v>349</v>
      </c>
      <c r="AC604" t="s">
        <v>342</v>
      </c>
      <c r="AD604" s="34">
        <v>46.306741670000001</v>
      </c>
      <c r="AE604" s="34">
        <v>-84.060811670000007</v>
      </c>
      <c r="AF604" s="18">
        <v>40696.938888888886</v>
      </c>
      <c r="AG604" s="19">
        <v>40696.772222222222</v>
      </c>
      <c r="AH604" t="s">
        <v>161</v>
      </c>
      <c r="AL604" t="s">
        <v>335</v>
      </c>
      <c r="AM604" s="20">
        <v>40694</v>
      </c>
      <c r="AR604" s="39" t="s">
        <v>400</v>
      </c>
      <c r="AS604" s="39"/>
      <c r="AT604" s="39">
        <v>200</v>
      </c>
      <c r="AZ604" t="s">
        <v>108</v>
      </c>
      <c r="BC604" t="s">
        <v>336</v>
      </c>
    </row>
    <row r="605" spans="1:55" x14ac:dyDescent="0.25">
      <c r="A605" t="str">
        <f t="shared" si="9"/>
        <v>A69-9002-4711</v>
      </c>
      <c r="B605" t="s">
        <v>398</v>
      </c>
      <c r="C605" t="s">
        <v>324</v>
      </c>
      <c r="D605" t="s">
        <v>325</v>
      </c>
      <c r="F605">
        <v>4711</v>
      </c>
      <c r="G605" t="s">
        <v>326</v>
      </c>
      <c r="H605" t="s">
        <v>327</v>
      </c>
      <c r="I605" s="20">
        <v>40694</v>
      </c>
      <c r="J605">
        <v>80</v>
      </c>
      <c r="L605" t="s">
        <v>109</v>
      </c>
      <c r="M605" t="s">
        <v>328</v>
      </c>
      <c r="N605" t="s">
        <v>329</v>
      </c>
      <c r="O605" t="s">
        <v>330</v>
      </c>
      <c r="P605" t="s">
        <v>331</v>
      </c>
      <c r="U605">
        <v>0.48</v>
      </c>
      <c r="V605">
        <v>0.19500000000000001</v>
      </c>
      <c r="W605" t="s">
        <v>399</v>
      </c>
      <c r="Y605" t="s">
        <v>332</v>
      </c>
      <c r="AB605" t="s">
        <v>349</v>
      </c>
      <c r="AC605" t="s">
        <v>342</v>
      </c>
      <c r="AD605" s="34">
        <v>46.306741670000001</v>
      </c>
      <c r="AE605" s="34">
        <v>-84.060811670000007</v>
      </c>
      <c r="AF605" s="18">
        <v>40696.938888888886</v>
      </c>
      <c r="AG605" s="19">
        <v>40696.772222222222</v>
      </c>
      <c r="AH605" t="s">
        <v>161</v>
      </c>
      <c r="AL605" t="s">
        <v>335</v>
      </c>
      <c r="AM605" s="20">
        <v>40694</v>
      </c>
      <c r="AR605" s="39" t="s">
        <v>400</v>
      </c>
      <c r="AS605" s="39"/>
      <c r="AT605" s="39">
        <v>200</v>
      </c>
      <c r="AZ605" t="s">
        <v>108</v>
      </c>
      <c r="BC605" t="s">
        <v>336</v>
      </c>
    </row>
    <row r="606" spans="1:55" x14ac:dyDescent="0.25">
      <c r="A606" t="str">
        <f t="shared" si="9"/>
        <v>A69-9002-4712</v>
      </c>
      <c r="B606" t="s">
        <v>398</v>
      </c>
      <c r="C606" t="s">
        <v>324</v>
      </c>
      <c r="D606" t="s">
        <v>325</v>
      </c>
      <c r="F606">
        <v>4712</v>
      </c>
      <c r="G606" t="s">
        <v>326</v>
      </c>
      <c r="H606" t="s">
        <v>327</v>
      </c>
      <c r="I606" s="20">
        <v>40694</v>
      </c>
      <c r="J606">
        <v>80</v>
      </c>
      <c r="L606" t="s">
        <v>109</v>
      </c>
      <c r="M606" t="s">
        <v>328</v>
      </c>
      <c r="N606" t="s">
        <v>329</v>
      </c>
      <c r="O606" t="s">
        <v>330</v>
      </c>
      <c r="P606" t="s">
        <v>331</v>
      </c>
      <c r="U606">
        <v>0.51</v>
      </c>
      <c r="V606">
        <v>0.27100000000000002</v>
      </c>
      <c r="W606" t="s">
        <v>399</v>
      </c>
      <c r="Y606" t="s">
        <v>337</v>
      </c>
      <c r="AB606" t="s">
        <v>349</v>
      </c>
      <c r="AC606" t="s">
        <v>342</v>
      </c>
      <c r="AD606" s="34">
        <v>46.306741670000001</v>
      </c>
      <c r="AE606" s="34">
        <v>-84.060811670000007</v>
      </c>
      <c r="AF606" s="18">
        <v>40696.938888888886</v>
      </c>
      <c r="AG606" s="19">
        <v>40696.772222222222</v>
      </c>
      <c r="AH606" t="s">
        <v>161</v>
      </c>
      <c r="AL606" t="s">
        <v>335</v>
      </c>
      <c r="AM606" s="20">
        <v>40694</v>
      </c>
      <c r="AR606" s="39" t="s">
        <v>400</v>
      </c>
      <c r="AS606" s="39"/>
      <c r="AT606" s="39">
        <v>200</v>
      </c>
      <c r="AZ606" t="s">
        <v>108</v>
      </c>
      <c r="BC606" t="s">
        <v>336</v>
      </c>
    </row>
    <row r="607" spans="1:55" x14ac:dyDescent="0.25">
      <c r="A607" t="str">
        <f t="shared" si="9"/>
        <v>A69-9002-4713</v>
      </c>
      <c r="B607" t="s">
        <v>398</v>
      </c>
      <c r="C607" t="s">
        <v>324</v>
      </c>
      <c r="D607" t="s">
        <v>325</v>
      </c>
      <c r="F607">
        <v>4713</v>
      </c>
      <c r="G607" t="s">
        <v>326</v>
      </c>
      <c r="H607" t="s">
        <v>327</v>
      </c>
      <c r="I607" s="20">
        <v>40694</v>
      </c>
      <c r="J607">
        <v>80</v>
      </c>
      <c r="L607" t="s">
        <v>109</v>
      </c>
      <c r="M607" t="s">
        <v>328</v>
      </c>
      <c r="N607" t="s">
        <v>329</v>
      </c>
      <c r="O607" t="s">
        <v>330</v>
      </c>
      <c r="P607" t="s">
        <v>331</v>
      </c>
      <c r="U607">
        <v>0.54</v>
      </c>
      <c r="V607">
        <v>0.33100000000000002</v>
      </c>
      <c r="W607" t="s">
        <v>399</v>
      </c>
      <c r="Y607" t="s">
        <v>332</v>
      </c>
      <c r="AB607" t="s">
        <v>349</v>
      </c>
      <c r="AC607" t="s">
        <v>342</v>
      </c>
      <c r="AD607" s="34">
        <v>46.306741670000001</v>
      </c>
      <c r="AE607" s="34">
        <v>-84.060811670000007</v>
      </c>
      <c r="AF607" s="18">
        <v>40696.938888888886</v>
      </c>
      <c r="AG607" s="19">
        <v>40696.772222222222</v>
      </c>
      <c r="AH607" t="s">
        <v>161</v>
      </c>
      <c r="AL607" t="s">
        <v>335</v>
      </c>
      <c r="AM607" s="20">
        <v>40694</v>
      </c>
      <c r="AR607" s="39" t="s">
        <v>400</v>
      </c>
      <c r="AS607" s="39"/>
      <c r="AT607" s="39">
        <v>200</v>
      </c>
      <c r="AZ607" t="s">
        <v>108</v>
      </c>
      <c r="BC607" t="s">
        <v>336</v>
      </c>
    </row>
    <row r="608" spans="1:55" x14ac:dyDescent="0.25">
      <c r="A608" t="str">
        <f t="shared" si="9"/>
        <v>A69-9002-4714</v>
      </c>
      <c r="B608" t="s">
        <v>398</v>
      </c>
      <c r="C608" t="s">
        <v>324</v>
      </c>
      <c r="D608" t="s">
        <v>325</v>
      </c>
      <c r="F608">
        <v>4714</v>
      </c>
      <c r="G608" t="s">
        <v>326</v>
      </c>
      <c r="H608" t="s">
        <v>327</v>
      </c>
      <c r="I608" s="20">
        <v>40694</v>
      </c>
      <c r="J608">
        <v>80</v>
      </c>
      <c r="L608" t="s">
        <v>109</v>
      </c>
      <c r="M608" t="s">
        <v>328</v>
      </c>
      <c r="N608" t="s">
        <v>329</v>
      </c>
      <c r="O608" t="s">
        <v>330</v>
      </c>
      <c r="P608" t="s">
        <v>331</v>
      </c>
      <c r="U608">
        <v>0.48</v>
      </c>
      <c r="V608">
        <v>0.253</v>
      </c>
      <c r="W608" t="s">
        <v>399</v>
      </c>
      <c r="Y608" t="s">
        <v>332</v>
      </c>
      <c r="AB608" t="s">
        <v>349</v>
      </c>
      <c r="AC608" t="s">
        <v>342</v>
      </c>
      <c r="AD608" s="34">
        <v>46.306741670000001</v>
      </c>
      <c r="AE608" s="34">
        <v>-84.060811670000007</v>
      </c>
      <c r="AF608" s="18">
        <v>40696.938888888886</v>
      </c>
      <c r="AG608" s="19">
        <v>40696.772222222222</v>
      </c>
      <c r="AH608" t="s">
        <v>161</v>
      </c>
      <c r="AL608" t="s">
        <v>335</v>
      </c>
      <c r="AM608" s="20">
        <v>40694</v>
      </c>
      <c r="AR608" s="39" t="s">
        <v>400</v>
      </c>
      <c r="AS608" s="39"/>
      <c r="AT608" s="39">
        <v>200</v>
      </c>
      <c r="AZ608" t="s">
        <v>108</v>
      </c>
      <c r="BC608" t="s">
        <v>336</v>
      </c>
    </row>
    <row r="609" spans="1:55" x14ac:dyDescent="0.25">
      <c r="A609" t="str">
        <f t="shared" si="9"/>
        <v>A69-9002-4715</v>
      </c>
      <c r="B609" t="s">
        <v>398</v>
      </c>
      <c r="C609" t="s">
        <v>324</v>
      </c>
      <c r="D609" t="s">
        <v>325</v>
      </c>
      <c r="F609">
        <v>4715</v>
      </c>
      <c r="G609" t="s">
        <v>326</v>
      </c>
      <c r="H609" t="s">
        <v>327</v>
      </c>
      <c r="I609" s="20">
        <v>40694</v>
      </c>
      <c r="J609">
        <v>80</v>
      </c>
      <c r="L609" t="s">
        <v>109</v>
      </c>
      <c r="M609" t="s">
        <v>328</v>
      </c>
      <c r="N609" t="s">
        <v>329</v>
      </c>
      <c r="O609" t="s">
        <v>330</v>
      </c>
      <c r="P609" t="s">
        <v>331</v>
      </c>
      <c r="U609">
        <v>0.51</v>
      </c>
      <c r="V609">
        <v>0.27400000000000002</v>
      </c>
      <c r="W609" t="s">
        <v>399</v>
      </c>
      <c r="Y609" t="s">
        <v>332</v>
      </c>
      <c r="AB609" t="s">
        <v>349</v>
      </c>
      <c r="AC609" t="s">
        <v>342</v>
      </c>
      <c r="AD609" s="34">
        <v>46.306741670000001</v>
      </c>
      <c r="AE609" s="34">
        <v>-84.060811670000007</v>
      </c>
      <c r="AF609" s="18">
        <v>40696.938888888886</v>
      </c>
      <c r="AG609" s="19">
        <v>40696.772222222222</v>
      </c>
      <c r="AH609" t="s">
        <v>161</v>
      </c>
      <c r="AL609" t="s">
        <v>335</v>
      </c>
      <c r="AM609" s="20">
        <v>40694</v>
      </c>
      <c r="AR609" s="39" t="s">
        <v>400</v>
      </c>
      <c r="AS609" s="39"/>
      <c r="AT609" s="39">
        <v>200</v>
      </c>
      <c r="AZ609" t="s">
        <v>108</v>
      </c>
      <c r="BC609" t="s">
        <v>336</v>
      </c>
    </row>
    <row r="610" spans="1:55" x14ac:dyDescent="0.25">
      <c r="A610" t="str">
        <f t="shared" si="9"/>
        <v>A69-9002-4716</v>
      </c>
      <c r="B610" t="s">
        <v>398</v>
      </c>
      <c r="C610" t="s">
        <v>324</v>
      </c>
      <c r="D610" t="s">
        <v>325</v>
      </c>
      <c r="F610">
        <v>4716</v>
      </c>
      <c r="G610" t="s">
        <v>326</v>
      </c>
      <c r="H610" t="s">
        <v>327</v>
      </c>
      <c r="I610" s="20">
        <v>40694</v>
      </c>
      <c r="J610">
        <v>80</v>
      </c>
      <c r="L610" t="s">
        <v>109</v>
      </c>
      <c r="M610" t="s">
        <v>328</v>
      </c>
      <c r="N610" t="s">
        <v>329</v>
      </c>
      <c r="O610" t="s">
        <v>330</v>
      </c>
      <c r="P610" t="s">
        <v>331</v>
      </c>
      <c r="U610">
        <v>0.51</v>
      </c>
      <c r="V610">
        <v>0.27700000000000002</v>
      </c>
      <c r="W610" t="s">
        <v>399</v>
      </c>
      <c r="Y610" t="s">
        <v>332</v>
      </c>
      <c r="AB610" t="s">
        <v>349</v>
      </c>
      <c r="AC610" t="s">
        <v>342</v>
      </c>
      <c r="AD610" s="34">
        <v>46.306741670000001</v>
      </c>
      <c r="AE610" s="34">
        <v>-84.060811670000007</v>
      </c>
      <c r="AF610" s="18">
        <v>40696.938888888886</v>
      </c>
      <c r="AG610" s="19">
        <v>40696.772222222222</v>
      </c>
      <c r="AH610" t="s">
        <v>161</v>
      </c>
      <c r="AL610" t="s">
        <v>335</v>
      </c>
      <c r="AM610" s="20">
        <v>40694</v>
      </c>
      <c r="AR610" s="39" t="s">
        <v>400</v>
      </c>
      <c r="AS610" s="39"/>
      <c r="AT610" s="39">
        <v>200</v>
      </c>
      <c r="AZ610" t="s">
        <v>108</v>
      </c>
      <c r="BC610" t="s">
        <v>336</v>
      </c>
    </row>
    <row r="611" spans="1:55" x14ac:dyDescent="0.25">
      <c r="A611" t="str">
        <f t="shared" si="9"/>
        <v>A69-9002-4717</v>
      </c>
      <c r="B611" t="s">
        <v>398</v>
      </c>
      <c r="C611" t="s">
        <v>324</v>
      </c>
      <c r="D611" t="s">
        <v>325</v>
      </c>
      <c r="F611">
        <v>4717</v>
      </c>
      <c r="G611" t="s">
        <v>326</v>
      </c>
      <c r="H611" t="s">
        <v>327</v>
      </c>
      <c r="I611" s="20">
        <v>40694</v>
      </c>
      <c r="J611">
        <v>80</v>
      </c>
      <c r="L611" t="s">
        <v>109</v>
      </c>
      <c r="M611" t="s">
        <v>328</v>
      </c>
      <c r="N611" t="s">
        <v>329</v>
      </c>
      <c r="O611" t="s">
        <v>330</v>
      </c>
      <c r="P611" t="s">
        <v>331</v>
      </c>
      <c r="U611">
        <v>0.49</v>
      </c>
      <c r="V611">
        <v>0.24399999999999999</v>
      </c>
      <c r="W611" t="s">
        <v>399</v>
      </c>
      <c r="Y611" t="s">
        <v>332</v>
      </c>
      <c r="AB611" t="s">
        <v>349</v>
      </c>
      <c r="AC611" t="s">
        <v>342</v>
      </c>
      <c r="AD611" s="34">
        <v>46.306741670000001</v>
      </c>
      <c r="AE611" s="34">
        <v>-84.060811670000007</v>
      </c>
      <c r="AF611" s="18">
        <v>40696.938888888886</v>
      </c>
      <c r="AG611" s="19">
        <v>40696.772222222222</v>
      </c>
      <c r="AH611" t="s">
        <v>161</v>
      </c>
      <c r="AL611" t="s">
        <v>335</v>
      </c>
      <c r="AM611" s="20">
        <v>40694</v>
      </c>
      <c r="AR611" s="39" t="s">
        <v>400</v>
      </c>
      <c r="AS611" s="39"/>
      <c r="AT611" s="39">
        <v>200</v>
      </c>
      <c r="AZ611" t="s">
        <v>108</v>
      </c>
      <c r="BC611" t="s">
        <v>336</v>
      </c>
    </row>
    <row r="612" spans="1:55" x14ac:dyDescent="0.25">
      <c r="A612" t="str">
        <f t="shared" si="9"/>
        <v>A69-9002-4718</v>
      </c>
      <c r="B612" t="s">
        <v>398</v>
      </c>
      <c r="C612" t="s">
        <v>324</v>
      </c>
      <c r="D612" t="s">
        <v>325</v>
      </c>
      <c r="F612">
        <v>4718</v>
      </c>
      <c r="G612" t="s">
        <v>326</v>
      </c>
      <c r="H612" t="s">
        <v>327</v>
      </c>
      <c r="I612" s="20">
        <v>40694</v>
      </c>
      <c r="J612">
        <v>80</v>
      </c>
      <c r="L612" t="s">
        <v>109</v>
      </c>
      <c r="M612" t="s">
        <v>328</v>
      </c>
      <c r="N612" t="s">
        <v>329</v>
      </c>
      <c r="O612" t="s">
        <v>330</v>
      </c>
      <c r="P612" t="s">
        <v>331</v>
      </c>
      <c r="U612">
        <v>0.54</v>
      </c>
      <c r="V612">
        <v>0.26800000000000002</v>
      </c>
      <c r="W612" t="s">
        <v>399</v>
      </c>
      <c r="Y612" t="s">
        <v>332</v>
      </c>
      <c r="AB612" t="s">
        <v>349</v>
      </c>
      <c r="AC612" t="s">
        <v>342</v>
      </c>
      <c r="AD612" s="34">
        <v>46.306741670000001</v>
      </c>
      <c r="AE612" s="34">
        <v>-84.060811670000007</v>
      </c>
      <c r="AF612" s="18">
        <v>40696.938888888886</v>
      </c>
      <c r="AG612" s="19">
        <v>40696.772222222222</v>
      </c>
      <c r="AH612" t="s">
        <v>161</v>
      </c>
      <c r="AL612" t="s">
        <v>335</v>
      </c>
      <c r="AM612" s="20">
        <v>40694</v>
      </c>
      <c r="AR612" s="39" t="s">
        <v>400</v>
      </c>
      <c r="AS612" s="39"/>
      <c r="AT612" s="39">
        <v>200</v>
      </c>
      <c r="AZ612" t="s">
        <v>108</v>
      </c>
      <c r="BC612" t="s">
        <v>336</v>
      </c>
    </row>
    <row r="613" spans="1:55" x14ac:dyDescent="0.25">
      <c r="A613" t="str">
        <f t="shared" si="9"/>
        <v>A69-9002-4719</v>
      </c>
      <c r="B613" t="s">
        <v>398</v>
      </c>
      <c r="C613" t="s">
        <v>324</v>
      </c>
      <c r="D613" t="s">
        <v>325</v>
      </c>
      <c r="F613">
        <v>4719</v>
      </c>
      <c r="G613" t="s">
        <v>326</v>
      </c>
      <c r="H613" t="s">
        <v>327</v>
      </c>
      <c r="I613" s="20">
        <v>40694</v>
      </c>
      <c r="J613">
        <v>80</v>
      </c>
      <c r="L613" t="s">
        <v>109</v>
      </c>
      <c r="M613" t="s">
        <v>328</v>
      </c>
      <c r="N613" t="s">
        <v>329</v>
      </c>
      <c r="O613" t="s">
        <v>330</v>
      </c>
      <c r="P613" t="s">
        <v>331</v>
      </c>
      <c r="U613">
        <v>0.49</v>
      </c>
      <c r="V613">
        <v>0.219</v>
      </c>
      <c r="W613" t="s">
        <v>399</v>
      </c>
      <c r="Y613" t="s">
        <v>332</v>
      </c>
      <c r="AB613" t="s">
        <v>349</v>
      </c>
      <c r="AC613" t="s">
        <v>342</v>
      </c>
      <c r="AD613" s="34">
        <v>46.306741670000001</v>
      </c>
      <c r="AE613" s="34">
        <v>-84.060811670000007</v>
      </c>
      <c r="AF613" s="18">
        <v>40696.938888888886</v>
      </c>
      <c r="AG613" s="19">
        <v>40696.772222222222</v>
      </c>
      <c r="AH613" t="s">
        <v>161</v>
      </c>
      <c r="AL613" t="s">
        <v>335</v>
      </c>
      <c r="AM613" s="20">
        <v>40694</v>
      </c>
      <c r="AR613" s="39" t="s">
        <v>400</v>
      </c>
      <c r="AS613" s="39"/>
      <c r="AT613" s="39">
        <v>200</v>
      </c>
      <c r="AZ613" t="s">
        <v>108</v>
      </c>
      <c r="BC613" t="s">
        <v>336</v>
      </c>
    </row>
    <row r="614" spans="1:55" x14ac:dyDescent="0.25">
      <c r="A614" t="str">
        <f t="shared" si="9"/>
        <v>A69-9002-4720</v>
      </c>
      <c r="B614" t="s">
        <v>398</v>
      </c>
      <c r="C614" t="s">
        <v>324</v>
      </c>
      <c r="D614" t="s">
        <v>325</v>
      </c>
      <c r="F614">
        <v>4720</v>
      </c>
      <c r="G614" t="s">
        <v>326</v>
      </c>
      <c r="H614" t="s">
        <v>327</v>
      </c>
      <c r="I614" s="20">
        <v>40694</v>
      </c>
      <c r="J614">
        <v>80</v>
      </c>
      <c r="L614" t="s">
        <v>109</v>
      </c>
      <c r="M614" t="s">
        <v>328</v>
      </c>
      <c r="N614" t="s">
        <v>329</v>
      </c>
      <c r="O614" t="s">
        <v>330</v>
      </c>
      <c r="P614" t="s">
        <v>331</v>
      </c>
      <c r="U614">
        <v>0.53</v>
      </c>
      <c r="V614">
        <v>0.28499999999999998</v>
      </c>
      <c r="W614" t="s">
        <v>399</v>
      </c>
      <c r="Y614" t="s">
        <v>332</v>
      </c>
      <c r="AB614" t="s">
        <v>349</v>
      </c>
      <c r="AC614" t="s">
        <v>342</v>
      </c>
      <c r="AD614" s="34">
        <v>46.306741670000001</v>
      </c>
      <c r="AE614" s="34">
        <v>-84.060811670000007</v>
      </c>
      <c r="AF614" s="18">
        <v>40696.938888888886</v>
      </c>
      <c r="AG614" s="19">
        <v>40696.772222222222</v>
      </c>
      <c r="AH614" t="s">
        <v>161</v>
      </c>
      <c r="AL614" t="s">
        <v>335</v>
      </c>
      <c r="AM614" s="20">
        <v>40694</v>
      </c>
      <c r="AR614" s="39" t="s">
        <v>400</v>
      </c>
      <c r="AS614" s="39"/>
      <c r="AT614" s="39">
        <v>200</v>
      </c>
      <c r="AZ614" t="s">
        <v>108</v>
      </c>
      <c r="BC614" t="s">
        <v>336</v>
      </c>
    </row>
    <row r="615" spans="1:55" x14ac:dyDescent="0.25">
      <c r="A615" t="str">
        <f t="shared" si="9"/>
        <v>A69-9002-4721</v>
      </c>
      <c r="B615" t="s">
        <v>398</v>
      </c>
      <c r="C615" t="s">
        <v>324</v>
      </c>
      <c r="D615" t="s">
        <v>325</v>
      </c>
      <c r="F615">
        <v>4721</v>
      </c>
      <c r="G615" t="s">
        <v>326</v>
      </c>
      <c r="H615" t="s">
        <v>327</v>
      </c>
      <c r="I615" s="20">
        <v>40694</v>
      </c>
      <c r="J615">
        <v>80</v>
      </c>
      <c r="L615" t="s">
        <v>109</v>
      </c>
      <c r="M615" t="s">
        <v>328</v>
      </c>
      <c r="N615" t="s">
        <v>329</v>
      </c>
      <c r="O615" t="s">
        <v>330</v>
      </c>
      <c r="P615" t="s">
        <v>331</v>
      </c>
      <c r="U615">
        <v>0.53</v>
      </c>
      <c r="V615">
        <v>0.27800000000000002</v>
      </c>
      <c r="W615" t="s">
        <v>399</v>
      </c>
      <c r="Y615" t="s">
        <v>337</v>
      </c>
      <c r="AB615" t="s">
        <v>349</v>
      </c>
      <c r="AC615" t="s">
        <v>342</v>
      </c>
      <c r="AD615" s="34">
        <v>46.306741670000001</v>
      </c>
      <c r="AE615" s="34">
        <v>-84.060811670000007</v>
      </c>
      <c r="AF615" s="18">
        <v>40696.938888888886</v>
      </c>
      <c r="AG615" s="19">
        <v>40696.772222222222</v>
      </c>
      <c r="AH615" t="s">
        <v>161</v>
      </c>
      <c r="AL615" t="s">
        <v>335</v>
      </c>
      <c r="AM615" s="20">
        <v>40694</v>
      </c>
      <c r="AR615" s="39" t="s">
        <v>400</v>
      </c>
      <c r="AS615" s="39"/>
      <c r="AT615" s="39">
        <v>200</v>
      </c>
      <c r="AZ615" t="s">
        <v>108</v>
      </c>
      <c r="BC615" t="s">
        <v>336</v>
      </c>
    </row>
    <row r="616" spans="1:55" x14ac:dyDescent="0.25">
      <c r="A616" t="str">
        <f t="shared" si="9"/>
        <v>A69-9002-4722</v>
      </c>
      <c r="B616" t="s">
        <v>398</v>
      </c>
      <c r="C616" t="s">
        <v>324</v>
      </c>
      <c r="D616" t="s">
        <v>325</v>
      </c>
      <c r="F616">
        <v>4722</v>
      </c>
      <c r="G616" t="s">
        <v>326</v>
      </c>
      <c r="H616" t="s">
        <v>327</v>
      </c>
      <c r="I616" s="20">
        <v>40694</v>
      </c>
      <c r="J616">
        <v>80</v>
      </c>
      <c r="L616" t="s">
        <v>109</v>
      </c>
      <c r="M616" t="s">
        <v>328</v>
      </c>
      <c r="N616" t="s">
        <v>329</v>
      </c>
      <c r="O616" t="s">
        <v>330</v>
      </c>
      <c r="P616" t="s">
        <v>331</v>
      </c>
      <c r="U616">
        <v>0.55000000000000004</v>
      </c>
      <c r="V616">
        <v>0.318</v>
      </c>
      <c r="W616" t="s">
        <v>399</v>
      </c>
      <c r="Y616" t="s">
        <v>337</v>
      </c>
      <c r="AB616" t="s">
        <v>349</v>
      </c>
      <c r="AC616" t="s">
        <v>342</v>
      </c>
      <c r="AD616" s="34">
        <v>46.306741670000001</v>
      </c>
      <c r="AE616" s="34">
        <v>-84.060811670000007</v>
      </c>
      <c r="AF616" s="18">
        <v>40696.938888888886</v>
      </c>
      <c r="AG616" s="19">
        <v>40696.772222222222</v>
      </c>
      <c r="AH616" t="s">
        <v>161</v>
      </c>
      <c r="AL616" t="s">
        <v>335</v>
      </c>
      <c r="AM616" s="20">
        <v>40694</v>
      </c>
      <c r="AR616" s="39" t="s">
        <v>400</v>
      </c>
      <c r="AS616" s="39"/>
      <c r="AT616" s="39">
        <v>200</v>
      </c>
      <c r="AZ616" t="s">
        <v>108</v>
      </c>
      <c r="BC616" t="s">
        <v>336</v>
      </c>
    </row>
    <row r="617" spans="1:55" x14ac:dyDescent="0.25">
      <c r="A617" t="str">
        <f t="shared" si="9"/>
        <v>A69-9002-4723</v>
      </c>
      <c r="B617" t="s">
        <v>398</v>
      </c>
      <c r="C617" t="s">
        <v>324</v>
      </c>
      <c r="D617" t="s">
        <v>325</v>
      </c>
      <c r="F617">
        <v>4723</v>
      </c>
      <c r="G617" t="s">
        <v>326</v>
      </c>
      <c r="H617" t="s">
        <v>327</v>
      </c>
      <c r="I617" s="20">
        <v>40694</v>
      </c>
      <c r="J617">
        <v>80</v>
      </c>
      <c r="L617" t="s">
        <v>109</v>
      </c>
      <c r="M617" t="s">
        <v>328</v>
      </c>
      <c r="N617" t="s">
        <v>329</v>
      </c>
      <c r="O617" t="s">
        <v>330</v>
      </c>
      <c r="P617" t="s">
        <v>331</v>
      </c>
      <c r="U617">
        <v>0.48</v>
      </c>
      <c r="V617">
        <v>0.26</v>
      </c>
      <c r="W617" t="s">
        <v>399</v>
      </c>
      <c r="Y617" t="s">
        <v>332</v>
      </c>
      <c r="AB617" t="s">
        <v>349</v>
      </c>
      <c r="AC617" t="s">
        <v>342</v>
      </c>
      <c r="AD617" s="34">
        <v>46.306741670000001</v>
      </c>
      <c r="AE617" s="34">
        <v>-84.060811670000007</v>
      </c>
      <c r="AF617" s="18">
        <v>40696.938888888886</v>
      </c>
      <c r="AG617" s="19">
        <v>40696.772222222222</v>
      </c>
      <c r="AH617" t="s">
        <v>161</v>
      </c>
      <c r="AL617" t="s">
        <v>335</v>
      </c>
      <c r="AM617" s="20">
        <v>40694</v>
      </c>
      <c r="AR617" s="39" t="s">
        <v>400</v>
      </c>
      <c r="AS617" s="39"/>
      <c r="AT617" s="39">
        <v>200</v>
      </c>
      <c r="AZ617" t="s">
        <v>108</v>
      </c>
      <c r="BC617" t="s">
        <v>336</v>
      </c>
    </row>
    <row r="618" spans="1:55" x14ac:dyDescent="0.25">
      <c r="A618" t="str">
        <f t="shared" si="9"/>
        <v>A69-9002-4724</v>
      </c>
      <c r="B618" t="s">
        <v>398</v>
      </c>
      <c r="C618" t="s">
        <v>324</v>
      </c>
      <c r="D618" t="s">
        <v>325</v>
      </c>
      <c r="F618">
        <v>4724</v>
      </c>
      <c r="G618" t="s">
        <v>326</v>
      </c>
      <c r="H618" t="s">
        <v>327</v>
      </c>
      <c r="I618" s="20">
        <v>40694</v>
      </c>
      <c r="J618">
        <v>80</v>
      </c>
      <c r="L618" t="s">
        <v>109</v>
      </c>
      <c r="M618" t="s">
        <v>328</v>
      </c>
      <c r="N618" t="s">
        <v>329</v>
      </c>
      <c r="O618" t="s">
        <v>330</v>
      </c>
      <c r="P618" t="s">
        <v>331</v>
      </c>
      <c r="U618">
        <v>0.49</v>
      </c>
      <c r="V618">
        <v>0.25600000000000001</v>
      </c>
      <c r="W618" t="s">
        <v>399</v>
      </c>
      <c r="Y618" t="s">
        <v>332</v>
      </c>
      <c r="AB618" t="s">
        <v>349</v>
      </c>
      <c r="AC618" t="s">
        <v>342</v>
      </c>
      <c r="AD618" s="34">
        <v>46.306741670000001</v>
      </c>
      <c r="AE618" s="34">
        <v>-84.060811670000007</v>
      </c>
      <c r="AF618" s="18">
        <v>40696.938888888886</v>
      </c>
      <c r="AG618" s="19">
        <v>40696.772222222222</v>
      </c>
      <c r="AH618" t="s">
        <v>161</v>
      </c>
      <c r="AL618" t="s">
        <v>335</v>
      </c>
      <c r="AM618" s="20">
        <v>40694</v>
      </c>
      <c r="AR618" s="39" t="s">
        <v>400</v>
      </c>
      <c r="AS618" s="39"/>
      <c r="AT618" s="39">
        <v>200</v>
      </c>
      <c r="AZ618" t="s">
        <v>108</v>
      </c>
      <c r="BC618" t="s">
        <v>336</v>
      </c>
    </row>
    <row r="619" spans="1:55" x14ac:dyDescent="0.25">
      <c r="A619" t="str">
        <f t="shared" si="9"/>
        <v>A69-9002-4725</v>
      </c>
      <c r="B619" t="s">
        <v>398</v>
      </c>
      <c r="C619" t="s">
        <v>324</v>
      </c>
      <c r="D619" t="s">
        <v>325</v>
      </c>
      <c r="F619">
        <v>4725</v>
      </c>
      <c r="G619" t="s">
        <v>326</v>
      </c>
      <c r="H619" t="s">
        <v>327</v>
      </c>
      <c r="I619" s="20">
        <v>40694</v>
      </c>
      <c r="J619">
        <v>80</v>
      </c>
      <c r="L619" t="s">
        <v>109</v>
      </c>
      <c r="M619" t="s">
        <v>328</v>
      </c>
      <c r="N619" t="s">
        <v>329</v>
      </c>
      <c r="O619" t="s">
        <v>330</v>
      </c>
      <c r="P619" t="s">
        <v>331</v>
      </c>
      <c r="U619">
        <v>0.49</v>
      </c>
      <c r="V619">
        <v>0.215</v>
      </c>
      <c r="W619" t="s">
        <v>399</v>
      </c>
      <c r="Y619" t="s">
        <v>337</v>
      </c>
      <c r="AB619" t="s">
        <v>349</v>
      </c>
      <c r="AC619" t="s">
        <v>342</v>
      </c>
      <c r="AD619" s="34">
        <v>46.306741670000001</v>
      </c>
      <c r="AE619" s="34">
        <v>-84.060811670000007</v>
      </c>
      <c r="AF619" s="18">
        <v>40696.938888888886</v>
      </c>
      <c r="AG619" s="19">
        <v>40696.772222222222</v>
      </c>
      <c r="AH619" t="s">
        <v>161</v>
      </c>
      <c r="AL619" t="s">
        <v>335</v>
      </c>
      <c r="AM619" s="20">
        <v>40694</v>
      </c>
      <c r="AR619" s="39" t="s">
        <v>400</v>
      </c>
      <c r="AS619" s="39"/>
      <c r="AT619" s="39">
        <v>200</v>
      </c>
      <c r="AZ619" t="s">
        <v>108</v>
      </c>
      <c r="BC619" t="s">
        <v>336</v>
      </c>
    </row>
    <row r="620" spans="1:55" x14ac:dyDescent="0.25">
      <c r="A620" t="str">
        <f t="shared" si="9"/>
        <v>A69-9002-4726</v>
      </c>
      <c r="B620" t="s">
        <v>398</v>
      </c>
      <c r="C620" t="s">
        <v>324</v>
      </c>
      <c r="D620" t="s">
        <v>325</v>
      </c>
      <c r="F620">
        <v>4726</v>
      </c>
      <c r="G620" t="s">
        <v>326</v>
      </c>
      <c r="H620" t="s">
        <v>327</v>
      </c>
      <c r="I620" s="20">
        <v>40694</v>
      </c>
      <c r="J620">
        <v>80</v>
      </c>
      <c r="L620" t="s">
        <v>109</v>
      </c>
      <c r="M620" t="s">
        <v>328</v>
      </c>
      <c r="N620" t="s">
        <v>329</v>
      </c>
      <c r="O620" t="s">
        <v>330</v>
      </c>
      <c r="P620" t="s">
        <v>331</v>
      </c>
      <c r="U620">
        <v>0.47</v>
      </c>
      <c r="V620">
        <v>0.24</v>
      </c>
      <c r="W620" t="s">
        <v>399</v>
      </c>
      <c r="Y620" t="s">
        <v>332</v>
      </c>
      <c r="AB620" t="s">
        <v>349</v>
      </c>
      <c r="AC620" t="s">
        <v>342</v>
      </c>
      <c r="AD620" s="34">
        <v>46.306741670000001</v>
      </c>
      <c r="AE620" s="34">
        <v>-84.060811670000007</v>
      </c>
      <c r="AF620" s="18">
        <v>40696.938888888886</v>
      </c>
      <c r="AG620" s="19">
        <v>40696.772222222222</v>
      </c>
      <c r="AH620" t="s">
        <v>161</v>
      </c>
      <c r="AL620" t="s">
        <v>335</v>
      </c>
      <c r="AM620" s="20">
        <v>40694</v>
      </c>
      <c r="AR620" s="39" t="s">
        <v>400</v>
      </c>
      <c r="AS620" s="39"/>
      <c r="AT620" s="39">
        <v>200</v>
      </c>
      <c r="AZ620" t="s">
        <v>108</v>
      </c>
      <c r="BC620" t="s">
        <v>336</v>
      </c>
    </row>
    <row r="621" spans="1:55" x14ac:dyDescent="0.25">
      <c r="A621" t="str">
        <f t="shared" si="9"/>
        <v>A69-9002-4727</v>
      </c>
      <c r="B621" t="s">
        <v>398</v>
      </c>
      <c r="C621" t="s">
        <v>324</v>
      </c>
      <c r="D621" t="s">
        <v>325</v>
      </c>
      <c r="F621">
        <v>4727</v>
      </c>
      <c r="G621" t="s">
        <v>326</v>
      </c>
      <c r="H621" t="s">
        <v>327</v>
      </c>
      <c r="I621" s="20">
        <v>40694</v>
      </c>
      <c r="J621">
        <v>80</v>
      </c>
      <c r="L621" t="s">
        <v>109</v>
      </c>
      <c r="M621" t="s">
        <v>328</v>
      </c>
      <c r="N621" t="s">
        <v>329</v>
      </c>
      <c r="O621" t="s">
        <v>330</v>
      </c>
      <c r="P621" t="s">
        <v>331</v>
      </c>
      <c r="U621">
        <v>0.42</v>
      </c>
      <c r="V621">
        <v>0.183</v>
      </c>
      <c r="W621" t="s">
        <v>399</v>
      </c>
      <c r="Y621" t="s">
        <v>337</v>
      </c>
      <c r="AB621" t="s">
        <v>349</v>
      </c>
      <c r="AC621" t="s">
        <v>342</v>
      </c>
      <c r="AD621" s="34">
        <v>46.306741670000001</v>
      </c>
      <c r="AE621" s="34">
        <v>-84.060811670000007</v>
      </c>
      <c r="AF621" s="18">
        <v>40696.938888888886</v>
      </c>
      <c r="AG621" s="19">
        <v>40696.772222222222</v>
      </c>
      <c r="AH621" t="s">
        <v>161</v>
      </c>
      <c r="AL621" t="s">
        <v>335</v>
      </c>
      <c r="AM621" s="20">
        <v>40694</v>
      </c>
      <c r="AR621" s="39" t="s">
        <v>400</v>
      </c>
      <c r="AS621" s="39"/>
      <c r="AT621" s="39">
        <v>200</v>
      </c>
      <c r="AZ621" t="s">
        <v>108</v>
      </c>
      <c r="BC621" t="s">
        <v>336</v>
      </c>
    </row>
    <row r="622" spans="1:55" x14ac:dyDescent="0.25">
      <c r="A622" t="str">
        <f t="shared" si="9"/>
        <v>A69-9002-4728</v>
      </c>
      <c r="B622" t="s">
        <v>398</v>
      </c>
      <c r="C622" t="s">
        <v>324</v>
      </c>
      <c r="D622" t="s">
        <v>325</v>
      </c>
      <c r="F622">
        <v>4728</v>
      </c>
      <c r="G622" t="s">
        <v>326</v>
      </c>
      <c r="H622" t="s">
        <v>327</v>
      </c>
      <c r="I622" s="20">
        <v>40694</v>
      </c>
      <c r="J622">
        <v>80</v>
      </c>
      <c r="L622" t="s">
        <v>109</v>
      </c>
      <c r="M622" t="s">
        <v>328</v>
      </c>
      <c r="N622" t="s">
        <v>329</v>
      </c>
      <c r="O622" t="s">
        <v>330</v>
      </c>
      <c r="P622" t="s">
        <v>331</v>
      </c>
      <c r="U622">
        <v>0.52</v>
      </c>
      <c r="V622">
        <v>0.26200000000000001</v>
      </c>
      <c r="W622" t="s">
        <v>399</v>
      </c>
      <c r="Y622" t="s">
        <v>332</v>
      </c>
      <c r="AB622" t="s">
        <v>349</v>
      </c>
      <c r="AC622" t="s">
        <v>342</v>
      </c>
      <c r="AD622" s="34">
        <v>46.306741670000001</v>
      </c>
      <c r="AE622" s="34">
        <v>-84.060811670000007</v>
      </c>
      <c r="AF622" s="18">
        <v>40696.938888888886</v>
      </c>
      <c r="AG622" s="19">
        <v>40696.772222222222</v>
      </c>
      <c r="AH622" t="s">
        <v>161</v>
      </c>
      <c r="AL622" t="s">
        <v>335</v>
      </c>
      <c r="AM622" s="20">
        <v>40694</v>
      </c>
      <c r="AR622" s="39" t="s">
        <v>400</v>
      </c>
      <c r="AS622" s="39"/>
      <c r="AT622" s="39">
        <v>200</v>
      </c>
      <c r="AZ622" t="s">
        <v>108</v>
      </c>
      <c r="BC622" t="s">
        <v>336</v>
      </c>
    </row>
    <row r="623" spans="1:55" x14ac:dyDescent="0.25">
      <c r="A623" t="str">
        <f t="shared" si="9"/>
        <v>A69-9002-4729</v>
      </c>
      <c r="B623" t="s">
        <v>398</v>
      </c>
      <c r="C623" t="s">
        <v>324</v>
      </c>
      <c r="D623" t="s">
        <v>325</v>
      </c>
      <c r="F623">
        <v>4729</v>
      </c>
      <c r="G623" t="s">
        <v>326</v>
      </c>
      <c r="H623" t="s">
        <v>327</v>
      </c>
      <c r="I623" s="20">
        <v>40694</v>
      </c>
      <c r="J623">
        <v>80</v>
      </c>
      <c r="L623" t="s">
        <v>109</v>
      </c>
      <c r="M623" t="s">
        <v>328</v>
      </c>
      <c r="N623" t="s">
        <v>329</v>
      </c>
      <c r="O623" t="s">
        <v>330</v>
      </c>
      <c r="P623" t="s">
        <v>331</v>
      </c>
      <c r="U623">
        <v>0.48</v>
      </c>
      <c r="V623">
        <v>0.17499999999999999</v>
      </c>
      <c r="W623" t="s">
        <v>399</v>
      </c>
      <c r="Y623" t="s">
        <v>332</v>
      </c>
      <c r="AB623" t="s">
        <v>349</v>
      </c>
      <c r="AC623" t="s">
        <v>342</v>
      </c>
      <c r="AD623" s="34">
        <v>46.306741670000001</v>
      </c>
      <c r="AE623" s="34">
        <v>-84.060811670000007</v>
      </c>
      <c r="AF623" s="18">
        <v>40696.938888888886</v>
      </c>
      <c r="AG623" s="19">
        <v>40696.772222222222</v>
      </c>
      <c r="AH623" t="s">
        <v>161</v>
      </c>
      <c r="AL623" t="s">
        <v>335</v>
      </c>
      <c r="AM623" s="20">
        <v>40694</v>
      </c>
      <c r="AR623" s="39" t="s">
        <v>400</v>
      </c>
      <c r="AS623" s="39"/>
      <c r="AT623" s="39">
        <v>200</v>
      </c>
      <c r="AZ623" t="s">
        <v>108</v>
      </c>
      <c r="BC623" t="s">
        <v>336</v>
      </c>
    </row>
    <row r="624" spans="1:55" x14ac:dyDescent="0.25">
      <c r="A624" t="str">
        <f t="shared" si="9"/>
        <v>A69-9002-4730</v>
      </c>
      <c r="B624" t="s">
        <v>398</v>
      </c>
      <c r="C624" t="s">
        <v>324</v>
      </c>
      <c r="D624" t="s">
        <v>325</v>
      </c>
      <c r="F624">
        <v>4730</v>
      </c>
      <c r="G624" t="s">
        <v>326</v>
      </c>
      <c r="H624" t="s">
        <v>327</v>
      </c>
      <c r="I624" s="20">
        <v>40694</v>
      </c>
      <c r="J624">
        <v>80</v>
      </c>
      <c r="L624" t="s">
        <v>109</v>
      </c>
      <c r="M624" t="s">
        <v>328</v>
      </c>
      <c r="N624" t="s">
        <v>329</v>
      </c>
      <c r="O624" t="s">
        <v>330</v>
      </c>
      <c r="P624" t="s">
        <v>331</v>
      </c>
      <c r="U624">
        <v>0.53</v>
      </c>
      <c r="V624">
        <v>0.312</v>
      </c>
      <c r="W624" t="s">
        <v>399</v>
      </c>
      <c r="Y624" t="s">
        <v>332</v>
      </c>
      <c r="AB624" t="s">
        <v>349</v>
      </c>
      <c r="AC624" t="s">
        <v>342</v>
      </c>
      <c r="AD624" s="34">
        <v>46.306741670000001</v>
      </c>
      <c r="AE624" s="34">
        <v>-84.060811670000007</v>
      </c>
      <c r="AF624" s="18">
        <v>40696.938888888886</v>
      </c>
      <c r="AG624" s="19">
        <v>40696.772222222222</v>
      </c>
      <c r="AH624" t="s">
        <v>161</v>
      </c>
      <c r="AL624" t="s">
        <v>335</v>
      </c>
      <c r="AM624" s="20">
        <v>40694</v>
      </c>
      <c r="AR624" s="39" t="s">
        <v>400</v>
      </c>
      <c r="AS624" s="39"/>
      <c r="AT624" s="39">
        <v>200</v>
      </c>
      <c r="AZ624" t="s">
        <v>108</v>
      </c>
      <c r="BC624" t="s">
        <v>336</v>
      </c>
    </row>
    <row r="625" spans="1:71" x14ac:dyDescent="0.25">
      <c r="A625" t="str">
        <f t="shared" si="9"/>
        <v>A69-9002-4731</v>
      </c>
      <c r="B625" t="s">
        <v>398</v>
      </c>
      <c r="C625" t="s">
        <v>324</v>
      </c>
      <c r="D625" t="s">
        <v>325</v>
      </c>
      <c r="F625">
        <v>4731</v>
      </c>
      <c r="G625" t="s">
        <v>326</v>
      </c>
      <c r="H625" t="s">
        <v>327</v>
      </c>
      <c r="I625" s="20">
        <v>40694</v>
      </c>
      <c r="J625">
        <v>80</v>
      </c>
      <c r="L625" t="s">
        <v>109</v>
      </c>
      <c r="M625" t="s">
        <v>328</v>
      </c>
      <c r="N625" t="s">
        <v>329</v>
      </c>
      <c r="O625" t="s">
        <v>330</v>
      </c>
      <c r="P625" t="s">
        <v>331</v>
      </c>
      <c r="U625">
        <v>0.51</v>
      </c>
      <c r="V625">
        <v>0.26900000000000002</v>
      </c>
      <c r="W625" t="s">
        <v>399</v>
      </c>
      <c r="Y625" t="s">
        <v>332</v>
      </c>
      <c r="AB625" t="s">
        <v>349</v>
      </c>
      <c r="AC625" t="s">
        <v>342</v>
      </c>
      <c r="AD625" s="34">
        <v>46.306741670000001</v>
      </c>
      <c r="AE625" s="34">
        <v>-84.060811670000007</v>
      </c>
      <c r="AF625" s="18">
        <v>40696.938888888886</v>
      </c>
      <c r="AG625" s="19">
        <v>40696.772222222222</v>
      </c>
      <c r="AH625" t="s">
        <v>161</v>
      </c>
      <c r="AL625" t="s">
        <v>335</v>
      </c>
      <c r="AM625" s="20">
        <v>40694</v>
      </c>
      <c r="AR625" s="39" t="s">
        <v>400</v>
      </c>
      <c r="AS625" s="39"/>
      <c r="AT625" s="39">
        <v>200</v>
      </c>
      <c r="AZ625" t="s">
        <v>108</v>
      </c>
      <c r="BC625" t="s">
        <v>336</v>
      </c>
    </row>
    <row r="626" spans="1:71" x14ac:dyDescent="0.25">
      <c r="A626" t="str">
        <f t="shared" si="9"/>
        <v>A69-9002-4732</v>
      </c>
      <c r="B626" t="s">
        <v>398</v>
      </c>
      <c r="C626" t="s">
        <v>324</v>
      </c>
      <c r="D626" t="s">
        <v>325</v>
      </c>
      <c r="F626">
        <v>4732</v>
      </c>
      <c r="G626" t="s">
        <v>326</v>
      </c>
      <c r="H626" t="s">
        <v>327</v>
      </c>
      <c r="I626" s="20">
        <v>40694</v>
      </c>
      <c r="J626">
        <v>80</v>
      </c>
      <c r="L626" t="s">
        <v>109</v>
      </c>
      <c r="M626" t="s">
        <v>328</v>
      </c>
      <c r="N626" t="s">
        <v>329</v>
      </c>
      <c r="O626" t="s">
        <v>330</v>
      </c>
      <c r="P626" t="s">
        <v>331</v>
      </c>
      <c r="U626">
        <v>0.5</v>
      </c>
      <c r="V626">
        <v>0.24099999999999999</v>
      </c>
      <c r="W626" t="s">
        <v>399</v>
      </c>
      <c r="Y626" t="s">
        <v>332</v>
      </c>
      <c r="AB626" t="s">
        <v>349</v>
      </c>
      <c r="AC626" t="s">
        <v>342</v>
      </c>
      <c r="AD626" s="34">
        <v>46.306741670000001</v>
      </c>
      <c r="AE626" s="34">
        <v>-84.060811670000007</v>
      </c>
      <c r="AF626" s="18">
        <v>40696.938888888886</v>
      </c>
      <c r="AG626" s="19">
        <v>40696.772222222222</v>
      </c>
      <c r="AH626" t="s">
        <v>161</v>
      </c>
      <c r="AL626" t="s">
        <v>335</v>
      </c>
      <c r="AM626" s="20">
        <v>40694</v>
      </c>
      <c r="AR626" s="39" t="s">
        <v>400</v>
      </c>
      <c r="AS626" s="39"/>
      <c r="AT626" s="39">
        <v>200</v>
      </c>
      <c r="AZ626" t="s">
        <v>108</v>
      </c>
      <c r="BC626" t="s">
        <v>336</v>
      </c>
    </row>
    <row r="627" spans="1:71" x14ac:dyDescent="0.25">
      <c r="A627" t="str">
        <f t="shared" si="9"/>
        <v>A69-9002-4733</v>
      </c>
      <c r="B627" t="s">
        <v>398</v>
      </c>
      <c r="C627" t="s">
        <v>324</v>
      </c>
      <c r="D627" t="s">
        <v>325</v>
      </c>
      <c r="F627">
        <v>4733</v>
      </c>
      <c r="G627" t="s">
        <v>326</v>
      </c>
      <c r="H627" t="s">
        <v>327</v>
      </c>
      <c r="I627" s="20">
        <v>40679</v>
      </c>
      <c r="J627">
        <v>80</v>
      </c>
      <c r="L627" t="s">
        <v>109</v>
      </c>
      <c r="M627" t="s">
        <v>328</v>
      </c>
      <c r="N627" t="s">
        <v>329</v>
      </c>
      <c r="O627" t="s">
        <v>330</v>
      </c>
      <c r="P627" t="s">
        <v>331</v>
      </c>
      <c r="U627">
        <v>0.49</v>
      </c>
      <c r="V627">
        <v>0.29399999999999998</v>
      </c>
      <c r="W627" t="s">
        <v>399</v>
      </c>
      <c r="Y627" t="s">
        <v>337</v>
      </c>
      <c r="AB627" t="s">
        <v>341</v>
      </c>
      <c r="AC627" t="s">
        <v>342</v>
      </c>
      <c r="AD627" s="34">
        <v>46.306796669999997</v>
      </c>
      <c r="AE627" s="34">
        <v>-84.061593329999994</v>
      </c>
      <c r="AF627" s="18">
        <v>40682.027777777781</v>
      </c>
      <c r="AG627" s="19">
        <v>40681.861111111109</v>
      </c>
      <c r="AH627" t="s">
        <v>161</v>
      </c>
      <c r="AL627" t="s">
        <v>335</v>
      </c>
      <c r="AM627" s="20">
        <v>40679</v>
      </c>
      <c r="AR627" s="39" t="s">
        <v>400</v>
      </c>
      <c r="AS627" s="39"/>
      <c r="AT627" s="39">
        <v>200</v>
      </c>
      <c r="AZ627" t="s">
        <v>108</v>
      </c>
      <c r="BC627" t="s">
        <v>336</v>
      </c>
    </row>
    <row r="628" spans="1:71" x14ac:dyDescent="0.25">
      <c r="A628" t="str">
        <f t="shared" si="9"/>
        <v>A69-9002-4734</v>
      </c>
      <c r="B628" t="s">
        <v>398</v>
      </c>
      <c r="C628" t="s">
        <v>324</v>
      </c>
      <c r="D628" t="s">
        <v>325</v>
      </c>
      <c r="F628">
        <v>4734</v>
      </c>
      <c r="G628" t="s">
        <v>326</v>
      </c>
      <c r="H628" t="s">
        <v>327</v>
      </c>
      <c r="I628" s="20">
        <v>40679</v>
      </c>
      <c r="J628">
        <v>80</v>
      </c>
      <c r="L628" t="s">
        <v>109</v>
      </c>
      <c r="M628" t="s">
        <v>328</v>
      </c>
      <c r="N628" t="s">
        <v>329</v>
      </c>
      <c r="O628" t="s">
        <v>330</v>
      </c>
      <c r="P628" t="s">
        <v>331</v>
      </c>
      <c r="U628">
        <v>0.57999999999999996</v>
      </c>
      <c r="V628">
        <v>0.38400000000000001</v>
      </c>
      <c r="W628" t="s">
        <v>399</v>
      </c>
      <c r="Y628" t="s">
        <v>337</v>
      </c>
      <c r="AB628" t="s">
        <v>341</v>
      </c>
      <c r="AC628" t="s">
        <v>342</v>
      </c>
      <c r="AD628" s="34">
        <v>46.306796669999997</v>
      </c>
      <c r="AE628" s="34">
        <v>-84.061593329999994</v>
      </c>
      <c r="AF628" s="18">
        <v>40682.027777777781</v>
      </c>
      <c r="AG628" s="19">
        <v>40681.861111111109</v>
      </c>
      <c r="AH628" t="s">
        <v>161</v>
      </c>
      <c r="AL628" t="s">
        <v>335</v>
      </c>
      <c r="AM628" s="20">
        <v>40679</v>
      </c>
      <c r="AR628" s="39" t="s">
        <v>400</v>
      </c>
      <c r="AS628" s="39"/>
      <c r="AT628" s="39">
        <v>200</v>
      </c>
      <c r="AZ628" t="s">
        <v>108</v>
      </c>
      <c r="BC628" t="s">
        <v>336</v>
      </c>
    </row>
    <row r="629" spans="1:71" x14ac:dyDescent="0.25">
      <c r="A629" t="str">
        <f t="shared" si="9"/>
        <v>A69-9002-4735</v>
      </c>
      <c r="B629" t="s">
        <v>398</v>
      </c>
      <c r="C629" t="s">
        <v>324</v>
      </c>
      <c r="D629" t="s">
        <v>325</v>
      </c>
      <c r="F629">
        <v>4735</v>
      </c>
      <c r="G629" t="s">
        <v>326</v>
      </c>
      <c r="H629" t="s">
        <v>327</v>
      </c>
      <c r="I629" s="20">
        <v>40679</v>
      </c>
      <c r="J629">
        <v>80</v>
      </c>
      <c r="L629" t="s">
        <v>109</v>
      </c>
      <c r="M629" t="s">
        <v>328</v>
      </c>
      <c r="N629" t="s">
        <v>329</v>
      </c>
      <c r="O629" t="s">
        <v>330</v>
      </c>
      <c r="P629" t="s">
        <v>331</v>
      </c>
      <c r="U629">
        <v>0.5</v>
      </c>
      <c r="V629">
        <v>0.27200000000000002</v>
      </c>
      <c r="W629" t="s">
        <v>399</v>
      </c>
      <c r="Y629" t="s">
        <v>337</v>
      </c>
      <c r="AB629" t="s">
        <v>341</v>
      </c>
      <c r="AC629" t="s">
        <v>342</v>
      </c>
      <c r="AD629" s="34">
        <v>46.306796669999997</v>
      </c>
      <c r="AE629" s="34">
        <v>-84.061593329999994</v>
      </c>
      <c r="AF629" s="18">
        <v>40682.027777777781</v>
      </c>
      <c r="AG629" s="19">
        <v>40681.861111111109</v>
      </c>
      <c r="AH629" t="s">
        <v>161</v>
      </c>
      <c r="AL629" t="s">
        <v>335</v>
      </c>
      <c r="AM629" s="20">
        <v>40679</v>
      </c>
      <c r="AR629" s="39" t="s">
        <v>400</v>
      </c>
      <c r="AS629" s="39"/>
      <c r="AT629" s="39">
        <v>200</v>
      </c>
      <c r="AZ629" t="s">
        <v>108</v>
      </c>
      <c r="BC629" t="s">
        <v>336</v>
      </c>
    </row>
    <row r="630" spans="1:71" x14ac:dyDescent="0.25">
      <c r="A630" t="str">
        <f t="shared" si="9"/>
        <v>A69-9002-4736</v>
      </c>
      <c r="B630" t="s">
        <v>398</v>
      </c>
      <c r="C630" t="s">
        <v>324</v>
      </c>
      <c r="D630" t="s">
        <v>325</v>
      </c>
      <c r="F630">
        <v>4736</v>
      </c>
      <c r="G630" t="s">
        <v>326</v>
      </c>
      <c r="H630" t="s">
        <v>327</v>
      </c>
      <c r="I630" s="20">
        <v>40679</v>
      </c>
      <c r="J630">
        <v>80</v>
      </c>
      <c r="L630" t="s">
        <v>109</v>
      </c>
      <c r="M630" t="s">
        <v>328</v>
      </c>
      <c r="N630" t="s">
        <v>329</v>
      </c>
      <c r="O630" t="s">
        <v>330</v>
      </c>
      <c r="P630" t="s">
        <v>331</v>
      </c>
      <c r="U630">
        <v>0.52</v>
      </c>
      <c r="V630">
        <v>0.30199999999999999</v>
      </c>
      <c r="W630" t="s">
        <v>399</v>
      </c>
      <c r="Y630" t="s">
        <v>332</v>
      </c>
      <c r="AB630" t="s">
        <v>341</v>
      </c>
      <c r="AC630" t="s">
        <v>342</v>
      </c>
      <c r="AD630" s="34">
        <v>46.306796669999997</v>
      </c>
      <c r="AE630" s="34">
        <v>-84.061593329999994</v>
      </c>
      <c r="AF630" s="18">
        <v>40682.027777777781</v>
      </c>
      <c r="AG630" s="19">
        <v>40681.861111111109</v>
      </c>
      <c r="AH630" t="s">
        <v>161</v>
      </c>
      <c r="AL630" t="s">
        <v>335</v>
      </c>
      <c r="AM630" s="20">
        <v>40679</v>
      </c>
      <c r="AR630" s="39" t="s">
        <v>400</v>
      </c>
      <c r="AS630" s="39"/>
      <c r="AT630" s="39">
        <v>200</v>
      </c>
      <c r="AZ630" t="s">
        <v>108</v>
      </c>
      <c r="BC630" t="s">
        <v>336</v>
      </c>
    </row>
    <row r="631" spans="1:71" x14ac:dyDescent="0.25">
      <c r="A631" t="str">
        <f t="shared" si="9"/>
        <v>A69-9002-4737</v>
      </c>
      <c r="B631" t="s">
        <v>398</v>
      </c>
      <c r="C631" t="s">
        <v>324</v>
      </c>
      <c r="D631" t="s">
        <v>325</v>
      </c>
      <c r="F631">
        <v>4737</v>
      </c>
      <c r="G631" t="s">
        <v>326</v>
      </c>
      <c r="H631" t="s">
        <v>327</v>
      </c>
      <c r="I631" s="20">
        <v>40679</v>
      </c>
      <c r="J631">
        <v>80</v>
      </c>
      <c r="L631" t="s">
        <v>109</v>
      </c>
      <c r="M631" t="s">
        <v>328</v>
      </c>
      <c r="N631" t="s">
        <v>329</v>
      </c>
      <c r="O631" t="s">
        <v>330</v>
      </c>
      <c r="P631" t="s">
        <v>331</v>
      </c>
      <c r="U631">
        <v>0.49</v>
      </c>
      <c r="V631">
        <v>0.309</v>
      </c>
      <c r="W631" t="s">
        <v>399</v>
      </c>
      <c r="Y631" t="s">
        <v>337</v>
      </c>
      <c r="AB631" t="s">
        <v>341</v>
      </c>
      <c r="AC631" t="s">
        <v>342</v>
      </c>
      <c r="AD631" s="34">
        <v>46.306796669999997</v>
      </c>
      <c r="AE631" s="34">
        <v>-84.061593329999994</v>
      </c>
      <c r="AF631" s="18">
        <v>40682.027777777781</v>
      </c>
      <c r="AG631" s="19">
        <v>40681.861111111109</v>
      </c>
      <c r="AH631" t="s">
        <v>161</v>
      </c>
      <c r="AL631" t="s">
        <v>335</v>
      </c>
      <c r="AM631" s="20">
        <v>40679</v>
      </c>
      <c r="AR631" s="39" t="s">
        <v>400</v>
      </c>
      <c r="AS631" s="39"/>
      <c r="AT631" s="39">
        <v>200</v>
      </c>
      <c r="AZ631" t="s">
        <v>108</v>
      </c>
      <c r="BC631" t="s">
        <v>336</v>
      </c>
    </row>
    <row r="632" spans="1:71" x14ac:dyDescent="0.25">
      <c r="A632" t="str">
        <f t="shared" si="9"/>
        <v>A69-9002-4738</v>
      </c>
      <c r="B632" t="s">
        <v>398</v>
      </c>
      <c r="C632" t="s">
        <v>324</v>
      </c>
      <c r="D632" t="s">
        <v>325</v>
      </c>
      <c r="F632">
        <v>4738</v>
      </c>
      <c r="G632" t="s">
        <v>326</v>
      </c>
      <c r="H632" t="s">
        <v>327</v>
      </c>
      <c r="I632" s="20">
        <v>40679</v>
      </c>
      <c r="J632">
        <v>80</v>
      </c>
      <c r="L632" t="s">
        <v>109</v>
      </c>
      <c r="M632" t="s">
        <v>328</v>
      </c>
      <c r="N632" t="s">
        <v>329</v>
      </c>
      <c r="O632" t="s">
        <v>330</v>
      </c>
      <c r="P632" t="s">
        <v>331</v>
      </c>
      <c r="U632">
        <v>0.51</v>
      </c>
      <c r="V632">
        <v>0.26400000000000001</v>
      </c>
      <c r="W632" t="s">
        <v>399</v>
      </c>
      <c r="Y632" t="s">
        <v>337</v>
      </c>
      <c r="AB632" t="s">
        <v>341</v>
      </c>
      <c r="AC632" t="s">
        <v>342</v>
      </c>
      <c r="AD632" s="34">
        <v>46.306796669999997</v>
      </c>
      <c r="AE632" s="34">
        <v>-84.061593329999994</v>
      </c>
      <c r="AF632" s="18">
        <v>40682.027777777781</v>
      </c>
      <c r="AG632" s="19">
        <v>40681.861111111109</v>
      </c>
      <c r="AH632" t="s">
        <v>161</v>
      </c>
      <c r="AL632" t="s">
        <v>335</v>
      </c>
      <c r="AM632" s="20">
        <v>40679</v>
      </c>
      <c r="AR632" s="39" t="s">
        <v>400</v>
      </c>
      <c r="AS632" s="39"/>
      <c r="AT632" s="39">
        <v>200</v>
      </c>
      <c r="AZ632" t="s">
        <v>108</v>
      </c>
      <c r="BC632" t="s">
        <v>336</v>
      </c>
    </row>
    <row r="633" spans="1:71" x14ac:dyDescent="0.25">
      <c r="A633" t="str">
        <f t="shared" si="9"/>
        <v>A69-9002-4739</v>
      </c>
      <c r="B633" t="s">
        <v>398</v>
      </c>
      <c r="C633" t="s">
        <v>324</v>
      </c>
      <c r="D633" t="s">
        <v>325</v>
      </c>
      <c r="F633">
        <v>4739</v>
      </c>
      <c r="G633" t="s">
        <v>326</v>
      </c>
      <c r="H633" t="s">
        <v>327</v>
      </c>
      <c r="I633" s="20">
        <v>40679</v>
      </c>
      <c r="J633">
        <v>80</v>
      </c>
      <c r="L633" t="s">
        <v>109</v>
      </c>
      <c r="M633" t="s">
        <v>328</v>
      </c>
      <c r="N633" t="s">
        <v>329</v>
      </c>
      <c r="O633" t="s">
        <v>330</v>
      </c>
      <c r="P633" t="s">
        <v>331</v>
      </c>
      <c r="U633">
        <v>0.54</v>
      </c>
      <c r="V633">
        <v>0.312</v>
      </c>
      <c r="W633" t="s">
        <v>399</v>
      </c>
      <c r="Y633" t="s">
        <v>337</v>
      </c>
      <c r="AB633" t="s">
        <v>341</v>
      </c>
      <c r="AC633" t="s">
        <v>342</v>
      </c>
      <c r="AD633" s="34">
        <v>46.306796669999997</v>
      </c>
      <c r="AE633" s="34">
        <v>-84.061593329999994</v>
      </c>
      <c r="AF633" s="18">
        <v>40682.027777777781</v>
      </c>
      <c r="AG633" s="19">
        <v>40681.861111111109</v>
      </c>
      <c r="AH633" t="s">
        <v>161</v>
      </c>
      <c r="AL633" t="s">
        <v>335</v>
      </c>
      <c r="AM633" s="20">
        <v>40679</v>
      </c>
      <c r="AR633" s="39" t="s">
        <v>400</v>
      </c>
      <c r="AS633" s="39"/>
      <c r="AT633" s="39">
        <v>200</v>
      </c>
      <c r="AZ633" t="s">
        <v>108</v>
      </c>
      <c r="BC633" t="s">
        <v>336</v>
      </c>
    </row>
    <row r="634" spans="1:71" x14ac:dyDescent="0.25">
      <c r="A634" t="str">
        <f t="shared" si="9"/>
        <v>A69-9002-4740</v>
      </c>
      <c r="B634" t="s">
        <v>398</v>
      </c>
      <c r="C634" t="s">
        <v>324</v>
      </c>
      <c r="D634" t="s">
        <v>325</v>
      </c>
      <c r="F634">
        <v>4740</v>
      </c>
      <c r="G634" t="s">
        <v>326</v>
      </c>
      <c r="H634" t="s">
        <v>327</v>
      </c>
      <c r="I634" s="20">
        <v>40679</v>
      </c>
      <c r="J634">
        <v>80</v>
      </c>
      <c r="L634" t="s">
        <v>109</v>
      </c>
      <c r="M634" t="s">
        <v>328</v>
      </c>
      <c r="N634" t="s">
        <v>329</v>
      </c>
      <c r="O634" t="s">
        <v>330</v>
      </c>
      <c r="P634" t="s">
        <v>331</v>
      </c>
      <c r="U634">
        <v>0.55000000000000004</v>
      </c>
      <c r="V634">
        <v>0.30199999999999999</v>
      </c>
      <c r="W634" t="s">
        <v>399</v>
      </c>
      <c r="Y634" t="s">
        <v>337</v>
      </c>
      <c r="AB634" t="s">
        <v>341</v>
      </c>
      <c r="AC634" t="s">
        <v>342</v>
      </c>
      <c r="AD634" s="34">
        <v>46.306796669999997</v>
      </c>
      <c r="AE634" s="34">
        <v>-84.061593329999994</v>
      </c>
      <c r="AF634" s="18">
        <v>40682.027777777781</v>
      </c>
      <c r="AG634" s="19">
        <v>40681.861111111109</v>
      </c>
      <c r="AH634" t="s">
        <v>161</v>
      </c>
      <c r="AL634" t="s">
        <v>335</v>
      </c>
      <c r="AM634" s="20">
        <v>40679</v>
      </c>
      <c r="AR634" s="39" t="s">
        <v>400</v>
      </c>
      <c r="AS634" s="39"/>
      <c r="AT634" s="39">
        <v>200</v>
      </c>
      <c r="AZ634" t="s">
        <v>108</v>
      </c>
      <c r="BC634" t="s">
        <v>336</v>
      </c>
    </row>
    <row r="635" spans="1:71" x14ac:dyDescent="0.25">
      <c r="A635" t="str">
        <f t="shared" si="9"/>
        <v>A69-9002-4741</v>
      </c>
      <c r="B635" t="s">
        <v>398</v>
      </c>
      <c r="C635" t="s">
        <v>324</v>
      </c>
      <c r="D635" t="s">
        <v>325</v>
      </c>
      <c r="F635">
        <v>4741</v>
      </c>
      <c r="G635" t="s">
        <v>326</v>
      </c>
      <c r="H635" t="s">
        <v>327</v>
      </c>
      <c r="I635" s="20">
        <v>40679</v>
      </c>
      <c r="J635">
        <v>80</v>
      </c>
      <c r="L635" t="s">
        <v>109</v>
      </c>
      <c r="M635" t="s">
        <v>328</v>
      </c>
      <c r="N635" t="s">
        <v>329</v>
      </c>
      <c r="O635" t="s">
        <v>330</v>
      </c>
      <c r="P635" t="s">
        <v>331</v>
      </c>
      <c r="U635">
        <v>0.53</v>
      </c>
      <c r="V635">
        <v>0.33300000000000002</v>
      </c>
      <c r="W635" t="s">
        <v>399</v>
      </c>
      <c r="Y635" t="s">
        <v>337</v>
      </c>
      <c r="AB635" t="s">
        <v>341</v>
      </c>
      <c r="AC635" t="s">
        <v>342</v>
      </c>
      <c r="AD635" s="34">
        <v>46.306796669999997</v>
      </c>
      <c r="AE635" s="34">
        <v>-84.061593329999994</v>
      </c>
      <c r="AF635" s="18">
        <v>40682.027777777781</v>
      </c>
      <c r="AG635" s="19">
        <v>40681.861111111109</v>
      </c>
      <c r="AH635" t="s">
        <v>161</v>
      </c>
      <c r="AL635" t="s">
        <v>335</v>
      </c>
      <c r="AM635" s="20">
        <v>40679</v>
      </c>
      <c r="AR635" s="39" t="s">
        <v>400</v>
      </c>
      <c r="AS635" s="39"/>
      <c r="AT635" s="39">
        <v>200</v>
      </c>
      <c r="AZ635" t="s">
        <v>108</v>
      </c>
      <c r="BC635" t="s">
        <v>336</v>
      </c>
    </row>
    <row r="636" spans="1:71" x14ac:dyDescent="0.25">
      <c r="A636" t="str">
        <f t="shared" si="9"/>
        <v>A69-9002-4742</v>
      </c>
      <c r="B636" t="s">
        <v>398</v>
      </c>
      <c r="C636" t="s">
        <v>324</v>
      </c>
      <c r="D636" t="s">
        <v>325</v>
      </c>
      <c r="F636">
        <v>4742</v>
      </c>
      <c r="G636" t="s">
        <v>326</v>
      </c>
      <c r="H636" t="s">
        <v>327</v>
      </c>
      <c r="I636" s="20">
        <v>40679</v>
      </c>
      <c r="J636">
        <v>80</v>
      </c>
      <c r="L636" t="s">
        <v>109</v>
      </c>
      <c r="M636" t="s">
        <v>328</v>
      </c>
      <c r="N636" t="s">
        <v>329</v>
      </c>
      <c r="O636" t="s">
        <v>330</v>
      </c>
      <c r="P636" t="s">
        <v>331</v>
      </c>
      <c r="U636">
        <v>0.49</v>
      </c>
      <c r="V636">
        <v>0.27200000000000002</v>
      </c>
      <c r="W636" t="s">
        <v>399</v>
      </c>
      <c r="Y636" t="s">
        <v>337</v>
      </c>
      <c r="AB636" t="s">
        <v>341</v>
      </c>
      <c r="AC636" t="s">
        <v>342</v>
      </c>
      <c r="AD636" s="34">
        <v>46.306796669999997</v>
      </c>
      <c r="AE636" s="34">
        <v>-84.061593329999994</v>
      </c>
      <c r="AF636" s="18">
        <v>40682.027777777781</v>
      </c>
      <c r="AG636" s="19">
        <v>40681.861111111109</v>
      </c>
      <c r="AH636" t="s">
        <v>161</v>
      </c>
      <c r="AL636" t="s">
        <v>335</v>
      </c>
      <c r="AM636" s="20">
        <v>40679</v>
      </c>
      <c r="AR636" s="39" t="s">
        <v>400</v>
      </c>
      <c r="AS636" s="39"/>
      <c r="AT636" s="39">
        <v>200</v>
      </c>
      <c r="AZ636" t="s">
        <v>108</v>
      </c>
      <c r="BC636" t="s">
        <v>336</v>
      </c>
    </row>
    <row r="637" spans="1:71" x14ac:dyDescent="0.25">
      <c r="A637" t="str">
        <f t="shared" si="9"/>
        <v>A69-9002-4743</v>
      </c>
      <c r="B637" t="s">
        <v>398</v>
      </c>
      <c r="C637" t="s">
        <v>324</v>
      </c>
      <c r="D637" t="s">
        <v>325</v>
      </c>
      <c r="F637">
        <v>4743</v>
      </c>
      <c r="G637" t="s">
        <v>326</v>
      </c>
      <c r="H637" t="s">
        <v>327</v>
      </c>
      <c r="I637" s="20">
        <v>40679</v>
      </c>
      <c r="J637">
        <v>80</v>
      </c>
      <c r="L637" t="s">
        <v>109</v>
      </c>
      <c r="M637" t="s">
        <v>328</v>
      </c>
      <c r="N637" t="s">
        <v>329</v>
      </c>
      <c r="O637" t="s">
        <v>330</v>
      </c>
      <c r="P637" t="s">
        <v>331</v>
      </c>
      <c r="U637">
        <v>0.52</v>
      </c>
      <c r="V637">
        <v>0.31900000000000001</v>
      </c>
      <c r="W637" t="s">
        <v>399</v>
      </c>
      <c r="Y637" t="s">
        <v>337</v>
      </c>
      <c r="AB637" t="s">
        <v>341</v>
      </c>
      <c r="AC637" t="s">
        <v>342</v>
      </c>
      <c r="AD637" s="34">
        <v>46.306796669999997</v>
      </c>
      <c r="AE637" s="34">
        <v>-84.061593329999994</v>
      </c>
      <c r="AF637" s="18">
        <v>40682.027777777781</v>
      </c>
      <c r="AG637" s="19">
        <v>40681.861111111109</v>
      </c>
      <c r="AH637" t="s">
        <v>161</v>
      </c>
      <c r="AL637" t="s">
        <v>335</v>
      </c>
      <c r="AM637" s="20">
        <v>40679</v>
      </c>
      <c r="AR637" s="39" t="s">
        <v>400</v>
      </c>
      <c r="AS637" s="39"/>
      <c r="AT637" s="39">
        <v>200</v>
      </c>
      <c r="AZ637" t="s">
        <v>108</v>
      </c>
      <c r="BC637" t="s">
        <v>336</v>
      </c>
    </row>
    <row r="638" spans="1:71" x14ac:dyDescent="0.25">
      <c r="A638" t="str">
        <f t="shared" si="9"/>
        <v>A69-9002-4744</v>
      </c>
      <c r="B638" t="s">
        <v>398</v>
      </c>
      <c r="C638" t="s">
        <v>324</v>
      </c>
      <c r="D638" t="s">
        <v>325</v>
      </c>
      <c r="F638">
        <v>4744</v>
      </c>
      <c r="G638" t="s">
        <v>326</v>
      </c>
      <c r="H638" t="s">
        <v>327</v>
      </c>
      <c r="I638" s="20">
        <v>40679</v>
      </c>
      <c r="J638">
        <v>80</v>
      </c>
      <c r="L638" t="s">
        <v>109</v>
      </c>
      <c r="M638" t="s">
        <v>328</v>
      </c>
      <c r="N638" t="s">
        <v>329</v>
      </c>
      <c r="O638" t="s">
        <v>330</v>
      </c>
      <c r="P638" t="s">
        <v>331</v>
      </c>
      <c r="U638">
        <v>0.46</v>
      </c>
      <c r="V638">
        <v>0.23799999999999999</v>
      </c>
      <c r="W638" t="s">
        <v>399</v>
      </c>
      <c r="Y638" t="s">
        <v>337</v>
      </c>
      <c r="AB638" t="s">
        <v>341</v>
      </c>
      <c r="AC638" t="s">
        <v>342</v>
      </c>
      <c r="AD638" s="34">
        <v>46.306796669999997</v>
      </c>
      <c r="AE638" s="34">
        <v>-84.061593329999994</v>
      </c>
      <c r="AF638" s="18">
        <v>40682.027777777781</v>
      </c>
      <c r="AG638" s="19">
        <v>40681.861111111109</v>
      </c>
      <c r="AH638" t="s">
        <v>161</v>
      </c>
      <c r="AL638" t="s">
        <v>335</v>
      </c>
      <c r="AM638" s="20">
        <v>40679</v>
      </c>
      <c r="AR638" s="39" t="s">
        <v>400</v>
      </c>
      <c r="AS638" s="39"/>
      <c r="AT638" s="39">
        <v>200</v>
      </c>
      <c r="AZ638" t="s">
        <v>108</v>
      </c>
      <c r="BC638" t="s">
        <v>336</v>
      </c>
    </row>
    <row r="639" spans="1:71" x14ac:dyDescent="0.25">
      <c r="A639" t="str">
        <f t="shared" si="9"/>
        <v>A69-9002-4745</v>
      </c>
      <c r="B639" t="s">
        <v>398</v>
      </c>
      <c r="C639" t="s">
        <v>324</v>
      </c>
      <c r="D639" t="s">
        <v>325</v>
      </c>
      <c r="F639">
        <v>4745</v>
      </c>
      <c r="G639" t="s">
        <v>326</v>
      </c>
      <c r="H639" t="s">
        <v>327</v>
      </c>
      <c r="I639" s="20">
        <v>40679</v>
      </c>
      <c r="J639">
        <v>80</v>
      </c>
      <c r="L639" t="s">
        <v>109</v>
      </c>
      <c r="M639" t="s">
        <v>328</v>
      </c>
      <c r="N639" t="s">
        <v>329</v>
      </c>
      <c r="O639" t="s">
        <v>330</v>
      </c>
      <c r="P639" t="s">
        <v>331</v>
      </c>
      <c r="U639">
        <v>0.53</v>
      </c>
      <c r="V639">
        <v>0.498</v>
      </c>
      <c r="W639" t="s">
        <v>399</v>
      </c>
      <c r="Y639" t="s">
        <v>337</v>
      </c>
      <c r="AB639" t="s">
        <v>341</v>
      </c>
      <c r="AC639" t="s">
        <v>342</v>
      </c>
      <c r="AD639" s="34">
        <v>46.306796669999997</v>
      </c>
      <c r="AE639" s="34">
        <v>-84.061593329999994</v>
      </c>
      <c r="AF639" s="18">
        <v>40682.027777777781</v>
      </c>
      <c r="AG639" s="19">
        <v>40681.861111111109</v>
      </c>
      <c r="AH639" t="s">
        <v>161</v>
      </c>
      <c r="AL639" t="s">
        <v>335</v>
      </c>
      <c r="AM639" s="20">
        <v>40679</v>
      </c>
      <c r="AR639" s="39" t="s">
        <v>400</v>
      </c>
      <c r="AS639" s="39"/>
      <c r="AT639" s="39">
        <v>200</v>
      </c>
      <c r="AZ639" t="s">
        <v>108</v>
      </c>
      <c r="BC639" t="s">
        <v>336</v>
      </c>
    </row>
    <row r="640" spans="1:71" x14ac:dyDescent="0.25">
      <c r="A640" t="str">
        <f t="shared" si="9"/>
        <v>A69-9002-4746</v>
      </c>
      <c r="B640" t="s">
        <v>398</v>
      </c>
      <c r="C640" t="s">
        <v>324</v>
      </c>
      <c r="D640" t="s">
        <v>325</v>
      </c>
      <c r="F640">
        <v>4746</v>
      </c>
      <c r="G640" t="s">
        <v>326</v>
      </c>
      <c r="H640" t="s">
        <v>327</v>
      </c>
      <c r="I640" s="20">
        <v>40679</v>
      </c>
      <c r="J640">
        <v>80</v>
      </c>
      <c r="L640" t="s">
        <v>109</v>
      </c>
      <c r="M640" t="s">
        <v>328</v>
      </c>
      <c r="N640" t="s">
        <v>329</v>
      </c>
      <c r="O640" t="s">
        <v>330</v>
      </c>
      <c r="P640" t="s">
        <v>331</v>
      </c>
      <c r="U640">
        <v>0.51</v>
      </c>
      <c r="V640">
        <v>0.26500000000000001</v>
      </c>
      <c r="W640" t="s">
        <v>399</v>
      </c>
      <c r="Y640" t="s">
        <v>337</v>
      </c>
      <c r="AB640" t="s">
        <v>341</v>
      </c>
      <c r="AC640" t="s">
        <v>342</v>
      </c>
      <c r="AD640" s="34">
        <v>46.306796669999997</v>
      </c>
      <c r="AE640" s="34">
        <v>-84.061593329999994</v>
      </c>
      <c r="AF640" s="18">
        <v>40682.027777777781</v>
      </c>
      <c r="AG640" s="19">
        <v>40681.861111111109</v>
      </c>
      <c r="AH640" t="s">
        <v>161</v>
      </c>
      <c r="AL640" t="s">
        <v>335</v>
      </c>
      <c r="AM640" s="20">
        <v>40679</v>
      </c>
      <c r="AR640" s="39" t="s">
        <v>400</v>
      </c>
      <c r="AS640" s="39"/>
      <c r="AT640" s="39">
        <v>200</v>
      </c>
      <c r="AZ640" t="s">
        <v>108</v>
      </c>
      <c r="BC640" t="s">
        <v>163</v>
      </c>
      <c r="BD640" s="20">
        <v>40711</v>
      </c>
      <c r="BF640" s="21" t="s">
        <v>406</v>
      </c>
      <c r="BG640" s="38" t="s">
        <v>113</v>
      </c>
      <c r="BH640" s="1" t="s">
        <v>408</v>
      </c>
      <c r="BI640" s="1">
        <v>46.514783999999999</v>
      </c>
      <c r="BJ640" s="1">
        <v>-84.346945000000005</v>
      </c>
      <c r="BK640" s="1" t="s">
        <v>404</v>
      </c>
      <c r="BL640" s="1" t="s">
        <v>163</v>
      </c>
      <c r="BM640" s="1" t="s">
        <v>163</v>
      </c>
      <c r="BN640" s="1" t="s">
        <v>420</v>
      </c>
      <c r="BO640" s="39">
        <v>17029</v>
      </c>
      <c r="BP640" s="39">
        <v>17030</v>
      </c>
      <c r="BQ640" s="39" t="s">
        <v>337</v>
      </c>
      <c r="BR640" s="39">
        <v>496</v>
      </c>
      <c r="BS640" s="39">
        <v>295</v>
      </c>
    </row>
    <row r="641" spans="1:73" x14ac:dyDescent="0.25">
      <c r="A641" t="str">
        <f t="shared" si="9"/>
        <v>A69-9002-4747</v>
      </c>
      <c r="B641" t="s">
        <v>398</v>
      </c>
      <c r="C641" t="s">
        <v>324</v>
      </c>
      <c r="D641" t="s">
        <v>325</v>
      </c>
      <c r="F641">
        <v>4747</v>
      </c>
      <c r="G641" t="s">
        <v>326</v>
      </c>
      <c r="H641" t="s">
        <v>327</v>
      </c>
      <c r="I641" s="20">
        <v>40679</v>
      </c>
      <c r="J641">
        <v>80</v>
      </c>
      <c r="L641" t="s">
        <v>109</v>
      </c>
      <c r="M641" t="s">
        <v>328</v>
      </c>
      <c r="N641" t="s">
        <v>329</v>
      </c>
      <c r="O641" t="s">
        <v>330</v>
      </c>
      <c r="P641" t="s">
        <v>331</v>
      </c>
      <c r="U641">
        <v>0.42</v>
      </c>
      <c r="V641">
        <v>0.17799999999999999</v>
      </c>
      <c r="W641" t="s">
        <v>399</v>
      </c>
      <c r="Y641" t="s">
        <v>337</v>
      </c>
      <c r="AB641" t="s">
        <v>341</v>
      </c>
      <c r="AC641" t="s">
        <v>342</v>
      </c>
      <c r="AD641" s="34">
        <v>46.306796669999997</v>
      </c>
      <c r="AE641" s="34">
        <v>-84.061593329999994</v>
      </c>
      <c r="AF641" s="18">
        <v>40682.027777777781</v>
      </c>
      <c r="AG641" s="19">
        <v>40681.861111111109</v>
      </c>
      <c r="AH641" t="s">
        <v>161</v>
      </c>
      <c r="AL641" t="s">
        <v>335</v>
      </c>
      <c r="AM641" s="20">
        <v>40679</v>
      </c>
      <c r="AR641" s="39" t="s">
        <v>400</v>
      </c>
      <c r="AS641" s="39"/>
      <c r="AT641" s="39">
        <v>200</v>
      </c>
      <c r="AZ641" t="s">
        <v>108</v>
      </c>
      <c r="BC641" t="s">
        <v>336</v>
      </c>
    </row>
    <row r="642" spans="1:73" x14ac:dyDescent="0.25">
      <c r="A642" t="str">
        <f t="shared" si="9"/>
        <v>A69-9002-4748</v>
      </c>
      <c r="B642" t="s">
        <v>398</v>
      </c>
      <c r="C642" t="s">
        <v>324</v>
      </c>
      <c r="D642" t="s">
        <v>325</v>
      </c>
      <c r="F642">
        <v>4748</v>
      </c>
      <c r="G642" t="s">
        <v>326</v>
      </c>
      <c r="H642" t="s">
        <v>327</v>
      </c>
      <c r="I642" s="20">
        <v>40679</v>
      </c>
      <c r="J642">
        <v>80</v>
      </c>
      <c r="L642" t="s">
        <v>109</v>
      </c>
      <c r="M642" t="s">
        <v>328</v>
      </c>
      <c r="N642" t="s">
        <v>329</v>
      </c>
      <c r="O642" t="s">
        <v>330</v>
      </c>
      <c r="P642" t="s">
        <v>331</v>
      </c>
      <c r="U642">
        <v>0.49</v>
      </c>
      <c r="V642">
        <v>0.247</v>
      </c>
      <c r="W642" t="s">
        <v>399</v>
      </c>
      <c r="Y642" t="s">
        <v>337</v>
      </c>
      <c r="AB642" t="s">
        <v>341</v>
      </c>
      <c r="AC642" t="s">
        <v>342</v>
      </c>
      <c r="AD642" s="34">
        <v>46.306796669999997</v>
      </c>
      <c r="AE642" s="34">
        <v>-84.061593329999994</v>
      </c>
      <c r="AF642" s="18">
        <v>40682.027777777781</v>
      </c>
      <c r="AG642" s="19">
        <v>40681.861111111109</v>
      </c>
      <c r="AH642" t="s">
        <v>161</v>
      </c>
      <c r="AL642" t="s">
        <v>335</v>
      </c>
      <c r="AM642" s="20">
        <v>40679</v>
      </c>
      <c r="AR642" s="39" t="s">
        <v>400</v>
      </c>
      <c r="AS642" s="39"/>
      <c r="AT642" s="39">
        <v>200</v>
      </c>
      <c r="AZ642" t="s">
        <v>108</v>
      </c>
      <c r="BC642" t="s">
        <v>336</v>
      </c>
    </row>
    <row r="643" spans="1:73" x14ac:dyDescent="0.25">
      <c r="A643" t="str">
        <f t="shared" si="9"/>
        <v>A69-9002-4749</v>
      </c>
      <c r="B643" t="s">
        <v>398</v>
      </c>
      <c r="C643" t="s">
        <v>324</v>
      </c>
      <c r="D643" t="s">
        <v>325</v>
      </c>
      <c r="F643">
        <v>4749</v>
      </c>
      <c r="G643" t="s">
        <v>326</v>
      </c>
      <c r="H643" t="s">
        <v>327</v>
      </c>
      <c r="I643" s="20">
        <v>40679</v>
      </c>
      <c r="J643">
        <v>80</v>
      </c>
      <c r="L643" t="s">
        <v>109</v>
      </c>
      <c r="M643" t="s">
        <v>328</v>
      </c>
      <c r="N643" t="s">
        <v>329</v>
      </c>
      <c r="O643" t="s">
        <v>330</v>
      </c>
      <c r="P643" t="s">
        <v>331</v>
      </c>
      <c r="U643">
        <v>0.54</v>
      </c>
      <c r="V643">
        <v>0.32100000000000001</v>
      </c>
      <c r="W643" t="s">
        <v>399</v>
      </c>
      <c r="Y643" t="s">
        <v>337</v>
      </c>
      <c r="AB643" t="s">
        <v>341</v>
      </c>
      <c r="AC643" t="s">
        <v>342</v>
      </c>
      <c r="AD643" s="34">
        <v>46.306796669999997</v>
      </c>
      <c r="AE643" s="34">
        <v>-84.061593329999994</v>
      </c>
      <c r="AF643" s="18">
        <v>40682.027777777781</v>
      </c>
      <c r="AG643" s="19">
        <v>40681.861111111109</v>
      </c>
      <c r="AH643" t="s">
        <v>161</v>
      </c>
      <c r="AL643" t="s">
        <v>335</v>
      </c>
      <c r="AM643" s="20">
        <v>40679</v>
      </c>
      <c r="AR643" s="39" t="s">
        <v>400</v>
      </c>
      <c r="AS643" s="39"/>
      <c r="AT643" s="39">
        <v>200</v>
      </c>
      <c r="AZ643" t="s">
        <v>108</v>
      </c>
      <c r="BC643" t="s">
        <v>163</v>
      </c>
      <c r="BD643" s="20">
        <v>40693</v>
      </c>
      <c r="BF643" s="21" t="s">
        <v>406</v>
      </c>
      <c r="BG643" s="38" t="s">
        <v>123</v>
      </c>
      <c r="BH643" s="1" t="s">
        <v>418</v>
      </c>
      <c r="BI643" s="39">
        <v>46.574117000000001</v>
      </c>
      <c r="BJ643" s="39">
        <v>-83.935387000000006</v>
      </c>
      <c r="BK643" s="1" t="s">
        <v>404</v>
      </c>
      <c r="BL643" s="1" t="s">
        <v>163</v>
      </c>
      <c r="BM643" s="1" t="s">
        <v>163</v>
      </c>
      <c r="BN643" s="1" t="s">
        <v>420</v>
      </c>
      <c r="BO643" s="39">
        <v>16977</v>
      </c>
      <c r="BP643" s="39">
        <v>16979</v>
      </c>
      <c r="BQ643" s="39" t="s">
        <v>337</v>
      </c>
      <c r="BR643" s="39" t="s">
        <v>235</v>
      </c>
      <c r="BS643" s="39" t="s">
        <v>235</v>
      </c>
      <c r="BU643" t="s">
        <v>421</v>
      </c>
    </row>
    <row r="644" spans="1:73" x14ac:dyDescent="0.25">
      <c r="A644" t="str">
        <f t="shared" ref="A644:A707" si="10">CONCATENATE(G644,"-",F644)</f>
        <v>A69-9002-4750</v>
      </c>
      <c r="B644" t="s">
        <v>398</v>
      </c>
      <c r="C644" t="s">
        <v>324</v>
      </c>
      <c r="D644" t="s">
        <v>325</v>
      </c>
      <c r="F644">
        <v>4750</v>
      </c>
      <c r="G644" t="s">
        <v>326</v>
      </c>
      <c r="H644" t="s">
        <v>327</v>
      </c>
      <c r="I644" s="20">
        <v>40679</v>
      </c>
      <c r="J644">
        <v>80</v>
      </c>
      <c r="L644" t="s">
        <v>109</v>
      </c>
      <c r="M644" t="s">
        <v>328</v>
      </c>
      <c r="N644" t="s">
        <v>329</v>
      </c>
      <c r="O644" t="s">
        <v>330</v>
      </c>
      <c r="P644" t="s">
        <v>331</v>
      </c>
      <c r="U644">
        <v>0.52</v>
      </c>
      <c r="V644">
        <v>0.33300000000000002</v>
      </c>
      <c r="W644" t="s">
        <v>399</v>
      </c>
      <c r="Y644" t="s">
        <v>337</v>
      </c>
      <c r="AB644" t="s">
        <v>341</v>
      </c>
      <c r="AC644" t="s">
        <v>342</v>
      </c>
      <c r="AD644" s="34">
        <v>46.306796669999997</v>
      </c>
      <c r="AE644" s="34">
        <v>-84.061593329999994</v>
      </c>
      <c r="AF644" s="18">
        <v>40682.027777777781</v>
      </c>
      <c r="AG644" s="19">
        <v>40681.861111111109</v>
      </c>
      <c r="AH644" t="s">
        <v>161</v>
      </c>
      <c r="AL644" t="s">
        <v>335</v>
      </c>
      <c r="AM644" s="20">
        <v>40679</v>
      </c>
      <c r="AR644" s="39" t="s">
        <v>400</v>
      </c>
      <c r="AS644" s="39"/>
      <c r="AT644" s="39">
        <v>200</v>
      </c>
      <c r="AZ644" t="s">
        <v>108</v>
      </c>
      <c r="BC644" t="s">
        <v>336</v>
      </c>
    </row>
    <row r="645" spans="1:73" x14ac:dyDescent="0.25">
      <c r="A645" t="str">
        <f t="shared" si="10"/>
        <v>A69-9002-4751</v>
      </c>
      <c r="B645" t="s">
        <v>398</v>
      </c>
      <c r="C645" t="s">
        <v>324</v>
      </c>
      <c r="D645" t="s">
        <v>325</v>
      </c>
      <c r="F645">
        <v>4751</v>
      </c>
      <c r="G645" t="s">
        <v>326</v>
      </c>
      <c r="H645" t="s">
        <v>327</v>
      </c>
      <c r="I645" s="20">
        <v>40679</v>
      </c>
      <c r="J645">
        <v>80</v>
      </c>
      <c r="L645" t="s">
        <v>109</v>
      </c>
      <c r="M645" t="s">
        <v>328</v>
      </c>
      <c r="N645" t="s">
        <v>329</v>
      </c>
      <c r="O645" t="s">
        <v>330</v>
      </c>
      <c r="P645" t="s">
        <v>331</v>
      </c>
      <c r="U645">
        <v>0.54</v>
      </c>
      <c r="V645">
        <v>0.28399999999999997</v>
      </c>
      <c r="W645" t="s">
        <v>399</v>
      </c>
      <c r="Y645" t="s">
        <v>337</v>
      </c>
      <c r="AB645" t="s">
        <v>341</v>
      </c>
      <c r="AC645" t="s">
        <v>342</v>
      </c>
      <c r="AD645" s="34">
        <v>46.306796669999997</v>
      </c>
      <c r="AE645" s="34">
        <v>-84.061593329999994</v>
      </c>
      <c r="AF645" s="18">
        <v>40682.027777777781</v>
      </c>
      <c r="AG645" s="19">
        <v>40681.861111111109</v>
      </c>
      <c r="AH645" t="s">
        <v>161</v>
      </c>
      <c r="AL645" t="s">
        <v>335</v>
      </c>
      <c r="AM645" s="20">
        <v>40679</v>
      </c>
      <c r="AR645" s="39" t="s">
        <v>400</v>
      </c>
      <c r="AS645" s="39"/>
      <c r="AT645" s="39">
        <v>200</v>
      </c>
      <c r="AZ645" t="s">
        <v>108</v>
      </c>
      <c r="BC645" t="s">
        <v>336</v>
      </c>
    </row>
    <row r="646" spans="1:73" x14ac:dyDescent="0.25">
      <c r="A646" t="str">
        <f t="shared" si="10"/>
        <v>A69-9002-4753</v>
      </c>
      <c r="B646" t="s">
        <v>398</v>
      </c>
      <c r="C646" t="s">
        <v>324</v>
      </c>
      <c r="D646" t="s">
        <v>325</v>
      </c>
      <c r="F646">
        <v>4753</v>
      </c>
      <c r="G646" t="s">
        <v>326</v>
      </c>
      <c r="H646" t="s">
        <v>327</v>
      </c>
      <c r="I646" s="20">
        <v>40679</v>
      </c>
      <c r="J646">
        <v>80</v>
      </c>
      <c r="L646" t="s">
        <v>109</v>
      </c>
      <c r="M646" t="s">
        <v>328</v>
      </c>
      <c r="N646" t="s">
        <v>329</v>
      </c>
      <c r="O646" t="s">
        <v>330</v>
      </c>
      <c r="P646" t="s">
        <v>331</v>
      </c>
      <c r="U646">
        <v>0.54</v>
      </c>
      <c r="V646">
        <v>0.28799999999999998</v>
      </c>
      <c r="W646" t="s">
        <v>399</v>
      </c>
      <c r="Y646" t="s">
        <v>337</v>
      </c>
      <c r="AB646" t="s">
        <v>341</v>
      </c>
      <c r="AC646" t="s">
        <v>342</v>
      </c>
      <c r="AD646" s="34">
        <v>46.306796669999997</v>
      </c>
      <c r="AE646" s="34">
        <v>-84.061593329999994</v>
      </c>
      <c r="AF646" s="18">
        <v>40682.027777777781</v>
      </c>
      <c r="AG646" s="19">
        <v>40681.861111111109</v>
      </c>
      <c r="AH646" t="s">
        <v>161</v>
      </c>
      <c r="AL646" t="s">
        <v>335</v>
      </c>
      <c r="AM646" s="20">
        <v>40679</v>
      </c>
      <c r="AR646" s="39" t="s">
        <v>400</v>
      </c>
      <c r="AS646" s="39"/>
      <c r="AT646" s="39">
        <v>200</v>
      </c>
      <c r="AZ646" t="s">
        <v>108</v>
      </c>
      <c r="BC646" t="s">
        <v>336</v>
      </c>
    </row>
    <row r="647" spans="1:73" x14ac:dyDescent="0.25">
      <c r="A647" t="str">
        <f t="shared" si="10"/>
        <v>A69-9002-4754</v>
      </c>
      <c r="B647" t="s">
        <v>398</v>
      </c>
      <c r="C647" t="s">
        <v>324</v>
      </c>
      <c r="D647" t="s">
        <v>325</v>
      </c>
      <c r="F647">
        <v>4754</v>
      </c>
      <c r="G647" t="s">
        <v>326</v>
      </c>
      <c r="H647" t="s">
        <v>327</v>
      </c>
      <c r="I647" s="20">
        <v>40679</v>
      </c>
      <c r="J647">
        <v>80</v>
      </c>
      <c r="L647" t="s">
        <v>109</v>
      </c>
      <c r="M647" t="s">
        <v>328</v>
      </c>
      <c r="N647" t="s">
        <v>329</v>
      </c>
      <c r="O647" t="s">
        <v>330</v>
      </c>
      <c r="P647" t="s">
        <v>331</v>
      </c>
      <c r="U647">
        <v>0.48</v>
      </c>
      <c r="V647">
        <v>0.23599999999999999</v>
      </c>
      <c r="W647" t="s">
        <v>399</v>
      </c>
      <c r="Y647" t="s">
        <v>337</v>
      </c>
      <c r="AB647" t="s">
        <v>341</v>
      </c>
      <c r="AC647" t="s">
        <v>342</v>
      </c>
      <c r="AD647" s="34">
        <v>46.306796669999997</v>
      </c>
      <c r="AE647" s="34">
        <v>-84.061593329999994</v>
      </c>
      <c r="AF647" s="18">
        <v>40682.027777777781</v>
      </c>
      <c r="AG647" s="19">
        <v>40681.861111111109</v>
      </c>
      <c r="AH647" t="s">
        <v>161</v>
      </c>
      <c r="AL647" t="s">
        <v>335</v>
      </c>
      <c r="AM647" s="20">
        <v>40679</v>
      </c>
      <c r="AR647" s="39" t="s">
        <v>400</v>
      </c>
      <c r="AS647" s="39"/>
      <c r="AT647" s="39">
        <v>200</v>
      </c>
      <c r="AZ647" t="s">
        <v>108</v>
      </c>
      <c r="BC647" t="s">
        <v>336</v>
      </c>
    </row>
    <row r="648" spans="1:73" x14ac:dyDescent="0.25">
      <c r="A648" t="str">
        <f t="shared" si="10"/>
        <v>A69-9002-4755</v>
      </c>
      <c r="B648" t="s">
        <v>398</v>
      </c>
      <c r="C648" t="s">
        <v>324</v>
      </c>
      <c r="D648" t="s">
        <v>325</v>
      </c>
      <c r="F648">
        <v>4755</v>
      </c>
      <c r="G648" t="s">
        <v>326</v>
      </c>
      <c r="H648" t="s">
        <v>327</v>
      </c>
      <c r="I648" s="20">
        <v>40679</v>
      </c>
      <c r="J648">
        <v>80</v>
      </c>
      <c r="L648" t="s">
        <v>109</v>
      </c>
      <c r="M648" t="s">
        <v>328</v>
      </c>
      <c r="N648" t="s">
        <v>329</v>
      </c>
      <c r="O648" t="s">
        <v>330</v>
      </c>
      <c r="P648" t="s">
        <v>331</v>
      </c>
      <c r="U648">
        <v>0.5</v>
      </c>
      <c r="V648">
        <v>0.252</v>
      </c>
      <c r="W648" t="s">
        <v>399</v>
      </c>
      <c r="Y648" t="s">
        <v>337</v>
      </c>
      <c r="AB648" t="s">
        <v>341</v>
      </c>
      <c r="AC648" t="s">
        <v>342</v>
      </c>
      <c r="AD648" s="34">
        <v>46.306796669999997</v>
      </c>
      <c r="AE648" s="34">
        <v>-84.061593329999994</v>
      </c>
      <c r="AF648" s="18">
        <v>40682.027777777781</v>
      </c>
      <c r="AG648" s="19">
        <v>40681.861111111109</v>
      </c>
      <c r="AH648" t="s">
        <v>161</v>
      </c>
      <c r="AL648" t="s">
        <v>335</v>
      </c>
      <c r="AM648" s="20">
        <v>40679</v>
      </c>
      <c r="AR648" s="39" t="s">
        <v>400</v>
      </c>
      <c r="AS648" s="39"/>
      <c r="AT648" s="39">
        <v>200</v>
      </c>
      <c r="AZ648" t="s">
        <v>108</v>
      </c>
      <c r="BC648" t="s">
        <v>336</v>
      </c>
    </row>
    <row r="649" spans="1:73" x14ac:dyDescent="0.25">
      <c r="A649" t="str">
        <f t="shared" si="10"/>
        <v>A69-9002-4756</v>
      </c>
      <c r="B649" t="s">
        <v>398</v>
      </c>
      <c r="C649" t="s">
        <v>324</v>
      </c>
      <c r="D649" t="s">
        <v>325</v>
      </c>
      <c r="F649">
        <v>4756</v>
      </c>
      <c r="G649" t="s">
        <v>326</v>
      </c>
      <c r="H649" t="s">
        <v>327</v>
      </c>
      <c r="I649" s="20">
        <v>40679</v>
      </c>
      <c r="J649">
        <v>80</v>
      </c>
      <c r="L649" t="s">
        <v>109</v>
      </c>
      <c r="M649" t="s">
        <v>328</v>
      </c>
      <c r="N649" t="s">
        <v>329</v>
      </c>
      <c r="O649" t="s">
        <v>330</v>
      </c>
      <c r="P649" t="s">
        <v>331</v>
      </c>
      <c r="U649">
        <v>0.52</v>
      </c>
      <c r="V649">
        <v>0.29099999999999998</v>
      </c>
      <c r="W649" t="s">
        <v>399</v>
      </c>
      <c r="Y649" t="s">
        <v>337</v>
      </c>
      <c r="AB649" t="s">
        <v>341</v>
      </c>
      <c r="AC649" t="s">
        <v>342</v>
      </c>
      <c r="AD649" s="34">
        <v>46.306796669999997</v>
      </c>
      <c r="AE649" s="34">
        <v>-84.061593329999994</v>
      </c>
      <c r="AF649" s="18">
        <v>40682.027777777781</v>
      </c>
      <c r="AG649" s="19">
        <v>40681.861111111109</v>
      </c>
      <c r="AH649" t="s">
        <v>161</v>
      </c>
      <c r="AL649" t="s">
        <v>335</v>
      </c>
      <c r="AM649" s="20">
        <v>40679</v>
      </c>
      <c r="AR649" s="39" t="s">
        <v>400</v>
      </c>
      <c r="AS649" s="39"/>
      <c r="AT649" s="39">
        <v>200</v>
      </c>
      <c r="AZ649" t="s">
        <v>108</v>
      </c>
      <c r="BC649" t="s">
        <v>336</v>
      </c>
    </row>
    <row r="650" spans="1:73" x14ac:dyDescent="0.25">
      <c r="A650" t="str">
        <f t="shared" si="10"/>
        <v>A69-9002-4757</v>
      </c>
      <c r="B650" t="s">
        <v>398</v>
      </c>
      <c r="C650" t="s">
        <v>324</v>
      </c>
      <c r="D650" t="s">
        <v>325</v>
      </c>
      <c r="F650">
        <v>4757</v>
      </c>
      <c r="G650" t="s">
        <v>326</v>
      </c>
      <c r="H650" t="s">
        <v>327</v>
      </c>
      <c r="I650" s="20">
        <v>40679</v>
      </c>
      <c r="J650">
        <v>80</v>
      </c>
      <c r="L650" t="s">
        <v>109</v>
      </c>
      <c r="M650" t="s">
        <v>328</v>
      </c>
      <c r="N650" t="s">
        <v>329</v>
      </c>
      <c r="O650" t="s">
        <v>330</v>
      </c>
      <c r="P650" t="s">
        <v>331</v>
      </c>
      <c r="U650">
        <v>0.52</v>
      </c>
      <c r="V650">
        <v>0.27800000000000002</v>
      </c>
      <c r="W650" t="s">
        <v>399</v>
      </c>
      <c r="Y650" t="s">
        <v>337</v>
      </c>
      <c r="AB650" t="s">
        <v>341</v>
      </c>
      <c r="AC650" t="s">
        <v>342</v>
      </c>
      <c r="AD650" s="34">
        <v>46.306796669999997</v>
      </c>
      <c r="AE650" s="34">
        <v>-84.061593329999994</v>
      </c>
      <c r="AF650" s="18">
        <v>40682.027777777781</v>
      </c>
      <c r="AG650" s="19">
        <v>40681.861111111109</v>
      </c>
      <c r="AH650" t="s">
        <v>161</v>
      </c>
      <c r="AL650" t="s">
        <v>335</v>
      </c>
      <c r="AM650" s="20">
        <v>40679</v>
      </c>
      <c r="AR650" s="39" t="s">
        <v>400</v>
      </c>
      <c r="AS650" s="39"/>
      <c r="AT650" s="39">
        <v>200</v>
      </c>
      <c r="AZ650" t="s">
        <v>108</v>
      </c>
      <c r="BC650" t="s">
        <v>336</v>
      </c>
    </row>
    <row r="651" spans="1:73" x14ac:dyDescent="0.25">
      <c r="A651" t="str">
        <f t="shared" si="10"/>
        <v>A69-9002-4758</v>
      </c>
      <c r="B651" t="s">
        <v>398</v>
      </c>
      <c r="C651" t="s">
        <v>324</v>
      </c>
      <c r="D651" t="s">
        <v>325</v>
      </c>
      <c r="F651">
        <v>4758</v>
      </c>
      <c r="G651" t="s">
        <v>326</v>
      </c>
      <c r="H651" t="s">
        <v>327</v>
      </c>
      <c r="I651" s="20">
        <v>40694</v>
      </c>
      <c r="J651">
        <v>80</v>
      </c>
      <c r="L651" t="s">
        <v>109</v>
      </c>
      <c r="M651" t="s">
        <v>328</v>
      </c>
      <c r="N651" t="s">
        <v>329</v>
      </c>
      <c r="O651" t="s">
        <v>330</v>
      </c>
      <c r="P651" t="s">
        <v>331</v>
      </c>
      <c r="U651">
        <v>0.54</v>
      </c>
      <c r="V651">
        <v>0.30599999999999999</v>
      </c>
      <c r="W651" t="s">
        <v>399</v>
      </c>
      <c r="Y651" t="s">
        <v>332</v>
      </c>
      <c r="AB651" t="s">
        <v>349</v>
      </c>
      <c r="AC651" t="s">
        <v>342</v>
      </c>
      <c r="AD651" s="34">
        <v>46.306741670000001</v>
      </c>
      <c r="AE651" s="34">
        <v>-84.060811670000007</v>
      </c>
      <c r="AF651" s="18">
        <v>40696.938888888886</v>
      </c>
      <c r="AG651" s="19">
        <v>40696.772222222222</v>
      </c>
      <c r="AH651" t="s">
        <v>161</v>
      </c>
      <c r="AL651" t="s">
        <v>335</v>
      </c>
      <c r="AM651" s="20">
        <v>40694</v>
      </c>
      <c r="AR651" s="39" t="s">
        <v>400</v>
      </c>
      <c r="AS651" s="39"/>
      <c r="AT651" s="39">
        <v>200</v>
      </c>
      <c r="AZ651" t="s">
        <v>108</v>
      </c>
      <c r="BC651" t="s">
        <v>336</v>
      </c>
    </row>
    <row r="652" spans="1:73" x14ac:dyDescent="0.25">
      <c r="A652" t="str">
        <f t="shared" si="10"/>
        <v>A69-9002-4759</v>
      </c>
      <c r="B652" t="s">
        <v>398</v>
      </c>
      <c r="C652" t="s">
        <v>324</v>
      </c>
      <c r="D652" t="s">
        <v>325</v>
      </c>
      <c r="F652">
        <v>4759</v>
      </c>
      <c r="G652" t="s">
        <v>326</v>
      </c>
      <c r="H652" t="s">
        <v>327</v>
      </c>
      <c r="I652" s="20">
        <v>40694</v>
      </c>
      <c r="J652">
        <v>80</v>
      </c>
      <c r="L652" t="s">
        <v>109</v>
      </c>
      <c r="M652" t="s">
        <v>328</v>
      </c>
      <c r="N652" t="s">
        <v>329</v>
      </c>
      <c r="O652" t="s">
        <v>330</v>
      </c>
      <c r="P652" t="s">
        <v>331</v>
      </c>
      <c r="U652">
        <v>0.47</v>
      </c>
      <c r="V652">
        <v>0.20899999999999999</v>
      </c>
      <c r="W652" t="s">
        <v>399</v>
      </c>
      <c r="Y652" t="s">
        <v>337</v>
      </c>
      <c r="AB652" t="s">
        <v>349</v>
      </c>
      <c r="AC652" t="s">
        <v>342</v>
      </c>
      <c r="AD652" s="34">
        <v>46.306741670000001</v>
      </c>
      <c r="AE652" s="34">
        <v>-84.060811670000007</v>
      </c>
      <c r="AF652" s="18">
        <v>40696.938888888886</v>
      </c>
      <c r="AG652" s="19">
        <v>40696.772222222222</v>
      </c>
      <c r="AH652" t="s">
        <v>161</v>
      </c>
      <c r="AL652" t="s">
        <v>335</v>
      </c>
      <c r="AM652" s="20">
        <v>40694</v>
      </c>
      <c r="AR652" s="39" t="s">
        <v>400</v>
      </c>
      <c r="AS652" s="39"/>
      <c r="AT652" s="39">
        <v>200</v>
      </c>
      <c r="AZ652" t="s">
        <v>108</v>
      </c>
      <c r="BC652" t="s">
        <v>336</v>
      </c>
    </row>
    <row r="653" spans="1:73" x14ac:dyDescent="0.25">
      <c r="A653" t="str">
        <f t="shared" si="10"/>
        <v>A69-9002-4760</v>
      </c>
      <c r="B653" t="s">
        <v>398</v>
      </c>
      <c r="C653" t="s">
        <v>324</v>
      </c>
      <c r="D653" t="s">
        <v>325</v>
      </c>
      <c r="F653">
        <v>4760</v>
      </c>
      <c r="G653" t="s">
        <v>326</v>
      </c>
      <c r="H653" t="s">
        <v>327</v>
      </c>
      <c r="I653" s="20">
        <v>40694</v>
      </c>
      <c r="J653">
        <v>80</v>
      </c>
      <c r="L653" t="s">
        <v>109</v>
      </c>
      <c r="M653" t="s">
        <v>328</v>
      </c>
      <c r="N653" t="s">
        <v>329</v>
      </c>
      <c r="O653" t="s">
        <v>330</v>
      </c>
      <c r="P653" t="s">
        <v>331</v>
      </c>
      <c r="U653">
        <v>0.51</v>
      </c>
      <c r="V653">
        <v>0.29399999999999998</v>
      </c>
      <c r="W653" t="s">
        <v>399</v>
      </c>
      <c r="Y653" t="s">
        <v>337</v>
      </c>
      <c r="AB653" t="s">
        <v>349</v>
      </c>
      <c r="AC653" t="s">
        <v>342</v>
      </c>
      <c r="AD653" s="34">
        <v>46.306741670000001</v>
      </c>
      <c r="AE653" s="34">
        <v>-84.060811670000007</v>
      </c>
      <c r="AF653" s="18">
        <v>40696.938888888886</v>
      </c>
      <c r="AG653" s="19">
        <v>40696.772222222222</v>
      </c>
      <c r="AH653" t="s">
        <v>161</v>
      </c>
      <c r="AL653" t="s">
        <v>335</v>
      </c>
      <c r="AM653" s="20">
        <v>40694</v>
      </c>
      <c r="AR653" s="39" t="s">
        <v>400</v>
      </c>
      <c r="AS653" s="39"/>
      <c r="AT653" s="39">
        <v>200</v>
      </c>
      <c r="AZ653" t="s">
        <v>108</v>
      </c>
      <c r="BC653" t="s">
        <v>336</v>
      </c>
    </row>
    <row r="654" spans="1:73" x14ac:dyDescent="0.25">
      <c r="A654" t="str">
        <f t="shared" si="10"/>
        <v>A69-9002-4761</v>
      </c>
      <c r="B654" t="s">
        <v>398</v>
      </c>
      <c r="C654" t="s">
        <v>324</v>
      </c>
      <c r="D654" t="s">
        <v>325</v>
      </c>
      <c r="F654">
        <v>4761</v>
      </c>
      <c r="G654" t="s">
        <v>326</v>
      </c>
      <c r="H654" t="s">
        <v>327</v>
      </c>
      <c r="I654" s="20">
        <v>40694</v>
      </c>
      <c r="J654">
        <v>80</v>
      </c>
      <c r="L654" t="s">
        <v>109</v>
      </c>
      <c r="M654" t="s">
        <v>328</v>
      </c>
      <c r="N654" t="s">
        <v>329</v>
      </c>
      <c r="O654" t="s">
        <v>330</v>
      </c>
      <c r="P654" t="s">
        <v>331</v>
      </c>
      <c r="U654">
        <v>0.51</v>
      </c>
      <c r="V654">
        <v>0.26</v>
      </c>
      <c r="W654" t="s">
        <v>399</v>
      </c>
      <c r="Y654" t="s">
        <v>337</v>
      </c>
      <c r="AB654" t="s">
        <v>349</v>
      </c>
      <c r="AC654" t="s">
        <v>342</v>
      </c>
      <c r="AD654" s="34">
        <v>46.306741670000001</v>
      </c>
      <c r="AE654" s="34">
        <v>-84.060811670000007</v>
      </c>
      <c r="AF654" s="18">
        <v>40696.938888888886</v>
      </c>
      <c r="AG654" s="19">
        <v>40696.772222222222</v>
      </c>
      <c r="AH654" t="s">
        <v>161</v>
      </c>
      <c r="AL654" t="s">
        <v>335</v>
      </c>
      <c r="AM654" s="20">
        <v>40694</v>
      </c>
      <c r="AR654" s="39" t="s">
        <v>400</v>
      </c>
      <c r="AS654" s="39"/>
      <c r="AT654" s="39">
        <v>200</v>
      </c>
      <c r="AZ654" t="s">
        <v>108</v>
      </c>
      <c r="BC654" t="s">
        <v>336</v>
      </c>
    </row>
    <row r="655" spans="1:73" x14ac:dyDescent="0.25">
      <c r="A655" t="str">
        <f t="shared" si="10"/>
        <v>A69-9002-4762</v>
      </c>
      <c r="B655" t="s">
        <v>398</v>
      </c>
      <c r="C655" t="s">
        <v>324</v>
      </c>
      <c r="D655" t="s">
        <v>325</v>
      </c>
      <c r="F655">
        <v>4762</v>
      </c>
      <c r="G655" t="s">
        <v>326</v>
      </c>
      <c r="H655" t="s">
        <v>327</v>
      </c>
      <c r="I655" s="20">
        <v>40694</v>
      </c>
      <c r="J655">
        <v>80</v>
      </c>
      <c r="L655" t="s">
        <v>109</v>
      </c>
      <c r="M655" t="s">
        <v>328</v>
      </c>
      <c r="N655" t="s">
        <v>329</v>
      </c>
      <c r="O655" t="s">
        <v>330</v>
      </c>
      <c r="P655" t="s">
        <v>331</v>
      </c>
      <c r="U655">
        <v>0.53</v>
      </c>
      <c r="V655">
        <v>0.28299999999999997</v>
      </c>
      <c r="W655" t="s">
        <v>399</v>
      </c>
      <c r="Y655" t="s">
        <v>332</v>
      </c>
      <c r="AB655" t="s">
        <v>349</v>
      </c>
      <c r="AC655" t="s">
        <v>342</v>
      </c>
      <c r="AD655" s="34">
        <v>46.306741670000001</v>
      </c>
      <c r="AE655" s="34">
        <v>-84.060811670000007</v>
      </c>
      <c r="AF655" s="18">
        <v>40696.938888888886</v>
      </c>
      <c r="AG655" s="19">
        <v>40696.772222222222</v>
      </c>
      <c r="AH655" t="s">
        <v>161</v>
      </c>
      <c r="AL655" t="s">
        <v>335</v>
      </c>
      <c r="AM655" s="20">
        <v>40694</v>
      </c>
      <c r="AR655" s="39" t="s">
        <v>400</v>
      </c>
      <c r="AS655" s="39"/>
      <c r="AT655" s="39">
        <v>200</v>
      </c>
      <c r="AZ655" t="s">
        <v>108</v>
      </c>
      <c r="BC655" t="s">
        <v>336</v>
      </c>
    </row>
    <row r="656" spans="1:73" x14ac:dyDescent="0.25">
      <c r="A656" t="str">
        <f t="shared" si="10"/>
        <v>A69-9002-4763</v>
      </c>
      <c r="B656" t="s">
        <v>398</v>
      </c>
      <c r="C656" t="s">
        <v>324</v>
      </c>
      <c r="D656" t="s">
        <v>325</v>
      </c>
      <c r="F656">
        <v>4763</v>
      </c>
      <c r="G656" t="s">
        <v>326</v>
      </c>
      <c r="H656" t="s">
        <v>327</v>
      </c>
      <c r="I656" s="20">
        <v>40694</v>
      </c>
      <c r="J656">
        <v>80</v>
      </c>
      <c r="L656" t="s">
        <v>109</v>
      </c>
      <c r="M656" t="s">
        <v>328</v>
      </c>
      <c r="N656" t="s">
        <v>329</v>
      </c>
      <c r="O656" t="s">
        <v>330</v>
      </c>
      <c r="P656" t="s">
        <v>331</v>
      </c>
      <c r="U656">
        <v>0.5</v>
      </c>
      <c r="V656">
        <v>0.28399999999999997</v>
      </c>
      <c r="W656" t="s">
        <v>399</v>
      </c>
      <c r="Y656" t="s">
        <v>337</v>
      </c>
      <c r="AB656" t="s">
        <v>349</v>
      </c>
      <c r="AC656" t="s">
        <v>342</v>
      </c>
      <c r="AD656" s="34">
        <v>46.306741670000001</v>
      </c>
      <c r="AE656" s="34">
        <v>-84.060811670000007</v>
      </c>
      <c r="AF656" s="18">
        <v>40696.938888888886</v>
      </c>
      <c r="AG656" s="19">
        <v>40696.772222222222</v>
      </c>
      <c r="AH656" t="s">
        <v>161</v>
      </c>
      <c r="AL656" t="s">
        <v>335</v>
      </c>
      <c r="AM656" s="20">
        <v>40694</v>
      </c>
      <c r="AR656" s="39" t="s">
        <v>400</v>
      </c>
      <c r="AS656" s="39"/>
      <c r="AT656" s="39">
        <v>200</v>
      </c>
      <c r="AZ656" t="s">
        <v>108</v>
      </c>
      <c r="BC656" t="s">
        <v>336</v>
      </c>
    </row>
    <row r="657" spans="1:71" x14ac:dyDescent="0.25">
      <c r="A657" t="str">
        <f t="shared" si="10"/>
        <v>A69-9002-4764</v>
      </c>
      <c r="B657" t="s">
        <v>398</v>
      </c>
      <c r="C657" t="s">
        <v>324</v>
      </c>
      <c r="D657" t="s">
        <v>325</v>
      </c>
      <c r="F657">
        <v>4764</v>
      </c>
      <c r="G657" t="s">
        <v>326</v>
      </c>
      <c r="H657" t="s">
        <v>327</v>
      </c>
      <c r="I657" s="20">
        <v>40694</v>
      </c>
      <c r="J657">
        <v>80</v>
      </c>
      <c r="L657" t="s">
        <v>109</v>
      </c>
      <c r="M657" t="s">
        <v>328</v>
      </c>
      <c r="N657" t="s">
        <v>329</v>
      </c>
      <c r="O657" t="s">
        <v>330</v>
      </c>
      <c r="P657" t="s">
        <v>331</v>
      </c>
      <c r="U657">
        <v>0.49</v>
      </c>
      <c r="V657">
        <v>0.27</v>
      </c>
      <c r="W657" t="s">
        <v>399</v>
      </c>
      <c r="Y657" t="s">
        <v>332</v>
      </c>
      <c r="AB657" t="s">
        <v>349</v>
      </c>
      <c r="AC657" t="s">
        <v>342</v>
      </c>
      <c r="AD657" s="34">
        <v>46.306741670000001</v>
      </c>
      <c r="AE657" s="34">
        <v>-84.060811670000007</v>
      </c>
      <c r="AF657" s="18">
        <v>40696.938888888886</v>
      </c>
      <c r="AG657" s="19">
        <v>40696.772222222222</v>
      </c>
      <c r="AH657" t="s">
        <v>161</v>
      </c>
      <c r="AL657" t="s">
        <v>335</v>
      </c>
      <c r="AM657" s="20">
        <v>40694</v>
      </c>
      <c r="AR657" s="39" t="s">
        <v>400</v>
      </c>
      <c r="AS657" s="39"/>
      <c r="AT657" s="39">
        <v>200</v>
      </c>
      <c r="AZ657" t="s">
        <v>108</v>
      </c>
      <c r="BC657" t="s">
        <v>336</v>
      </c>
    </row>
    <row r="658" spans="1:71" x14ac:dyDescent="0.25">
      <c r="A658" t="str">
        <f t="shared" si="10"/>
        <v>A69-9002-4765</v>
      </c>
      <c r="B658" t="s">
        <v>398</v>
      </c>
      <c r="C658" t="s">
        <v>324</v>
      </c>
      <c r="D658" t="s">
        <v>325</v>
      </c>
      <c r="F658">
        <v>4765</v>
      </c>
      <c r="G658" t="s">
        <v>326</v>
      </c>
      <c r="H658" t="s">
        <v>327</v>
      </c>
      <c r="I658" s="20">
        <v>40694</v>
      </c>
      <c r="J658">
        <v>80</v>
      </c>
      <c r="L658" t="s">
        <v>109</v>
      </c>
      <c r="M658" t="s">
        <v>328</v>
      </c>
      <c r="N658" t="s">
        <v>329</v>
      </c>
      <c r="O658" t="s">
        <v>330</v>
      </c>
      <c r="P658" t="s">
        <v>331</v>
      </c>
      <c r="U658">
        <v>0.5</v>
      </c>
      <c r="V658">
        <v>0.25</v>
      </c>
      <c r="W658" t="s">
        <v>399</v>
      </c>
      <c r="Y658" t="s">
        <v>337</v>
      </c>
      <c r="AB658" t="s">
        <v>349</v>
      </c>
      <c r="AC658" t="s">
        <v>342</v>
      </c>
      <c r="AD658" s="34">
        <v>46.306741670000001</v>
      </c>
      <c r="AE658" s="34">
        <v>-84.060811670000007</v>
      </c>
      <c r="AF658" s="18">
        <v>40696.938888888886</v>
      </c>
      <c r="AG658" s="19">
        <v>40696.772222222222</v>
      </c>
      <c r="AH658" t="s">
        <v>161</v>
      </c>
      <c r="AL658" t="s">
        <v>335</v>
      </c>
      <c r="AM658" s="20">
        <v>40694</v>
      </c>
      <c r="AR658" s="39" t="s">
        <v>400</v>
      </c>
      <c r="AS658" s="39"/>
      <c r="AT658" s="39">
        <v>200</v>
      </c>
      <c r="AZ658" t="s">
        <v>108</v>
      </c>
      <c r="BC658" t="s">
        <v>336</v>
      </c>
    </row>
    <row r="659" spans="1:71" x14ac:dyDescent="0.25">
      <c r="A659" t="str">
        <f t="shared" si="10"/>
        <v>A69-9002-4766</v>
      </c>
      <c r="B659" t="s">
        <v>398</v>
      </c>
      <c r="C659" t="s">
        <v>324</v>
      </c>
      <c r="D659" t="s">
        <v>325</v>
      </c>
      <c r="F659">
        <v>4766</v>
      </c>
      <c r="G659" t="s">
        <v>326</v>
      </c>
      <c r="H659" t="s">
        <v>327</v>
      </c>
      <c r="I659" s="20">
        <v>40694</v>
      </c>
      <c r="J659">
        <v>80</v>
      </c>
      <c r="L659" t="s">
        <v>109</v>
      </c>
      <c r="M659" t="s">
        <v>328</v>
      </c>
      <c r="N659" t="s">
        <v>329</v>
      </c>
      <c r="O659" t="s">
        <v>330</v>
      </c>
      <c r="P659" t="s">
        <v>331</v>
      </c>
      <c r="U659">
        <v>0.52</v>
      </c>
      <c r="V659">
        <v>0.246</v>
      </c>
      <c r="W659" t="s">
        <v>399</v>
      </c>
      <c r="Y659" t="s">
        <v>337</v>
      </c>
      <c r="AB659" t="s">
        <v>349</v>
      </c>
      <c r="AC659" t="s">
        <v>342</v>
      </c>
      <c r="AD659" s="34">
        <v>46.306741670000001</v>
      </c>
      <c r="AE659" s="34">
        <v>-84.060811670000007</v>
      </c>
      <c r="AF659" s="18">
        <v>40696.938888888886</v>
      </c>
      <c r="AG659" s="19">
        <v>40696.772222222222</v>
      </c>
      <c r="AH659" t="s">
        <v>161</v>
      </c>
      <c r="AL659" t="s">
        <v>335</v>
      </c>
      <c r="AM659" s="20">
        <v>40694</v>
      </c>
      <c r="AR659" s="39" t="s">
        <v>400</v>
      </c>
      <c r="AS659" s="39"/>
      <c r="AT659" s="39">
        <v>200</v>
      </c>
      <c r="AZ659" t="s">
        <v>108</v>
      </c>
      <c r="BC659" t="s">
        <v>336</v>
      </c>
    </row>
    <row r="660" spans="1:71" x14ac:dyDescent="0.25">
      <c r="A660" t="str">
        <f t="shared" si="10"/>
        <v>A69-9002-4767</v>
      </c>
      <c r="B660" t="s">
        <v>398</v>
      </c>
      <c r="C660" t="s">
        <v>324</v>
      </c>
      <c r="D660" t="s">
        <v>325</v>
      </c>
      <c r="F660">
        <v>4767</v>
      </c>
      <c r="G660" t="s">
        <v>326</v>
      </c>
      <c r="H660" t="s">
        <v>327</v>
      </c>
      <c r="I660" s="20">
        <v>40694</v>
      </c>
      <c r="J660">
        <v>80</v>
      </c>
      <c r="L660" t="s">
        <v>109</v>
      </c>
      <c r="M660" t="s">
        <v>328</v>
      </c>
      <c r="N660" t="s">
        <v>329</v>
      </c>
      <c r="O660" t="s">
        <v>330</v>
      </c>
      <c r="P660" t="s">
        <v>331</v>
      </c>
      <c r="U660">
        <v>0.49</v>
      </c>
      <c r="V660">
        <v>0.26700000000000002</v>
      </c>
      <c r="W660" t="s">
        <v>399</v>
      </c>
      <c r="Y660" t="s">
        <v>337</v>
      </c>
      <c r="AB660" t="s">
        <v>349</v>
      </c>
      <c r="AC660" t="s">
        <v>342</v>
      </c>
      <c r="AD660" s="34">
        <v>46.306741670000001</v>
      </c>
      <c r="AE660" s="34">
        <v>-84.060811670000007</v>
      </c>
      <c r="AF660" s="18">
        <v>40696.938888888886</v>
      </c>
      <c r="AG660" s="19">
        <v>40696.772222222222</v>
      </c>
      <c r="AH660" t="s">
        <v>161</v>
      </c>
      <c r="AL660" t="s">
        <v>335</v>
      </c>
      <c r="AM660" s="20">
        <v>40694</v>
      </c>
      <c r="AR660" s="39" t="s">
        <v>400</v>
      </c>
      <c r="AS660" s="39"/>
      <c r="AT660" s="39">
        <v>200</v>
      </c>
      <c r="AZ660" t="s">
        <v>108</v>
      </c>
      <c r="BC660" t="s">
        <v>336</v>
      </c>
    </row>
    <row r="661" spans="1:71" x14ac:dyDescent="0.25">
      <c r="A661" t="str">
        <f t="shared" si="10"/>
        <v>A69-9002-4768</v>
      </c>
      <c r="B661" t="s">
        <v>398</v>
      </c>
      <c r="C661" t="s">
        <v>324</v>
      </c>
      <c r="D661" t="s">
        <v>325</v>
      </c>
      <c r="F661">
        <v>4768</v>
      </c>
      <c r="G661" t="s">
        <v>326</v>
      </c>
      <c r="H661" t="s">
        <v>327</v>
      </c>
      <c r="I661" s="20">
        <v>40694</v>
      </c>
      <c r="J661">
        <v>80</v>
      </c>
      <c r="L661" t="s">
        <v>109</v>
      </c>
      <c r="M661" t="s">
        <v>328</v>
      </c>
      <c r="N661" t="s">
        <v>329</v>
      </c>
      <c r="O661" t="s">
        <v>330</v>
      </c>
      <c r="P661" t="s">
        <v>331</v>
      </c>
      <c r="U661">
        <v>0.46</v>
      </c>
      <c r="V661">
        <v>0.20499999999999999</v>
      </c>
      <c r="W661" t="s">
        <v>399</v>
      </c>
      <c r="Y661" t="s">
        <v>337</v>
      </c>
      <c r="AB661" t="s">
        <v>349</v>
      </c>
      <c r="AC661" t="s">
        <v>342</v>
      </c>
      <c r="AD661" s="34">
        <v>46.306741670000001</v>
      </c>
      <c r="AE661" s="34">
        <v>-84.060811670000007</v>
      </c>
      <c r="AF661" s="18">
        <v>40696.938888888886</v>
      </c>
      <c r="AG661" s="19">
        <v>40696.772222222222</v>
      </c>
      <c r="AH661" t="s">
        <v>161</v>
      </c>
      <c r="AL661" t="s">
        <v>335</v>
      </c>
      <c r="AM661" s="20">
        <v>40694</v>
      </c>
      <c r="AR661" s="39" t="s">
        <v>400</v>
      </c>
      <c r="AS661" s="39"/>
      <c r="AT661" s="39">
        <v>200</v>
      </c>
      <c r="AZ661" t="s">
        <v>108</v>
      </c>
      <c r="BC661" t="s">
        <v>336</v>
      </c>
    </row>
    <row r="662" spans="1:71" x14ac:dyDescent="0.25">
      <c r="A662" t="str">
        <f t="shared" si="10"/>
        <v>A69-9002-4769</v>
      </c>
      <c r="B662" t="s">
        <v>398</v>
      </c>
      <c r="C662" t="s">
        <v>324</v>
      </c>
      <c r="D662" t="s">
        <v>325</v>
      </c>
      <c r="F662">
        <v>4769</v>
      </c>
      <c r="G662" t="s">
        <v>326</v>
      </c>
      <c r="H662" t="s">
        <v>327</v>
      </c>
      <c r="I662" s="20">
        <v>40694</v>
      </c>
      <c r="J662">
        <v>80</v>
      </c>
      <c r="L662" t="s">
        <v>109</v>
      </c>
      <c r="M662" t="s">
        <v>328</v>
      </c>
      <c r="N662" t="s">
        <v>329</v>
      </c>
      <c r="O662" t="s">
        <v>330</v>
      </c>
      <c r="P662" t="s">
        <v>331</v>
      </c>
      <c r="U662">
        <v>0.52</v>
      </c>
      <c r="V662">
        <v>0.249</v>
      </c>
      <c r="W662" t="s">
        <v>399</v>
      </c>
      <c r="Y662" t="s">
        <v>337</v>
      </c>
      <c r="AB662" t="s">
        <v>349</v>
      </c>
      <c r="AC662" t="s">
        <v>342</v>
      </c>
      <c r="AD662" s="34">
        <v>46.306741670000001</v>
      </c>
      <c r="AE662" s="34">
        <v>-84.060811670000007</v>
      </c>
      <c r="AF662" s="18">
        <v>40696.938888888886</v>
      </c>
      <c r="AG662" s="19">
        <v>40696.772222222222</v>
      </c>
      <c r="AH662" t="s">
        <v>161</v>
      </c>
      <c r="AL662" t="s">
        <v>335</v>
      </c>
      <c r="AM662" s="20">
        <v>40694</v>
      </c>
      <c r="AR662" s="39" t="s">
        <v>400</v>
      </c>
      <c r="AS662" s="39"/>
      <c r="AT662" s="39">
        <v>200</v>
      </c>
      <c r="AZ662" t="s">
        <v>108</v>
      </c>
      <c r="BC662" t="s">
        <v>336</v>
      </c>
    </row>
    <row r="663" spans="1:71" x14ac:dyDescent="0.25">
      <c r="A663" t="str">
        <f t="shared" si="10"/>
        <v>A69-9002-4770</v>
      </c>
      <c r="B663" t="s">
        <v>398</v>
      </c>
      <c r="C663" t="s">
        <v>324</v>
      </c>
      <c r="D663" t="s">
        <v>325</v>
      </c>
      <c r="F663">
        <v>4770</v>
      </c>
      <c r="G663" t="s">
        <v>326</v>
      </c>
      <c r="H663" t="s">
        <v>327</v>
      </c>
      <c r="I663" s="20">
        <v>40694</v>
      </c>
      <c r="J663">
        <v>80</v>
      </c>
      <c r="L663" t="s">
        <v>109</v>
      </c>
      <c r="M663" t="s">
        <v>328</v>
      </c>
      <c r="N663" t="s">
        <v>329</v>
      </c>
      <c r="O663" t="s">
        <v>330</v>
      </c>
      <c r="P663" t="s">
        <v>331</v>
      </c>
      <c r="U663">
        <v>0.49</v>
      </c>
      <c r="V663">
        <v>0.24299999999999999</v>
      </c>
      <c r="W663" t="s">
        <v>399</v>
      </c>
      <c r="Y663" t="s">
        <v>337</v>
      </c>
      <c r="AB663" t="s">
        <v>349</v>
      </c>
      <c r="AC663" t="s">
        <v>342</v>
      </c>
      <c r="AD663" s="34">
        <v>46.306741670000001</v>
      </c>
      <c r="AE663" s="34">
        <v>-84.060811670000007</v>
      </c>
      <c r="AF663" s="18">
        <v>40696.938888888886</v>
      </c>
      <c r="AG663" s="19">
        <v>40696.772222222222</v>
      </c>
      <c r="AH663" t="s">
        <v>161</v>
      </c>
      <c r="AL663" t="s">
        <v>335</v>
      </c>
      <c r="AM663" s="20">
        <v>40694</v>
      </c>
      <c r="AR663" s="39" t="s">
        <v>400</v>
      </c>
      <c r="AS663" s="39"/>
      <c r="AT663" s="39">
        <v>200</v>
      </c>
      <c r="AZ663" t="s">
        <v>108</v>
      </c>
      <c r="BC663" t="s">
        <v>336</v>
      </c>
    </row>
    <row r="664" spans="1:71" x14ac:dyDescent="0.25">
      <c r="A664" t="str">
        <f t="shared" si="10"/>
        <v>A69-9002-4771</v>
      </c>
      <c r="B664" t="s">
        <v>398</v>
      </c>
      <c r="C664" t="s">
        <v>324</v>
      </c>
      <c r="D664" t="s">
        <v>325</v>
      </c>
      <c r="F664">
        <v>4771</v>
      </c>
      <c r="G664" t="s">
        <v>326</v>
      </c>
      <c r="H664" t="s">
        <v>327</v>
      </c>
      <c r="I664" s="20">
        <v>40694</v>
      </c>
      <c r="J664">
        <v>80</v>
      </c>
      <c r="L664" t="s">
        <v>109</v>
      </c>
      <c r="M664" t="s">
        <v>328</v>
      </c>
      <c r="N664" t="s">
        <v>329</v>
      </c>
      <c r="O664" t="s">
        <v>330</v>
      </c>
      <c r="P664" t="s">
        <v>331</v>
      </c>
      <c r="U664">
        <v>0.53</v>
      </c>
      <c r="V664">
        <v>0.36699999999999999</v>
      </c>
      <c r="W664" t="s">
        <v>399</v>
      </c>
      <c r="Y664" t="s">
        <v>337</v>
      </c>
      <c r="AB664" t="s">
        <v>349</v>
      </c>
      <c r="AC664" t="s">
        <v>342</v>
      </c>
      <c r="AD664" s="34">
        <v>46.306741670000001</v>
      </c>
      <c r="AE664" s="34">
        <v>-84.060811670000007</v>
      </c>
      <c r="AF664" s="18">
        <v>40696.938888888886</v>
      </c>
      <c r="AG664" s="19">
        <v>40696.772222222222</v>
      </c>
      <c r="AH664" t="s">
        <v>161</v>
      </c>
      <c r="AL664" t="s">
        <v>335</v>
      </c>
      <c r="AM664" s="20">
        <v>40694</v>
      </c>
      <c r="AR664" s="39" t="s">
        <v>400</v>
      </c>
      <c r="AS664" s="39"/>
      <c r="AT664" s="39">
        <v>200</v>
      </c>
      <c r="AZ664" t="s">
        <v>108</v>
      </c>
      <c r="BC664" t="s">
        <v>336</v>
      </c>
    </row>
    <row r="665" spans="1:71" x14ac:dyDescent="0.25">
      <c r="A665" t="str">
        <f t="shared" si="10"/>
        <v>A69-9002-4772</v>
      </c>
      <c r="B665" t="s">
        <v>398</v>
      </c>
      <c r="C665" t="s">
        <v>324</v>
      </c>
      <c r="D665" t="s">
        <v>325</v>
      </c>
      <c r="F665">
        <v>4772</v>
      </c>
      <c r="G665" t="s">
        <v>326</v>
      </c>
      <c r="H665" t="s">
        <v>327</v>
      </c>
      <c r="I665" s="20">
        <v>40694</v>
      </c>
      <c r="J665">
        <v>80</v>
      </c>
      <c r="L665" t="s">
        <v>109</v>
      </c>
      <c r="M665" t="s">
        <v>328</v>
      </c>
      <c r="N665" t="s">
        <v>329</v>
      </c>
      <c r="O665" t="s">
        <v>330</v>
      </c>
      <c r="P665" t="s">
        <v>331</v>
      </c>
      <c r="U665">
        <v>0.52</v>
      </c>
      <c r="V665">
        <v>0.245</v>
      </c>
      <c r="W665" t="s">
        <v>399</v>
      </c>
      <c r="Y665" t="s">
        <v>337</v>
      </c>
      <c r="AB665" t="s">
        <v>349</v>
      </c>
      <c r="AC665" t="s">
        <v>342</v>
      </c>
      <c r="AD665" s="34">
        <v>46.306741670000001</v>
      </c>
      <c r="AE665" s="34">
        <v>-84.060811670000007</v>
      </c>
      <c r="AF665" s="18">
        <v>40696.938888888886</v>
      </c>
      <c r="AG665" s="19">
        <v>40696.772222222222</v>
      </c>
      <c r="AH665" t="s">
        <v>161</v>
      </c>
      <c r="AL665" t="s">
        <v>335</v>
      </c>
      <c r="AM665" s="20">
        <v>40694</v>
      </c>
      <c r="AR665" s="39" t="s">
        <v>400</v>
      </c>
      <c r="AS665" s="39"/>
      <c r="AT665" s="39">
        <v>200</v>
      </c>
      <c r="AZ665" t="s">
        <v>108</v>
      </c>
      <c r="BC665" t="s">
        <v>336</v>
      </c>
    </row>
    <row r="666" spans="1:71" x14ac:dyDescent="0.25">
      <c r="A666" t="str">
        <f t="shared" si="10"/>
        <v>A69-9002-4773</v>
      </c>
      <c r="B666" t="s">
        <v>398</v>
      </c>
      <c r="C666" t="s">
        <v>324</v>
      </c>
      <c r="D666" t="s">
        <v>325</v>
      </c>
      <c r="F666">
        <v>4773</v>
      </c>
      <c r="G666" t="s">
        <v>326</v>
      </c>
      <c r="H666" t="s">
        <v>327</v>
      </c>
      <c r="I666" s="20">
        <v>40694</v>
      </c>
      <c r="J666">
        <v>80</v>
      </c>
      <c r="L666" t="s">
        <v>109</v>
      </c>
      <c r="M666" t="s">
        <v>328</v>
      </c>
      <c r="N666" t="s">
        <v>329</v>
      </c>
      <c r="O666" t="s">
        <v>330</v>
      </c>
      <c r="P666" t="s">
        <v>331</v>
      </c>
      <c r="U666">
        <v>0.54</v>
      </c>
      <c r="V666">
        <v>0.28000000000000003</v>
      </c>
      <c r="W666" t="s">
        <v>399</v>
      </c>
      <c r="Y666" t="s">
        <v>332</v>
      </c>
      <c r="AB666" t="s">
        <v>349</v>
      </c>
      <c r="AC666" t="s">
        <v>342</v>
      </c>
      <c r="AD666" s="34">
        <v>46.306741670000001</v>
      </c>
      <c r="AE666" s="34">
        <v>-84.060811670000007</v>
      </c>
      <c r="AF666" s="18">
        <v>40696.938888888886</v>
      </c>
      <c r="AG666" s="19">
        <v>40696.772222222222</v>
      </c>
      <c r="AH666" t="s">
        <v>161</v>
      </c>
      <c r="AL666" t="s">
        <v>335</v>
      </c>
      <c r="AM666" s="20">
        <v>40694</v>
      </c>
      <c r="AR666" s="39" t="s">
        <v>400</v>
      </c>
      <c r="AS666" s="39"/>
      <c r="AT666" s="39">
        <v>200</v>
      </c>
      <c r="AZ666" t="s">
        <v>108</v>
      </c>
      <c r="BC666" t="s">
        <v>336</v>
      </c>
    </row>
    <row r="667" spans="1:71" x14ac:dyDescent="0.25">
      <c r="A667" t="str">
        <f t="shared" si="10"/>
        <v>A69-9002-4774</v>
      </c>
      <c r="B667" t="s">
        <v>398</v>
      </c>
      <c r="C667" t="s">
        <v>324</v>
      </c>
      <c r="D667" t="s">
        <v>325</v>
      </c>
      <c r="F667">
        <v>4774</v>
      </c>
      <c r="G667" t="s">
        <v>326</v>
      </c>
      <c r="H667" t="s">
        <v>327</v>
      </c>
      <c r="I667" s="20">
        <v>40694</v>
      </c>
      <c r="J667">
        <v>80</v>
      </c>
      <c r="L667" t="s">
        <v>109</v>
      </c>
      <c r="M667" t="s">
        <v>328</v>
      </c>
      <c r="N667" t="s">
        <v>329</v>
      </c>
      <c r="O667" t="s">
        <v>330</v>
      </c>
      <c r="P667" t="s">
        <v>331</v>
      </c>
      <c r="U667">
        <v>0.49</v>
      </c>
      <c r="V667">
        <v>0.23100000000000001</v>
      </c>
      <c r="W667" t="s">
        <v>399</v>
      </c>
      <c r="Y667" t="s">
        <v>337</v>
      </c>
      <c r="AB667" t="s">
        <v>349</v>
      </c>
      <c r="AC667" t="s">
        <v>342</v>
      </c>
      <c r="AD667" s="34">
        <v>46.306741670000001</v>
      </c>
      <c r="AE667" s="34">
        <v>-84.060811670000007</v>
      </c>
      <c r="AF667" s="18">
        <v>40696.938888888886</v>
      </c>
      <c r="AG667" s="19">
        <v>40696.772222222222</v>
      </c>
      <c r="AH667" t="s">
        <v>161</v>
      </c>
      <c r="AL667" t="s">
        <v>335</v>
      </c>
      <c r="AM667" s="20">
        <v>40694</v>
      </c>
      <c r="AR667" s="39" t="s">
        <v>400</v>
      </c>
      <c r="AS667" s="39"/>
      <c r="AT667" s="39">
        <v>200</v>
      </c>
      <c r="AZ667" t="s">
        <v>108</v>
      </c>
      <c r="BC667" t="s">
        <v>163</v>
      </c>
      <c r="BD667" s="20">
        <v>40707</v>
      </c>
      <c r="BF667" s="21" t="s">
        <v>406</v>
      </c>
      <c r="BG667" s="38" t="s">
        <v>123</v>
      </c>
      <c r="BH667" s="1" t="s">
        <v>418</v>
      </c>
      <c r="BI667" s="39">
        <v>46.574117000000001</v>
      </c>
      <c r="BJ667" s="39">
        <v>-83.935387000000006</v>
      </c>
      <c r="BK667" s="1" t="s">
        <v>404</v>
      </c>
      <c r="BL667" s="1" t="s">
        <v>163</v>
      </c>
      <c r="BM667" s="1" t="s">
        <v>163</v>
      </c>
      <c r="BN667" s="1" t="s">
        <v>420</v>
      </c>
      <c r="BO667" s="39">
        <v>17791</v>
      </c>
      <c r="BP667" s="39">
        <v>17793</v>
      </c>
      <c r="BQ667" s="39" t="s">
        <v>337</v>
      </c>
      <c r="BR667" s="39">
        <v>473</v>
      </c>
      <c r="BS667" s="39">
        <v>226</v>
      </c>
    </row>
    <row r="668" spans="1:71" x14ac:dyDescent="0.25">
      <c r="A668" t="str">
        <f t="shared" si="10"/>
        <v>A69-9002-4775</v>
      </c>
      <c r="B668" t="s">
        <v>398</v>
      </c>
      <c r="C668" t="s">
        <v>324</v>
      </c>
      <c r="D668" t="s">
        <v>325</v>
      </c>
      <c r="F668">
        <v>4775</v>
      </c>
      <c r="G668" t="s">
        <v>326</v>
      </c>
      <c r="H668" t="s">
        <v>327</v>
      </c>
      <c r="I668" s="20">
        <v>40694</v>
      </c>
      <c r="J668">
        <v>80</v>
      </c>
      <c r="L668" t="s">
        <v>109</v>
      </c>
      <c r="M668" t="s">
        <v>328</v>
      </c>
      <c r="N668" t="s">
        <v>329</v>
      </c>
      <c r="O668" t="s">
        <v>330</v>
      </c>
      <c r="P668" t="s">
        <v>331</v>
      </c>
      <c r="U668">
        <v>0.49</v>
      </c>
      <c r="V668">
        <v>0.249</v>
      </c>
      <c r="W668" t="s">
        <v>399</v>
      </c>
      <c r="Y668" t="s">
        <v>337</v>
      </c>
      <c r="AB668" t="s">
        <v>349</v>
      </c>
      <c r="AC668" t="s">
        <v>342</v>
      </c>
      <c r="AD668" s="34">
        <v>46.306741670000001</v>
      </c>
      <c r="AE668" s="34">
        <v>-84.060811670000007</v>
      </c>
      <c r="AF668" s="18">
        <v>40696.938888888886</v>
      </c>
      <c r="AG668" s="19">
        <v>40696.772222222222</v>
      </c>
      <c r="AH668" t="s">
        <v>161</v>
      </c>
      <c r="AL668" t="s">
        <v>335</v>
      </c>
      <c r="AM668" s="20">
        <v>40694</v>
      </c>
      <c r="AR668" s="39" t="s">
        <v>400</v>
      </c>
      <c r="AS668" s="39"/>
      <c r="AT668" s="39">
        <v>200</v>
      </c>
      <c r="AZ668" t="s">
        <v>108</v>
      </c>
      <c r="BC668" t="s">
        <v>336</v>
      </c>
    </row>
    <row r="669" spans="1:71" x14ac:dyDescent="0.25">
      <c r="A669" t="str">
        <f t="shared" si="10"/>
        <v>A69-9002-4776</v>
      </c>
      <c r="B669" t="s">
        <v>398</v>
      </c>
      <c r="C669" t="s">
        <v>324</v>
      </c>
      <c r="D669" t="s">
        <v>325</v>
      </c>
      <c r="F669">
        <v>4776</v>
      </c>
      <c r="G669" t="s">
        <v>326</v>
      </c>
      <c r="H669" t="s">
        <v>327</v>
      </c>
      <c r="I669" s="20">
        <v>40694</v>
      </c>
      <c r="J669">
        <v>80</v>
      </c>
      <c r="L669" t="s">
        <v>109</v>
      </c>
      <c r="M669" t="s">
        <v>328</v>
      </c>
      <c r="N669" t="s">
        <v>329</v>
      </c>
      <c r="O669" t="s">
        <v>330</v>
      </c>
      <c r="P669" t="s">
        <v>331</v>
      </c>
      <c r="U669">
        <v>0.48</v>
      </c>
      <c r="V669">
        <v>0.23100000000000001</v>
      </c>
      <c r="W669" t="s">
        <v>399</v>
      </c>
      <c r="Y669" t="s">
        <v>337</v>
      </c>
      <c r="AB669" t="s">
        <v>349</v>
      </c>
      <c r="AC669" t="s">
        <v>342</v>
      </c>
      <c r="AD669" s="34">
        <v>46.306741670000001</v>
      </c>
      <c r="AE669" s="34">
        <v>-84.060811670000007</v>
      </c>
      <c r="AF669" s="18">
        <v>40696.938888888886</v>
      </c>
      <c r="AG669" s="19">
        <v>40696.772222222222</v>
      </c>
      <c r="AH669" t="s">
        <v>161</v>
      </c>
      <c r="AL669" t="s">
        <v>335</v>
      </c>
      <c r="AM669" s="20">
        <v>40694</v>
      </c>
      <c r="AR669" s="39" t="s">
        <v>400</v>
      </c>
      <c r="AS669" s="39"/>
      <c r="AT669" s="39">
        <v>200</v>
      </c>
      <c r="AZ669" t="s">
        <v>108</v>
      </c>
      <c r="BC669" t="s">
        <v>336</v>
      </c>
    </row>
    <row r="670" spans="1:71" x14ac:dyDescent="0.25">
      <c r="A670" t="str">
        <f t="shared" si="10"/>
        <v>A69-9002-4777</v>
      </c>
      <c r="B670" t="s">
        <v>398</v>
      </c>
      <c r="C670" t="s">
        <v>324</v>
      </c>
      <c r="D670" t="s">
        <v>325</v>
      </c>
      <c r="F670">
        <v>4777</v>
      </c>
      <c r="G670" t="s">
        <v>326</v>
      </c>
      <c r="H670" t="s">
        <v>327</v>
      </c>
      <c r="I670" s="20">
        <v>40694</v>
      </c>
      <c r="J670">
        <v>80</v>
      </c>
      <c r="L670" t="s">
        <v>109</v>
      </c>
      <c r="M670" t="s">
        <v>328</v>
      </c>
      <c r="N670" t="s">
        <v>329</v>
      </c>
      <c r="O670" t="s">
        <v>330</v>
      </c>
      <c r="P670" t="s">
        <v>331</v>
      </c>
      <c r="U670">
        <v>0.49</v>
      </c>
      <c r="V670">
        <v>0.247</v>
      </c>
      <c r="W670" t="s">
        <v>399</v>
      </c>
      <c r="Y670" t="s">
        <v>337</v>
      </c>
      <c r="AB670" t="s">
        <v>349</v>
      </c>
      <c r="AC670" t="s">
        <v>342</v>
      </c>
      <c r="AD670" s="34">
        <v>46.306741670000001</v>
      </c>
      <c r="AE670" s="34">
        <v>-84.060811670000007</v>
      </c>
      <c r="AF670" s="18">
        <v>40696.938888888886</v>
      </c>
      <c r="AG670" s="19">
        <v>40696.772222222222</v>
      </c>
      <c r="AH670" t="s">
        <v>161</v>
      </c>
      <c r="AL670" t="s">
        <v>335</v>
      </c>
      <c r="AM670" s="20">
        <v>40694</v>
      </c>
      <c r="AR670" s="39" t="s">
        <v>400</v>
      </c>
      <c r="AS670" s="39"/>
      <c r="AT670" s="39">
        <v>200</v>
      </c>
      <c r="AZ670" t="s">
        <v>108</v>
      </c>
      <c r="BC670" t="s">
        <v>336</v>
      </c>
    </row>
    <row r="671" spans="1:71" x14ac:dyDescent="0.25">
      <c r="A671" t="str">
        <f t="shared" si="10"/>
        <v>A69-9002-4778</v>
      </c>
      <c r="B671" t="s">
        <v>398</v>
      </c>
      <c r="C671" t="s">
        <v>324</v>
      </c>
      <c r="D671" t="s">
        <v>325</v>
      </c>
      <c r="F671">
        <v>4778</v>
      </c>
      <c r="G671" t="s">
        <v>326</v>
      </c>
      <c r="H671" t="s">
        <v>327</v>
      </c>
      <c r="I671" s="20">
        <v>40694</v>
      </c>
      <c r="J671">
        <v>80</v>
      </c>
      <c r="L671" t="s">
        <v>109</v>
      </c>
      <c r="M671" t="s">
        <v>328</v>
      </c>
      <c r="N671" t="s">
        <v>329</v>
      </c>
      <c r="O671" t="s">
        <v>330</v>
      </c>
      <c r="P671" t="s">
        <v>331</v>
      </c>
      <c r="U671">
        <v>0.48</v>
      </c>
      <c r="V671">
        <v>0.252</v>
      </c>
      <c r="W671" t="s">
        <v>399</v>
      </c>
      <c r="Y671" t="s">
        <v>337</v>
      </c>
      <c r="AB671" t="s">
        <v>349</v>
      </c>
      <c r="AC671" t="s">
        <v>342</v>
      </c>
      <c r="AD671" s="34">
        <v>46.306741670000001</v>
      </c>
      <c r="AE671" s="34">
        <v>-84.060811670000007</v>
      </c>
      <c r="AF671" s="18">
        <v>40696.938888888886</v>
      </c>
      <c r="AG671" s="19">
        <v>40696.772222222222</v>
      </c>
      <c r="AH671" t="s">
        <v>161</v>
      </c>
      <c r="AL671" t="s">
        <v>335</v>
      </c>
      <c r="AM671" s="20">
        <v>40694</v>
      </c>
      <c r="AR671" s="39" t="s">
        <v>400</v>
      </c>
      <c r="AS671" s="39"/>
      <c r="AT671" s="39">
        <v>200</v>
      </c>
      <c r="AZ671" t="s">
        <v>108</v>
      </c>
      <c r="BC671" t="s">
        <v>336</v>
      </c>
    </row>
    <row r="672" spans="1:71" x14ac:dyDescent="0.25">
      <c r="A672" t="str">
        <f t="shared" si="10"/>
        <v>A69-9002-4779</v>
      </c>
      <c r="B672" t="s">
        <v>398</v>
      </c>
      <c r="C672" t="s">
        <v>324</v>
      </c>
      <c r="D672" t="s">
        <v>325</v>
      </c>
      <c r="F672">
        <v>4779</v>
      </c>
      <c r="G672" t="s">
        <v>326</v>
      </c>
      <c r="H672" t="s">
        <v>327</v>
      </c>
      <c r="I672" s="20">
        <v>40694</v>
      </c>
      <c r="J672">
        <v>80</v>
      </c>
      <c r="L672" t="s">
        <v>109</v>
      </c>
      <c r="M672" t="s">
        <v>328</v>
      </c>
      <c r="N672" t="s">
        <v>329</v>
      </c>
      <c r="O672" t="s">
        <v>330</v>
      </c>
      <c r="P672" t="s">
        <v>331</v>
      </c>
      <c r="U672">
        <v>0.55000000000000004</v>
      </c>
      <c r="V672">
        <v>0.34100000000000003</v>
      </c>
      <c r="W672" t="s">
        <v>399</v>
      </c>
      <c r="Y672" t="s">
        <v>337</v>
      </c>
      <c r="AB672" t="s">
        <v>349</v>
      </c>
      <c r="AC672" t="s">
        <v>342</v>
      </c>
      <c r="AD672" s="34">
        <v>46.306741670000001</v>
      </c>
      <c r="AE672" s="34">
        <v>-84.060811670000007</v>
      </c>
      <c r="AF672" s="18">
        <v>40696.938888888886</v>
      </c>
      <c r="AG672" s="19">
        <v>40696.772222222222</v>
      </c>
      <c r="AH672" t="s">
        <v>161</v>
      </c>
      <c r="AL672" t="s">
        <v>335</v>
      </c>
      <c r="AM672" s="20">
        <v>40694</v>
      </c>
      <c r="AR672" s="39" t="s">
        <v>400</v>
      </c>
      <c r="AS672" s="39"/>
      <c r="AT672" s="39">
        <v>200</v>
      </c>
      <c r="AZ672" t="s">
        <v>108</v>
      </c>
      <c r="BC672" t="s">
        <v>336</v>
      </c>
    </row>
    <row r="673" spans="1:71" x14ac:dyDescent="0.25">
      <c r="A673" t="str">
        <f t="shared" si="10"/>
        <v>A69-9002-4780</v>
      </c>
      <c r="B673" t="s">
        <v>398</v>
      </c>
      <c r="C673" t="s">
        <v>324</v>
      </c>
      <c r="D673" t="s">
        <v>325</v>
      </c>
      <c r="F673">
        <v>4780</v>
      </c>
      <c r="G673" t="s">
        <v>326</v>
      </c>
      <c r="H673" t="s">
        <v>327</v>
      </c>
      <c r="I673" s="20">
        <v>40694</v>
      </c>
      <c r="J673">
        <v>80</v>
      </c>
      <c r="L673" t="s">
        <v>109</v>
      </c>
      <c r="M673" t="s">
        <v>328</v>
      </c>
      <c r="N673" t="s">
        <v>329</v>
      </c>
      <c r="O673" t="s">
        <v>330</v>
      </c>
      <c r="P673" t="s">
        <v>331</v>
      </c>
      <c r="U673">
        <v>0.46</v>
      </c>
      <c r="V673">
        <v>0.20899999999999999</v>
      </c>
      <c r="W673" t="s">
        <v>399</v>
      </c>
      <c r="Y673" t="s">
        <v>337</v>
      </c>
      <c r="AB673" t="s">
        <v>349</v>
      </c>
      <c r="AC673" t="s">
        <v>342</v>
      </c>
      <c r="AD673" s="34">
        <v>46.306741670000001</v>
      </c>
      <c r="AE673" s="34">
        <v>-84.060811670000007</v>
      </c>
      <c r="AF673" s="18">
        <v>40696.938888888886</v>
      </c>
      <c r="AG673" s="19">
        <v>40696.772222222222</v>
      </c>
      <c r="AH673" t="s">
        <v>161</v>
      </c>
      <c r="AL673" t="s">
        <v>335</v>
      </c>
      <c r="AM673" s="20">
        <v>40694</v>
      </c>
      <c r="AR673" s="39" t="s">
        <v>400</v>
      </c>
      <c r="AS673" s="39"/>
      <c r="AT673" s="39">
        <v>200</v>
      </c>
      <c r="AZ673" t="s">
        <v>108</v>
      </c>
      <c r="BC673" t="s">
        <v>336</v>
      </c>
    </row>
    <row r="674" spans="1:71" x14ac:dyDescent="0.25">
      <c r="A674" t="str">
        <f t="shared" si="10"/>
        <v>A69-9002-4781</v>
      </c>
      <c r="B674" t="s">
        <v>398</v>
      </c>
      <c r="C674" t="s">
        <v>324</v>
      </c>
      <c r="D674" t="s">
        <v>325</v>
      </c>
      <c r="F674">
        <v>4781</v>
      </c>
      <c r="G674" t="s">
        <v>326</v>
      </c>
      <c r="H674" t="s">
        <v>327</v>
      </c>
      <c r="I674" s="20">
        <v>40694</v>
      </c>
      <c r="J674">
        <v>80</v>
      </c>
      <c r="L674" t="s">
        <v>109</v>
      </c>
      <c r="M674" t="s">
        <v>328</v>
      </c>
      <c r="N674" t="s">
        <v>329</v>
      </c>
      <c r="O674" t="s">
        <v>330</v>
      </c>
      <c r="P674" t="s">
        <v>331</v>
      </c>
      <c r="U674">
        <v>0.54</v>
      </c>
      <c r="V674">
        <v>0.28399999999999997</v>
      </c>
      <c r="W674" t="s">
        <v>399</v>
      </c>
      <c r="Y674" t="s">
        <v>337</v>
      </c>
      <c r="AB674" t="s">
        <v>349</v>
      </c>
      <c r="AC674" t="s">
        <v>342</v>
      </c>
      <c r="AD674" s="34">
        <v>46.306741670000001</v>
      </c>
      <c r="AE674" s="34">
        <v>-84.060811670000007</v>
      </c>
      <c r="AF674" s="18">
        <v>40696.938888888886</v>
      </c>
      <c r="AG674" s="19">
        <v>40696.772222222222</v>
      </c>
      <c r="AH674" t="s">
        <v>161</v>
      </c>
      <c r="AL674" t="s">
        <v>335</v>
      </c>
      <c r="AM674" s="20">
        <v>40694</v>
      </c>
      <c r="AR674" s="39" t="s">
        <v>400</v>
      </c>
      <c r="AS674" s="39"/>
      <c r="AT674" s="39">
        <v>200</v>
      </c>
      <c r="AZ674" t="s">
        <v>108</v>
      </c>
      <c r="BC674" t="s">
        <v>336</v>
      </c>
    </row>
    <row r="675" spans="1:71" x14ac:dyDescent="0.25">
      <c r="A675" t="str">
        <f t="shared" si="10"/>
        <v>A69-9002-4782</v>
      </c>
      <c r="B675" t="s">
        <v>398</v>
      </c>
      <c r="C675" t="s">
        <v>324</v>
      </c>
      <c r="D675" t="s">
        <v>325</v>
      </c>
      <c r="F675">
        <v>4782</v>
      </c>
      <c r="G675" t="s">
        <v>326</v>
      </c>
      <c r="H675" t="s">
        <v>327</v>
      </c>
      <c r="I675" s="20">
        <v>40679</v>
      </c>
      <c r="J675">
        <v>80</v>
      </c>
      <c r="L675" t="s">
        <v>109</v>
      </c>
      <c r="M675" t="s">
        <v>328</v>
      </c>
      <c r="N675" t="s">
        <v>329</v>
      </c>
      <c r="O675" t="s">
        <v>330</v>
      </c>
      <c r="P675" t="s">
        <v>331</v>
      </c>
      <c r="U675">
        <v>0.47</v>
      </c>
      <c r="V675">
        <v>0.24299999999999999</v>
      </c>
      <c r="W675" t="s">
        <v>399</v>
      </c>
      <c r="Y675" t="s">
        <v>337</v>
      </c>
      <c r="AB675" t="s">
        <v>341</v>
      </c>
      <c r="AC675" t="s">
        <v>342</v>
      </c>
      <c r="AD675" s="34">
        <v>46.306796669999997</v>
      </c>
      <c r="AE675" s="34">
        <v>-84.061593329999994</v>
      </c>
      <c r="AF675" s="18">
        <v>40682.027777777781</v>
      </c>
      <c r="AG675" s="19">
        <v>40681.861111111109</v>
      </c>
      <c r="AH675" t="s">
        <v>161</v>
      </c>
      <c r="AL675" t="s">
        <v>335</v>
      </c>
      <c r="AM675" s="20">
        <v>40679</v>
      </c>
      <c r="AR675" s="39" t="s">
        <v>400</v>
      </c>
      <c r="AS675" s="39"/>
      <c r="AT675" s="39">
        <v>200</v>
      </c>
      <c r="AZ675" t="s">
        <v>108</v>
      </c>
      <c r="BC675" t="s">
        <v>336</v>
      </c>
    </row>
    <row r="676" spans="1:71" x14ac:dyDescent="0.25">
      <c r="A676" t="str">
        <f t="shared" si="10"/>
        <v>A69-9002-4783</v>
      </c>
      <c r="B676" t="s">
        <v>398</v>
      </c>
      <c r="C676" t="s">
        <v>324</v>
      </c>
      <c r="D676" t="s">
        <v>325</v>
      </c>
      <c r="F676">
        <v>4783</v>
      </c>
      <c r="G676" t="s">
        <v>326</v>
      </c>
      <c r="H676" t="s">
        <v>327</v>
      </c>
      <c r="I676" s="20">
        <v>40679</v>
      </c>
      <c r="J676">
        <v>80</v>
      </c>
      <c r="L676" t="s">
        <v>109</v>
      </c>
      <c r="M676" t="s">
        <v>328</v>
      </c>
      <c r="N676" t="s">
        <v>329</v>
      </c>
      <c r="O676" t="s">
        <v>330</v>
      </c>
      <c r="P676" t="s">
        <v>331</v>
      </c>
      <c r="U676">
        <v>0.48</v>
      </c>
      <c r="V676">
        <v>0.20599999999999999</v>
      </c>
      <c r="W676" t="s">
        <v>399</v>
      </c>
      <c r="Y676" t="s">
        <v>332</v>
      </c>
      <c r="AB676" t="s">
        <v>341</v>
      </c>
      <c r="AC676" t="s">
        <v>342</v>
      </c>
      <c r="AD676" s="34">
        <v>46.306796669999997</v>
      </c>
      <c r="AE676" s="34">
        <v>-84.061593329999994</v>
      </c>
      <c r="AF676" s="18">
        <v>40682.027777777781</v>
      </c>
      <c r="AG676" s="19">
        <v>40681.861111111109</v>
      </c>
      <c r="AH676" t="s">
        <v>161</v>
      </c>
      <c r="AL676" t="s">
        <v>335</v>
      </c>
      <c r="AM676" s="20">
        <v>40679</v>
      </c>
      <c r="AR676" s="39" t="s">
        <v>400</v>
      </c>
      <c r="AS676" s="39"/>
      <c r="AT676" s="39">
        <v>200</v>
      </c>
      <c r="AZ676" t="s">
        <v>108</v>
      </c>
      <c r="BC676" t="s">
        <v>336</v>
      </c>
    </row>
    <row r="677" spans="1:71" x14ac:dyDescent="0.25">
      <c r="A677" t="str">
        <f t="shared" si="10"/>
        <v>A69-9002-4784</v>
      </c>
      <c r="B677" t="s">
        <v>398</v>
      </c>
      <c r="C677" t="s">
        <v>324</v>
      </c>
      <c r="D677" t="s">
        <v>325</v>
      </c>
      <c r="F677">
        <v>4784</v>
      </c>
      <c r="G677" t="s">
        <v>326</v>
      </c>
      <c r="H677" t="s">
        <v>327</v>
      </c>
      <c r="I677" s="20">
        <v>40679</v>
      </c>
      <c r="J677">
        <v>80</v>
      </c>
      <c r="L677" t="s">
        <v>109</v>
      </c>
      <c r="M677" t="s">
        <v>328</v>
      </c>
      <c r="N677" t="s">
        <v>329</v>
      </c>
      <c r="O677" t="s">
        <v>330</v>
      </c>
      <c r="P677" t="s">
        <v>331</v>
      </c>
      <c r="U677">
        <v>0.49</v>
      </c>
      <c r="V677">
        <v>0.254</v>
      </c>
      <c r="W677" t="s">
        <v>399</v>
      </c>
      <c r="Y677" t="s">
        <v>332</v>
      </c>
      <c r="AB677" t="s">
        <v>341</v>
      </c>
      <c r="AC677" t="s">
        <v>342</v>
      </c>
      <c r="AD677" s="34">
        <v>46.306796669999997</v>
      </c>
      <c r="AE677" s="34">
        <v>-84.061593329999994</v>
      </c>
      <c r="AF677" s="18">
        <v>40682.027777777781</v>
      </c>
      <c r="AG677" s="19">
        <v>40681.861111111109</v>
      </c>
      <c r="AH677" t="s">
        <v>161</v>
      </c>
      <c r="AL677" t="s">
        <v>335</v>
      </c>
      <c r="AM677" s="20">
        <v>40679</v>
      </c>
      <c r="AR677" s="39" t="s">
        <v>400</v>
      </c>
      <c r="AS677" s="39"/>
      <c r="AT677" s="39">
        <v>200</v>
      </c>
      <c r="AZ677" t="s">
        <v>108</v>
      </c>
      <c r="BC677" t="s">
        <v>336</v>
      </c>
    </row>
    <row r="678" spans="1:71" x14ac:dyDescent="0.25">
      <c r="A678" t="str">
        <f t="shared" si="10"/>
        <v>A69-9002-4785</v>
      </c>
      <c r="B678" t="s">
        <v>398</v>
      </c>
      <c r="C678" t="s">
        <v>324</v>
      </c>
      <c r="D678" t="s">
        <v>325</v>
      </c>
      <c r="F678">
        <v>4785</v>
      </c>
      <c r="G678" t="s">
        <v>326</v>
      </c>
      <c r="H678" t="s">
        <v>327</v>
      </c>
      <c r="I678" s="20">
        <v>40679</v>
      </c>
      <c r="J678">
        <v>80</v>
      </c>
      <c r="L678" t="s">
        <v>109</v>
      </c>
      <c r="M678" t="s">
        <v>328</v>
      </c>
      <c r="N678" t="s">
        <v>329</v>
      </c>
      <c r="O678" t="s">
        <v>330</v>
      </c>
      <c r="P678" t="s">
        <v>331</v>
      </c>
      <c r="U678">
        <v>0.53</v>
      </c>
      <c r="V678">
        <v>0.308</v>
      </c>
      <c r="W678" t="s">
        <v>399</v>
      </c>
      <c r="Y678" t="s">
        <v>332</v>
      </c>
      <c r="AB678" t="s">
        <v>341</v>
      </c>
      <c r="AC678" t="s">
        <v>342</v>
      </c>
      <c r="AD678" s="34">
        <v>46.306796669999997</v>
      </c>
      <c r="AE678" s="34">
        <v>-84.061593329999994</v>
      </c>
      <c r="AF678" s="18">
        <v>40682.027777777781</v>
      </c>
      <c r="AG678" s="19">
        <v>40681.861111111109</v>
      </c>
      <c r="AH678" t="s">
        <v>161</v>
      </c>
      <c r="AL678" t="s">
        <v>335</v>
      </c>
      <c r="AM678" s="20">
        <v>40679</v>
      </c>
      <c r="AR678" s="39" t="s">
        <v>400</v>
      </c>
      <c r="AS678" s="39"/>
      <c r="AT678" s="39">
        <v>200</v>
      </c>
      <c r="AZ678" t="s">
        <v>108</v>
      </c>
      <c r="BC678" t="s">
        <v>336</v>
      </c>
    </row>
    <row r="679" spans="1:71" x14ac:dyDescent="0.25">
      <c r="A679" t="str">
        <f t="shared" si="10"/>
        <v>A69-9002-4786</v>
      </c>
      <c r="B679" t="s">
        <v>398</v>
      </c>
      <c r="C679" t="s">
        <v>324</v>
      </c>
      <c r="D679" t="s">
        <v>325</v>
      </c>
      <c r="F679">
        <v>4786</v>
      </c>
      <c r="G679" t="s">
        <v>326</v>
      </c>
      <c r="H679" t="s">
        <v>327</v>
      </c>
      <c r="I679" s="20">
        <v>40679</v>
      </c>
      <c r="J679">
        <v>80</v>
      </c>
      <c r="L679" t="s">
        <v>109</v>
      </c>
      <c r="M679" t="s">
        <v>328</v>
      </c>
      <c r="N679" t="s">
        <v>329</v>
      </c>
      <c r="O679" t="s">
        <v>330</v>
      </c>
      <c r="P679" t="s">
        <v>331</v>
      </c>
      <c r="U679">
        <v>0.47</v>
      </c>
      <c r="V679">
        <v>0.22600000000000001</v>
      </c>
      <c r="W679" t="s">
        <v>399</v>
      </c>
      <c r="Y679" t="s">
        <v>332</v>
      </c>
      <c r="AB679" t="s">
        <v>341</v>
      </c>
      <c r="AC679" t="s">
        <v>342</v>
      </c>
      <c r="AD679" s="34">
        <v>46.306796669999997</v>
      </c>
      <c r="AE679" s="34">
        <v>-84.061593329999994</v>
      </c>
      <c r="AF679" s="18">
        <v>40682.027777777781</v>
      </c>
      <c r="AG679" s="19">
        <v>40681.861111111109</v>
      </c>
      <c r="AH679" t="s">
        <v>161</v>
      </c>
      <c r="AL679" t="s">
        <v>335</v>
      </c>
      <c r="AM679" s="20">
        <v>40679</v>
      </c>
      <c r="AR679" s="39" t="s">
        <v>400</v>
      </c>
      <c r="AS679" s="39"/>
      <c r="AT679" s="39">
        <v>200</v>
      </c>
      <c r="AZ679" t="s">
        <v>108</v>
      </c>
      <c r="BC679" t="s">
        <v>336</v>
      </c>
    </row>
    <row r="680" spans="1:71" x14ac:dyDescent="0.25">
      <c r="A680" t="str">
        <f t="shared" si="10"/>
        <v>A69-9002-4787</v>
      </c>
      <c r="B680" t="s">
        <v>398</v>
      </c>
      <c r="C680" t="s">
        <v>324</v>
      </c>
      <c r="D680" t="s">
        <v>325</v>
      </c>
      <c r="F680">
        <v>4787</v>
      </c>
      <c r="G680" t="s">
        <v>326</v>
      </c>
      <c r="H680" t="s">
        <v>327</v>
      </c>
      <c r="I680" s="20">
        <v>40679</v>
      </c>
      <c r="J680">
        <v>80</v>
      </c>
      <c r="L680" t="s">
        <v>109</v>
      </c>
      <c r="M680" t="s">
        <v>328</v>
      </c>
      <c r="N680" t="s">
        <v>329</v>
      </c>
      <c r="O680" t="s">
        <v>330</v>
      </c>
      <c r="P680" t="s">
        <v>331</v>
      </c>
      <c r="U680">
        <v>0.56000000000000005</v>
      </c>
      <c r="V680">
        <v>0.35199999999999998</v>
      </c>
      <c r="W680" t="s">
        <v>399</v>
      </c>
      <c r="Y680" t="s">
        <v>332</v>
      </c>
      <c r="AB680" t="s">
        <v>341</v>
      </c>
      <c r="AC680" t="s">
        <v>342</v>
      </c>
      <c r="AD680" s="34">
        <v>46.306796669999997</v>
      </c>
      <c r="AE680" s="34">
        <v>-84.061593329999994</v>
      </c>
      <c r="AF680" s="18">
        <v>40682.027777777781</v>
      </c>
      <c r="AG680" s="19">
        <v>40681.861111111109</v>
      </c>
      <c r="AH680" t="s">
        <v>161</v>
      </c>
      <c r="AL680" t="s">
        <v>335</v>
      </c>
      <c r="AM680" s="20">
        <v>40679</v>
      </c>
      <c r="AR680" s="39" t="s">
        <v>400</v>
      </c>
      <c r="AS680" s="39"/>
      <c r="AT680" s="39">
        <v>200</v>
      </c>
      <c r="AZ680" t="s">
        <v>108</v>
      </c>
      <c r="BC680" t="s">
        <v>336</v>
      </c>
    </row>
    <row r="681" spans="1:71" x14ac:dyDescent="0.25">
      <c r="A681" t="str">
        <f t="shared" si="10"/>
        <v>A69-9002-4788</v>
      </c>
      <c r="B681" t="s">
        <v>398</v>
      </c>
      <c r="C681" t="s">
        <v>324</v>
      </c>
      <c r="D681" t="s">
        <v>325</v>
      </c>
      <c r="F681">
        <v>4788</v>
      </c>
      <c r="G681" t="s">
        <v>326</v>
      </c>
      <c r="H681" t="s">
        <v>327</v>
      </c>
      <c r="I681" s="20">
        <v>40679</v>
      </c>
      <c r="J681">
        <v>80</v>
      </c>
      <c r="L681" t="s">
        <v>109</v>
      </c>
      <c r="M681" t="s">
        <v>328</v>
      </c>
      <c r="N681" t="s">
        <v>329</v>
      </c>
      <c r="O681" t="s">
        <v>330</v>
      </c>
      <c r="P681" t="s">
        <v>331</v>
      </c>
      <c r="U681">
        <v>0.48</v>
      </c>
      <c r="V681">
        <v>0.22600000000000001</v>
      </c>
      <c r="W681" t="s">
        <v>399</v>
      </c>
      <c r="Y681" t="s">
        <v>332</v>
      </c>
      <c r="AB681" t="s">
        <v>341</v>
      </c>
      <c r="AC681" t="s">
        <v>342</v>
      </c>
      <c r="AD681" s="34">
        <v>46.306796669999997</v>
      </c>
      <c r="AE681" s="34">
        <v>-84.061593329999994</v>
      </c>
      <c r="AF681" s="18">
        <v>40682.027777777781</v>
      </c>
      <c r="AG681" s="19">
        <v>40681.861111111109</v>
      </c>
      <c r="AH681" t="s">
        <v>161</v>
      </c>
      <c r="AL681" t="s">
        <v>335</v>
      </c>
      <c r="AM681" s="20">
        <v>40679</v>
      </c>
      <c r="AR681" s="39" t="s">
        <v>400</v>
      </c>
      <c r="AS681" s="39"/>
      <c r="AT681" s="39">
        <v>200</v>
      </c>
      <c r="AZ681" t="s">
        <v>108</v>
      </c>
      <c r="BC681" t="s">
        <v>336</v>
      </c>
    </row>
    <row r="682" spans="1:71" x14ac:dyDescent="0.25">
      <c r="A682" t="str">
        <f t="shared" si="10"/>
        <v>A69-9002-4789</v>
      </c>
      <c r="B682" t="s">
        <v>398</v>
      </c>
      <c r="C682" t="s">
        <v>324</v>
      </c>
      <c r="D682" t="s">
        <v>325</v>
      </c>
      <c r="F682">
        <v>4789</v>
      </c>
      <c r="G682" t="s">
        <v>326</v>
      </c>
      <c r="H682" t="s">
        <v>327</v>
      </c>
      <c r="I682" s="20">
        <v>40679</v>
      </c>
      <c r="J682">
        <v>80</v>
      </c>
      <c r="L682" t="s">
        <v>109</v>
      </c>
      <c r="M682" t="s">
        <v>328</v>
      </c>
      <c r="N682" t="s">
        <v>329</v>
      </c>
      <c r="O682" t="s">
        <v>330</v>
      </c>
      <c r="P682" t="s">
        <v>331</v>
      </c>
      <c r="U682">
        <v>0.51</v>
      </c>
      <c r="V682">
        <v>0.23499999999999999</v>
      </c>
      <c r="W682" t="s">
        <v>399</v>
      </c>
      <c r="Y682" t="s">
        <v>332</v>
      </c>
      <c r="AB682" t="s">
        <v>341</v>
      </c>
      <c r="AC682" t="s">
        <v>342</v>
      </c>
      <c r="AD682" s="34">
        <v>46.306796669999997</v>
      </c>
      <c r="AE682" s="34">
        <v>-84.061593329999994</v>
      </c>
      <c r="AF682" s="18">
        <v>40682.027777777781</v>
      </c>
      <c r="AG682" s="19">
        <v>40681.861111111109</v>
      </c>
      <c r="AH682" t="s">
        <v>161</v>
      </c>
      <c r="AL682" t="s">
        <v>335</v>
      </c>
      <c r="AM682" s="20">
        <v>40679</v>
      </c>
      <c r="AR682" s="39" t="s">
        <v>400</v>
      </c>
      <c r="AS682" s="39"/>
      <c r="AT682" s="39">
        <v>200</v>
      </c>
      <c r="AZ682" t="s">
        <v>108</v>
      </c>
      <c r="BC682" t="s">
        <v>336</v>
      </c>
    </row>
    <row r="683" spans="1:71" x14ac:dyDescent="0.25">
      <c r="A683" t="str">
        <f t="shared" si="10"/>
        <v>A69-9002-4790</v>
      </c>
      <c r="B683" t="s">
        <v>398</v>
      </c>
      <c r="C683" t="s">
        <v>324</v>
      </c>
      <c r="D683" t="s">
        <v>325</v>
      </c>
      <c r="F683">
        <v>4790</v>
      </c>
      <c r="G683" t="s">
        <v>326</v>
      </c>
      <c r="H683" t="s">
        <v>327</v>
      </c>
      <c r="I683" s="20">
        <v>40679</v>
      </c>
      <c r="J683">
        <v>80</v>
      </c>
      <c r="L683" t="s">
        <v>109</v>
      </c>
      <c r="M683" t="s">
        <v>328</v>
      </c>
      <c r="N683" t="s">
        <v>329</v>
      </c>
      <c r="O683" t="s">
        <v>330</v>
      </c>
      <c r="P683" t="s">
        <v>331</v>
      </c>
      <c r="U683">
        <v>0.56000000000000005</v>
      </c>
      <c r="V683">
        <v>0.26400000000000001</v>
      </c>
      <c r="W683" t="s">
        <v>399</v>
      </c>
      <c r="Y683" t="s">
        <v>332</v>
      </c>
      <c r="AB683" t="s">
        <v>341</v>
      </c>
      <c r="AC683" t="s">
        <v>342</v>
      </c>
      <c r="AD683" s="34">
        <v>46.306796669999997</v>
      </c>
      <c r="AE683" s="34">
        <v>-84.061593329999994</v>
      </c>
      <c r="AF683" s="18">
        <v>40682.027777777781</v>
      </c>
      <c r="AG683" s="19">
        <v>40681.861111111109</v>
      </c>
      <c r="AH683" t="s">
        <v>161</v>
      </c>
      <c r="AL683" t="s">
        <v>335</v>
      </c>
      <c r="AM683" s="20">
        <v>40679</v>
      </c>
      <c r="AR683" s="39" t="s">
        <v>400</v>
      </c>
      <c r="AS683" s="39"/>
      <c r="AT683" s="39">
        <v>200</v>
      </c>
      <c r="AZ683" t="s">
        <v>108</v>
      </c>
      <c r="BC683" t="s">
        <v>163</v>
      </c>
      <c r="BD683" s="20">
        <v>40731</v>
      </c>
      <c r="BF683" s="21" t="s">
        <v>406</v>
      </c>
      <c r="BG683" s="38" t="s">
        <v>113</v>
      </c>
      <c r="BH683" s="1" t="s">
        <v>408</v>
      </c>
      <c r="BI683" s="1">
        <v>46.514783999999999</v>
      </c>
      <c r="BJ683" s="1">
        <v>-84.346945000000005</v>
      </c>
      <c r="BK683" s="1" t="s">
        <v>404</v>
      </c>
      <c r="BL683" s="1" t="s">
        <v>163</v>
      </c>
      <c r="BM683" s="1" t="s">
        <v>163</v>
      </c>
      <c r="BN683" s="1" t="s">
        <v>420</v>
      </c>
      <c r="BO683" s="39">
        <v>16883</v>
      </c>
      <c r="BP683" s="39">
        <v>16884</v>
      </c>
      <c r="BQ683" s="39" t="s">
        <v>332</v>
      </c>
      <c r="BR683" s="39">
        <v>533</v>
      </c>
      <c r="BS683" s="39">
        <v>233</v>
      </c>
    </row>
    <row r="684" spans="1:71" x14ac:dyDescent="0.25">
      <c r="A684" t="str">
        <f t="shared" si="10"/>
        <v>A69-9002-4791</v>
      </c>
      <c r="B684" t="s">
        <v>398</v>
      </c>
      <c r="C684" t="s">
        <v>324</v>
      </c>
      <c r="D684" t="s">
        <v>325</v>
      </c>
      <c r="F684">
        <v>4791</v>
      </c>
      <c r="G684" t="s">
        <v>326</v>
      </c>
      <c r="H684" t="s">
        <v>327</v>
      </c>
      <c r="I684" s="20">
        <v>40679</v>
      </c>
      <c r="J684">
        <v>80</v>
      </c>
      <c r="L684" t="s">
        <v>109</v>
      </c>
      <c r="M684" t="s">
        <v>328</v>
      </c>
      <c r="N684" t="s">
        <v>329</v>
      </c>
      <c r="O684" t="s">
        <v>330</v>
      </c>
      <c r="P684" t="s">
        <v>331</v>
      </c>
      <c r="U684">
        <v>0.54</v>
      </c>
      <c r="V684">
        <v>0.33200000000000002</v>
      </c>
      <c r="W684" t="s">
        <v>399</v>
      </c>
      <c r="Y684" t="s">
        <v>332</v>
      </c>
      <c r="AB684" t="s">
        <v>341</v>
      </c>
      <c r="AC684" t="s">
        <v>342</v>
      </c>
      <c r="AD684" s="34">
        <v>46.306796669999997</v>
      </c>
      <c r="AE684" s="34">
        <v>-84.061593329999994</v>
      </c>
      <c r="AF684" s="18">
        <v>40682.027777777781</v>
      </c>
      <c r="AG684" s="19">
        <v>40681.861111111109</v>
      </c>
      <c r="AH684" t="s">
        <v>161</v>
      </c>
      <c r="AL684" t="s">
        <v>335</v>
      </c>
      <c r="AM684" s="20">
        <v>40679</v>
      </c>
      <c r="AR684" s="39" t="s">
        <v>400</v>
      </c>
      <c r="AS684" s="39"/>
      <c r="AT684" s="39">
        <v>200</v>
      </c>
      <c r="AZ684" t="s">
        <v>108</v>
      </c>
      <c r="BC684" t="s">
        <v>336</v>
      </c>
    </row>
    <row r="685" spans="1:71" x14ac:dyDescent="0.25">
      <c r="A685" t="str">
        <f t="shared" si="10"/>
        <v>A69-9002-4792</v>
      </c>
      <c r="B685" t="s">
        <v>398</v>
      </c>
      <c r="C685" t="s">
        <v>324</v>
      </c>
      <c r="D685" t="s">
        <v>325</v>
      </c>
      <c r="F685">
        <v>4792</v>
      </c>
      <c r="G685" t="s">
        <v>326</v>
      </c>
      <c r="H685" t="s">
        <v>327</v>
      </c>
      <c r="I685" s="20">
        <v>40679</v>
      </c>
      <c r="J685">
        <v>80</v>
      </c>
      <c r="L685" t="s">
        <v>109</v>
      </c>
      <c r="M685" t="s">
        <v>328</v>
      </c>
      <c r="N685" t="s">
        <v>329</v>
      </c>
      <c r="O685" t="s">
        <v>330</v>
      </c>
      <c r="P685" t="s">
        <v>331</v>
      </c>
      <c r="U685">
        <v>0.46</v>
      </c>
      <c r="V685">
        <v>0.21</v>
      </c>
      <c r="W685" t="s">
        <v>399</v>
      </c>
      <c r="Y685" t="s">
        <v>332</v>
      </c>
      <c r="AB685" t="s">
        <v>341</v>
      </c>
      <c r="AC685" t="s">
        <v>342</v>
      </c>
      <c r="AD685" s="34">
        <v>46.306796669999997</v>
      </c>
      <c r="AE685" s="34">
        <v>-84.061593329999994</v>
      </c>
      <c r="AF685" s="18">
        <v>40682.027777777781</v>
      </c>
      <c r="AG685" s="19">
        <v>40681.861111111109</v>
      </c>
      <c r="AH685" t="s">
        <v>161</v>
      </c>
      <c r="AL685" t="s">
        <v>335</v>
      </c>
      <c r="AM685" s="20">
        <v>40679</v>
      </c>
      <c r="AR685" s="39" t="s">
        <v>400</v>
      </c>
      <c r="AS685" s="39"/>
      <c r="AT685" s="39">
        <v>200</v>
      </c>
      <c r="AZ685" t="s">
        <v>108</v>
      </c>
      <c r="BC685" t="s">
        <v>336</v>
      </c>
    </row>
    <row r="686" spans="1:71" x14ac:dyDescent="0.25">
      <c r="A686" t="str">
        <f t="shared" si="10"/>
        <v>A69-9002-4793</v>
      </c>
      <c r="B686" t="s">
        <v>398</v>
      </c>
      <c r="C686" t="s">
        <v>324</v>
      </c>
      <c r="D686" t="s">
        <v>325</v>
      </c>
      <c r="F686">
        <v>4793</v>
      </c>
      <c r="G686" t="s">
        <v>326</v>
      </c>
      <c r="H686" t="s">
        <v>327</v>
      </c>
      <c r="I686" s="20">
        <v>40679</v>
      </c>
      <c r="J686">
        <v>80</v>
      </c>
      <c r="L686" t="s">
        <v>109</v>
      </c>
      <c r="M686" t="s">
        <v>328</v>
      </c>
      <c r="N686" t="s">
        <v>329</v>
      </c>
      <c r="O686" t="s">
        <v>330</v>
      </c>
      <c r="P686" t="s">
        <v>331</v>
      </c>
      <c r="U686">
        <v>0.48</v>
      </c>
      <c r="V686">
        <v>0.24399999999999999</v>
      </c>
      <c r="W686" t="s">
        <v>399</v>
      </c>
      <c r="Y686" t="s">
        <v>332</v>
      </c>
      <c r="AB686" t="s">
        <v>341</v>
      </c>
      <c r="AC686" t="s">
        <v>342</v>
      </c>
      <c r="AD686" s="34">
        <v>46.306796669999997</v>
      </c>
      <c r="AE686" s="34">
        <v>-84.061593329999994</v>
      </c>
      <c r="AF686" s="18">
        <v>40682.027777777781</v>
      </c>
      <c r="AG686" s="19">
        <v>40681.861111111109</v>
      </c>
      <c r="AH686" t="s">
        <v>161</v>
      </c>
      <c r="AL686" t="s">
        <v>335</v>
      </c>
      <c r="AM686" s="20">
        <v>40679</v>
      </c>
      <c r="AR686" s="39" t="s">
        <v>400</v>
      </c>
      <c r="AS686" s="39"/>
      <c r="AT686" s="39">
        <v>200</v>
      </c>
      <c r="AZ686" t="s">
        <v>108</v>
      </c>
      <c r="BC686" t="s">
        <v>336</v>
      </c>
    </row>
    <row r="687" spans="1:71" x14ac:dyDescent="0.25">
      <c r="A687" t="str">
        <f t="shared" si="10"/>
        <v>A69-9002-4794</v>
      </c>
      <c r="B687" t="s">
        <v>398</v>
      </c>
      <c r="C687" t="s">
        <v>324</v>
      </c>
      <c r="D687" t="s">
        <v>325</v>
      </c>
      <c r="F687">
        <v>4794</v>
      </c>
      <c r="G687" t="s">
        <v>326</v>
      </c>
      <c r="H687" t="s">
        <v>327</v>
      </c>
      <c r="I687" s="20">
        <v>40679</v>
      </c>
      <c r="J687">
        <v>80</v>
      </c>
      <c r="L687" t="s">
        <v>109</v>
      </c>
      <c r="M687" t="s">
        <v>328</v>
      </c>
      <c r="N687" t="s">
        <v>329</v>
      </c>
      <c r="O687" t="s">
        <v>330</v>
      </c>
      <c r="P687" t="s">
        <v>331</v>
      </c>
      <c r="U687">
        <v>0.51</v>
      </c>
      <c r="V687">
        <v>0.27900000000000003</v>
      </c>
      <c r="W687" t="s">
        <v>399</v>
      </c>
      <c r="Y687" t="s">
        <v>332</v>
      </c>
      <c r="AB687" t="s">
        <v>341</v>
      </c>
      <c r="AC687" t="s">
        <v>342</v>
      </c>
      <c r="AD687" s="34">
        <v>46.306796669999997</v>
      </c>
      <c r="AE687" s="34">
        <v>-84.061593329999994</v>
      </c>
      <c r="AF687" s="18">
        <v>40682.027777777781</v>
      </c>
      <c r="AG687" s="19">
        <v>40681.861111111109</v>
      </c>
      <c r="AH687" t="s">
        <v>161</v>
      </c>
      <c r="AL687" t="s">
        <v>335</v>
      </c>
      <c r="AM687" s="20">
        <v>40679</v>
      </c>
      <c r="AR687" s="39" t="s">
        <v>400</v>
      </c>
      <c r="AS687" s="39"/>
      <c r="AT687" s="39">
        <v>200</v>
      </c>
      <c r="AZ687" t="s">
        <v>108</v>
      </c>
      <c r="BC687" t="s">
        <v>336</v>
      </c>
    </row>
    <row r="688" spans="1:71" x14ac:dyDescent="0.25">
      <c r="A688" t="str">
        <f t="shared" si="10"/>
        <v>A69-9002-4795</v>
      </c>
      <c r="B688" t="s">
        <v>398</v>
      </c>
      <c r="C688" t="s">
        <v>324</v>
      </c>
      <c r="D688" t="s">
        <v>325</v>
      </c>
      <c r="F688">
        <v>4795</v>
      </c>
      <c r="G688" t="s">
        <v>326</v>
      </c>
      <c r="H688" t="s">
        <v>327</v>
      </c>
      <c r="I688" s="20">
        <v>40679</v>
      </c>
      <c r="J688">
        <v>80</v>
      </c>
      <c r="L688" t="s">
        <v>109</v>
      </c>
      <c r="M688" t="s">
        <v>328</v>
      </c>
      <c r="N688" t="s">
        <v>329</v>
      </c>
      <c r="O688" t="s">
        <v>330</v>
      </c>
      <c r="P688" t="s">
        <v>331</v>
      </c>
      <c r="U688">
        <v>0.48</v>
      </c>
      <c r="V688">
        <v>0.26200000000000001</v>
      </c>
      <c r="W688" t="s">
        <v>399</v>
      </c>
      <c r="Y688" t="s">
        <v>332</v>
      </c>
      <c r="AB688" t="s">
        <v>341</v>
      </c>
      <c r="AC688" t="s">
        <v>342</v>
      </c>
      <c r="AD688" s="34">
        <v>46.306796669999997</v>
      </c>
      <c r="AE688" s="34">
        <v>-84.061593329999994</v>
      </c>
      <c r="AF688" s="18">
        <v>40682.027777777781</v>
      </c>
      <c r="AG688" s="19">
        <v>40681.861111111109</v>
      </c>
      <c r="AH688" t="s">
        <v>161</v>
      </c>
      <c r="AL688" t="s">
        <v>335</v>
      </c>
      <c r="AM688" s="20">
        <v>40679</v>
      </c>
      <c r="AR688" s="39" t="s">
        <v>400</v>
      </c>
      <c r="AS688" s="39"/>
      <c r="AT688" s="39">
        <v>200</v>
      </c>
      <c r="AZ688" t="s">
        <v>108</v>
      </c>
      <c r="BC688" t="s">
        <v>336</v>
      </c>
    </row>
    <row r="689" spans="1:71" x14ac:dyDescent="0.25">
      <c r="A689" t="str">
        <f t="shared" si="10"/>
        <v>A69-9002-4796</v>
      </c>
      <c r="B689" t="s">
        <v>398</v>
      </c>
      <c r="C689" t="s">
        <v>324</v>
      </c>
      <c r="D689" t="s">
        <v>325</v>
      </c>
      <c r="F689">
        <v>4796</v>
      </c>
      <c r="G689" t="s">
        <v>326</v>
      </c>
      <c r="H689" t="s">
        <v>327</v>
      </c>
      <c r="I689" s="20">
        <v>40679</v>
      </c>
      <c r="J689">
        <v>80</v>
      </c>
      <c r="L689" t="s">
        <v>109</v>
      </c>
      <c r="M689" t="s">
        <v>328</v>
      </c>
      <c r="N689" t="s">
        <v>329</v>
      </c>
      <c r="O689" t="s">
        <v>330</v>
      </c>
      <c r="P689" t="s">
        <v>331</v>
      </c>
      <c r="U689">
        <v>0.46</v>
      </c>
      <c r="V689">
        <v>0.246</v>
      </c>
      <c r="W689" t="s">
        <v>399</v>
      </c>
      <c r="Y689" t="s">
        <v>332</v>
      </c>
      <c r="AB689" t="s">
        <v>341</v>
      </c>
      <c r="AC689" t="s">
        <v>342</v>
      </c>
      <c r="AD689" s="34">
        <v>46.306796669999997</v>
      </c>
      <c r="AE689" s="34">
        <v>-84.061593329999994</v>
      </c>
      <c r="AF689" s="18">
        <v>40682.027777777781</v>
      </c>
      <c r="AG689" s="19">
        <v>40681.861111111109</v>
      </c>
      <c r="AH689" t="s">
        <v>161</v>
      </c>
      <c r="AL689" t="s">
        <v>335</v>
      </c>
      <c r="AM689" s="20">
        <v>40679</v>
      </c>
      <c r="AR689" s="39" t="s">
        <v>400</v>
      </c>
      <c r="AS689" s="39"/>
      <c r="AT689" s="39">
        <v>200</v>
      </c>
      <c r="AZ689" t="s">
        <v>108</v>
      </c>
      <c r="BC689" t="s">
        <v>163</v>
      </c>
      <c r="BD689" s="20">
        <v>40697</v>
      </c>
      <c r="BF689" s="21" t="s">
        <v>406</v>
      </c>
      <c r="BG689" s="38" t="s">
        <v>123</v>
      </c>
      <c r="BH689" s="1" t="s">
        <v>418</v>
      </c>
      <c r="BI689" s="39">
        <v>46.574117000000001</v>
      </c>
      <c r="BJ689" s="39">
        <v>-83.935387000000006</v>
      </c>
      <c r="BK689" s="1" t="s">
        <v>404</v>
      </c>
      <c r="BL689" s="1" t="s">
        <v>163</v>
      </c>
      <c r="BM689" s="1" t="s">
        <v>163</v>
      </c>
      <c r="BN689" s="1" t="s">
        <v>420</v>
      </c>
      <c r="BO689" s="39">
        <v>16861</v>
      </c>
      <c r="BP689" s="39">
        <v>16862</v>
      </c>
      <c r="BQ689" s="39" t="s">
        <v>332</v>
      </c>
      <c r="BR689" s="39">
        <v>445</v>
      </c>
      <c r="BS689" s="39">
        <v>250</v>
      </c>
    </row>
    <row r="690" spans="1:71" x14ac:dyDescent="0.25">
      <c r="A690" t="str">
        <f t="shared" si="10"/>
        <v>A69-9002-4797</v>
      </c>
      <c r="B690" t="s">
        <v>398</v>
      </c>
      <c r="C690" t="s">
        <v>324</v>
      </c>
      <c r="D690" t="s">
        <v>325</v>
      </c>
      <c r="F690">
        <v>4797</v>
      </c>
      <c r="G690" t="s">
        <v>326</v>
      </c>
      <c r="H690" t="s">
        <v>327</v>
      </c>
      <c r="I690" s="20">
        <v>40679</v>
      </c>
      <c r="J690">
        <v>80</v>
      </c>
      <c r="L690" t="s">
        <v>109</v>
      </c>
      <c r="M690" t="s">
        <v>328</v>
      </c>
      <c r="N690" t="s">
        <v>329</v>
      </c>
      <c r="O690" t="s">
        <v>330</v>
      </c>
      <c r="P690" t="s">
        <v>331</v>
      </c>
      <c r="U690">
        <v>0.54</v>
      </c>
      <c r="V690">
        <v>0.32600000000000001</v>
      </c>
      <c r="W690" t="s">
        <v>399</v>
      </c>
      <c r="Y690" t="s">
        <v>332</v>
      </c>
      <c r="AB690" t="s">
        <v>341</v>
      </c>
      <c r="AC690" t="s">
        <v>342</v>
      </c>
      <c r="AD690" s="34">
        <v>46.306796669999997</v>
      </c>
      <c r="AE690" s="34">
        <v>-84.061593329999994</v>
      </c>
      <c r="AF690" s="18">
        <v>40682.027777777781</v>
      </c>
      <c r="AG690" s="19">
        <v>40681.861111111109</v>
      </c>
      <c r="AH690" t="s">
        <v>161</v>
      </c>
      <c r="AL690" t="s">
        <v>335</v>
      </c>
      <c r="AM690" s="20">
        <v>40679</v>
      </c>
      <c r="AR690" s="39" t="s">
        <v>400</v>
      </c>
      <c r="AS690" s="39"/>
      <c r="AT690" s="39">
        <v>200</v>
      </c>
      <c r="AZ690" t="s">
        <v>108</v>
      </c>
      <c r="BC690" t="s">
        <v>336</v>
      </c>
    </row>
    <row r="691" spans="1:71" x14ac:dyDescent="0.25">
      <c r="A691" t="str">
        <f t="shared" si="10"/>
        <v>A69-9002-4798</v>
      </c>
      <c r="B691" t="s">
        <v>398</v>
      </c>
      <c r="C691" t="s">
        <v>324</v>
      </c>
      <c r="D691" t="s">
        <v>325</v>
      </c>
      <c r="F691">
        <v>4798</v>
      </c>
      <c r="G691" t="s">
        <v>326</v>
      </c>
      <c r="H691" t="s">
        <v>327</v>
      </c>
      <c r="I691" s="20">
        <v>40679</v>
      </c>
      <c r="J691">
        <v>80</v>
      </c>
      <c r="L691" t="s">
        <v>109</v>
      </c>
      <c r="M691" t="s">
        <v>328</v>
      </c>
      <c r="N691" t="s">
        <v>329</v>
      </c>
      <c r="O691" t="s">
        <v>330</v>
      </c>
      <c r="P691" t="s">
        <v>331</v>
      </c>
      <c r="U691">
        <v>0.51</v>
      </c>
      <c r="V691">
        <v>0.25700000000000001</v>
      </c>
      <c r="W691" t="s">
        <v>399</v>
      </c>
      <c r="Y691" t="s">
        <v>332</v>
      </c>
      <c r="AB691" t="s">
        <v>341</v>
      </c>
      <c r="AC691" t="s">
        <v>342</v>
      </c>
      <c r="AD691" s="34">
        <v>46.306796669999997</v>
      </c>
      <c r="AE691" s="34">
        <v>-84.061593329999994</v>
      </c>
      <c r="AF691" s="18">
        <v>40682.027777777781</v>
      </c>
      <c r="AG691" s="19">
        <v>40681.861111111109</v>
      </c>
      <c r="AH691" t="s">
        <v>161</v>
      </c>
      <c r="AL691" t="s">
        <v>335</v>
      </c>
      <c r="AM691" s="20">
        <v>40679</v>
      </c>
      <c r="AR691" s="39" t="s">
        <v>400</v>
      </c>
      <c r="AS691" s="39"/>
      <c r="AT691" s="39">
        <v>200</v>
      </c>
      <c r="AZ691" t="s">
        <v>108</v>
      </c>
      <c r="BC691" t="s">
        <v>336</v>
      </c>
    </row>
    <row r="692" spans="1:71" x14ac:dyDescent="0.25">
      <c r="A692" t="str">
        <f t="shared" si="10"/>
        <v>A69-9002-4799</v>
      </c>
      <c r="B692" t="s">
        <v>398</v>
      </c>
      <c r="C692" t="s">
        <v>324</v>
      </c>
      <c r="D692" t="s">
        <v>325</v>
      </c>
      <c r="F692">
        <v>4799</v>
      </c>
      <c r="G692" t="s">
        <v>326</v>
      </c>
      <c r="H692" t="s">
        <v>327</v>
      </c>
      <c r="I692" s="20">
        <v>40679</v>
      </c>
      <c r="J692">
        <v>80</v>
      </c>
      <c r="L692" t="s">
        <v>109</v>
      </c>
      <c r="M692" t="s">
        <v>328</v>
      </c>
      <c r="N692" t="s">
        <v>329</v>
      </c>
      <c r="O692" t="s">
        <v>330</v>
      </c>
      <c r="P692" t="s">
        <v>331</v>
      </c>
      <c r="U692">
        <v>0.5</v>
      </c>
      <c r="V692">
        <v>0.22</v>
      </c>
      <c r="W692" t="s">
        <v>399</v>
      </c>
      <c r="Y692" t="s">
        <v>332</v>
      </c>
      <c r="AB692" t="s">
        <v>341</v>
      </c>
      <c r="AC692" t="s">
        <v>342</v>
      </c>
      <c r="AD692" s="34">
        <v>46.306796669999997</v>
      </c>
      <c r="AE692" s="34">
        <v>-84.061593329999994</v>
      </c>
      <c r="AF692" s="18">
        <v>40682.027777777781</v>
      </c>
      <c r="AG692" s="19">
        <v>40681.861111111109</v>
      </c>
      <c r="AH692" t="s">
        <v>161</v>
      </c>
      <c r="AL692" t="s">
        <v>335</v>
      </c>
      <c r="AM692" s="20">
        <v>40679</v>
      </c>
      <c r="AR692" s="39" t="s">
        <v>400</v>
      </c>
      <c r="AS692" s="39"/>
      <c r="AT692" s="39">
        <v>200</v>
      </c>
      <c r="AZ692" t="s">
        <v>108</v>
      </c>
      <c r="BC692" t="s">
        <v>336</v>
      </c>
    </row>
    <row r="693" spans="1:71" x14ac:dyDescent="0.25">
      <c r="A693" t="str">
        <f t="shared" si="10"/>
        <v>A69-9002-4800</v>
      </c>
      <c r="B693" t="s">
        <v>398</v>
      </c>
      <c r="C693" t="s">
        <v>324</v>
      </c>
      <c r="D693" t="s">
        <v>325</v>
      </c>
      <c r="F693">
        <v>4800</v>
      </c>
      <c r="G693" t="s">
        <v>326</v>
      </c>
      <c r="H693" t="s">
        <v>327</v>
      </c>
      <c r="I693" s="20">
        <v>40679</v>
      </c>
      <c r="J693">
        <v>80</v>
      </c>
      <c r="L693" t="s">
        <v>109</v>
      </c>
      <c r="M693" t="s">
        <v>328</v>
      </c>
      <c r="N693" t="s">
        <v>329</v>
      </c>
      <c r="O693" t="s">
        <v>330</v>
      </c>
      <c r="P693" t="s">
        <v>331</v>
      </c>
      <c r="U693">
        <v>0.52</v>
      </c>
      <c r="V693">
        <v>0.314</v>
      </c>
      <c r="W693" t="s">
        <v>399</v>
      </c>
      <c r="Y693" t="s">
        <v>332</v>
      </c>
      <c r="AB693" t="s">
        <v>341</v>
      </c>
      <c r="AC693" t="s">
        <v>342</v>
      </c>
      <c r="AD693" s="34">
        <v>46.306796669999997</v>
      </c>
      <c r="AE693" s="34">
        <v>-84.061593329999994</v>
      </c>
      <c r="AF693" s="18">
        <v>40682.027777777781</v>
      </c>
      <c r="AG693" s="19">
        <v>40681.861111111109</v>
      </c>
      <c r="AH693" t="s">
        <v>161</v>
      </c>
      <c r="AL693" t="s">
        <v>335</v>
      </c>
      <c r="AM693" s="20">
        <v>40679</v>
      </c>
      <c r="AR693" s="39" t="s">
        <v>400</v>
      </c>
      <c r="AS693" s="39"/>
      <c r="AT693" s="39">
        <v>200</v>
      </c>
      <c r="AZ693" t="s">
        <v>108</v>
      </c>
      <c r="BC693" t="s">
        <v>336</v>
      </c>
    </row>
    <row r="694" spans="1:71" x14ac:dyDescent="0.25">
      <c r="A694" t="str">
        <f t="shared" si="10"/>
        <v>A69-9002-4801</v>
      </c>
      <c r="B694" t="s">
        <v>398</v>
      </c>
      <c r="C694" t="s">
        <v>324</v>
      </c>
      <c r="D694" t="s">
        <v>325</v>
      </c>
      <c r="F694">
        <v>4801</v>
      </c>
      <c r="G694" t="s">
        <v>326</v>
      </c>
      <c r="H694" t="s">
        <v>327</v>
      </c>
      <c r="I694" s="20">
        <v>40679</v>
      </c>
      <c r="J694">
        <v>80</v>
      </c>
      <c r="L694" t="s">
        <v>109</v>
      </c>
      <c r="M694" t="s">
        <v>328</v>
      </c>
      <c r="N694" t="s">
        <v>329</v>
      </c>
      <c r="O694" t="s">
        <v>330</v>
      </c>
      <c r="P694" t="s">
        <v>331</v>
      </c>
      <c r="U694">
        <v>0.52</v>
      </c>
      <c r="V694">
        <v>0.23899999999999999</v>
      </c>
      <c r="W694" t="s">
        <v>399</v>
      </c>
      <c r="Y694" t="s">
        <v>332</v>
      </c>
      <c r="AB694" t="s">
        <v>341</v>
      </c>
      <c r="AC694" t="s">
        <v>342</v>
      </c>
      <c r="AD694" s="34">
        <v>46.306796669999997</v>
      </c>
      <c r="AE694" s="34">
        <v>-84.061593329999994</v>
      </c>
      <c r="AF694" s="18">
        <v>40682.027777777781</v>
      </c>
      <c r="AG694" s="19">
        <v>40681.861111111109</v>
      </c>
      <c r="AH694" t="s">
        <v>161</v>
      </c>
      <c r="AL694" t="s">
        <v>335</v>
      </c>
      <c r="AM694" s="20">
        <v>40679</v>
      </c>
      <c r="AR694" s="39" t="s">
        <v>400</v>
      </c>
      <c r="AS694" s="39"/>
      <c r="AT694" s="39">
        <v>200</v>
      </c>
      <c r="AZ694" t="s">
        <v>108</v>
      </c>
      <c r="BC694" t="s">
        <v>336</v>
      </c>
    </row>
    <row r="695" spans="1:71" x14ac:dyDescent="0.25">
      <c r="A695" t="str">
        <f t="shared" si="10"/>
        <v>A69-9002-4802</v>
      </c>
      <c r="B695" t="s">
        <v>398</v>
      </c>
      <c r="C695" t="s">
        <v>324</v>
      </c>
      <c r="D695" t="s">
        <v>325</v>
      </c>
      <c r="F695">
        <v>4802</v>
      </c>
      <c r="G695" t="s">
        <v>326</v>
      </c>
      <c r="H695" t="s">
        <v>327</v>
      </c>
      <c r="I695" s="20">
        <v>40679</v>
      </c>
      <c r="J695">
        <v>80</v>
      </c>
      <c r="L695" t="s">
        <v>109</v>
      </c>
      <c r="M695" t="s">
        <v>328</v>
      </c>
      <c r="N695" t="s">
        <v>329</v>
      </c>
      <c r="O695" t="s">
        <v>330</v>
      </c>
      <c r="P695" t="s">
        <v>331</v>
      </c>
      <c r="U695">
        <v>0.49</v>
      </c>
      <c r="V695">
        <v>0.26700000000000002</v>
      </c>
      <c r="W695" t="s">
        <v>399</v>
      </c>
      <c r="Y695" t="s">
        <v>332</v>
      </c>
      <c r="AB695" t="s">
        <v>341</v>
      </c>
      <c r="AC695" t="s">
        <v>342</v>
      </c>
      <c r="AD695" s="34">
        <v>46.306796669999997</v>
      </c>
      <c r="AE695" s="34">
        <v>-84.061593329999994</v>
      </c>
      <c r="AF695" s="18">
        <v>40682.027777777781</v>
      </c>
      <c r="AG695" s="19">
        <v>40681.861111111109</v>
      </c>
      <c r="AH695" t="s">
        <v>161</v>
      </c>
      <c r="AL695" t="s">
        <v>335</v>
      </c>
      <c r="AM695" s="20">
        <v>40679</v>
      </c>
      <c r="AR695" s="39" t="s">
        <v>400</v>
      </c>
      <c r="AS695" s="39"/>
      <c r="AT695" s="39">
        <v>200</v>
      </c>
      <c r="AZ695" t="s">
        <v>108</v>
      </c>
      <c r="BC695" t="s">
        <v>163</v>
      </c>
      <c r="BD695" s="20">
        <v>40708</v>
      </c>
      <c r="BF695" s="21" t="s">
        <v>406</v>
      </c>
      <c r="BG695" s="38" t="s">
        <v>123</v>
      </c>
      <c r="BH695" s="1" t="s">
        <v>418</v>
      </c>
      <c r="BI695" s="39">
        <v>46.574117000000001</v>
      </c>
      <c r="BJ695" s="39">
        <v>-83.935387000000006</v>
      </c>
      <c r="BK695" s="1" t="s">
        <v>404</v>
      </c>
      <c r="BL695" s="1" t="s">
        <v>163</v>
      </c>
      <c r="BM695" s="1" t="s">
        <v>163</v>
      </c>
      <c r="BN695" s="1" t="s">
        <v>420</v>
      </c>
      <c r="BO695" s="39">
        <v>16834</v>
      </c>
      <c r="BP695" s="39">
        <v>16835</v>
      </c>
      <c r="BQ695" s="39" t="s">
        <v>332</v>
      </c>
      <c r="BR695" s="39">
        <v>462</v>
      </c>
      <c r="BS695" s="39">
        <v>237</v>
      </c>
    </row>
    <row r="696" spans="1:71" x14ac:dyDescent="0.25">
      <c r="A696" t="str">
        <f t="shared" si="10"/>
        <v>A69-9002-4803</v>
      </c>
      <c r="B696" t="s">
        <v>398</v>
      </c>
      <c r="C696" t="s">
        <v>324</v>
      </c>
      <c r="D696" t="s">
        <v>325</v>
      </c>
      <c r="F696">
        <v>4803</v>
      </c>
      <c r="G696" t="s">
        <v>326</v>
      </c>
      <c r="H696" t="s">
        <v>327</v>
      </c>
      <c r="I696" s="20">
        <v>40679</v>
      </c>
      <c r="J696">
        <v>80</v>
      </c>
      <c r="L696" t="s">
        <v>109</v>
      </c>
      <c r="M696" t="s">
        <v>328</v>
      </c>
      <c r="N696" t="s">
        <v>329</v>
      </c>
      <c r="O696" t="s">
        <v>330</v>
      </c>
      <c r="P696" t="s">
        <v>331</v>
      </c>
      <c r="U696">
        <v>0.505</v>
      </c>
      <c r="V696">
        <v>0.27500000000000002</v>
      </c>
      <c r="W696" t="s">
        <v>399</v>
      </c>
      <c r="Y696" t="s">
        <v>332</v>
      </c>
      <c r="AB696" t="s">
        <v>341</v>
      </c>
      <c r="AC696" t="s">
        <v>342</v>
      </c>
      <c r="AD696" s="34">
        <v>46.306796669999997</v>
      </c>
      <c r="AE696" s="34">
        <v>-84.061593329999994</v>
      </c>
      <c r="AF696" s="18">
        <v>40682.027777777781</v>
      </c>
      <c r="AG696" s="19">
        <v>40681.861111111109</v>
      </c>
      <c r="AH696" t="s">
        <v>161</v>
      </c>
      <c r="AL696" t="s">
        <v>335</v>
      </c>
      <c r="AM696" s="20">
        <v>40679</v>
      </c>
      <c r="AR696" s="39" t="s">
        <v>400</v>
      </c>
      <c r="AS696" s="39"/>
      <c r="AT696" s="39">
        <v>200</v>
      </c>
      <c r="AZ696" t="s">
        <v>108</v>
      </c>
      <c r="BC696" t="s">
        <v>336</v>
      </c>
    </row>
    <row r="697" spans="1:71" x14ac:dyDescent="0.25">
      <c r="A697" t="str">
        <f t="shared" si="10"/>
        <v>A69-9002-4804</v>
      </c>
      <c r="B697" t="s">
        <v>398</v>
      </c>
      <c r="C697" t="s">
        <v>324</v>
      </c>
      <c r="D697" t="s">
        <v>325</v>
      </c>
      <c r="F697">
        <v>4804</v>
      </c>
      <c r="G697" t="s">
        <v>326</v>
      </c>
      <c r="H697" t="s">
        <v>327</v>
      </c>
      <c r="I697" s="20">
        <v>40679</v>
      </c>
      <c r="J697">
        <v>80</v>
      </c>
      <c r="L697" t="s">
        <v>109</v>
      </c>
      <c r="M697" t="s">
        <v>328</v>
      </c>
      <c r="N697" t="s">
        <v>329</v>
      </c>
      <c r="O697" t="s">
        <v>330</v>
      </c>
      <c r="P697" t="s">
        <v>331</v>
      </c>
      <c r="U697">
        <v>0.54</v>
      </c>
      <c r="V697">
        <v>0.32700000000000001</v>
      </c>
      <c r="W697" t="s">
        <v>399</v>
      </c>
      <c r="Y697" t="s">
        <v>332</v>
      </c>
      <c r="AB697" t="s">
        <v>341</v>
      </c>
      <c r="AC697" t="s">
        <v>342</v>
      </c>
      <c r="AD697" s="34">
        <v>46.306796669999997</v>
      </c>
      <c r="AE697" s="34">
        <v>-84.061593329999994</v>
      </c>
      <c r="AF697" s="18">
        <v>40682.027777777781</v>
      </c>
      <c r="AG697" s="19">
        <v>40681.861111111109</v>
      </c>
      <c r="AH697" t="s">
        <v>161</v>
      </c>
      <c r="AL697" t="s">
        <v>335</v>
      </c>
      <c r="AM697" s="20">
        <v>40679</v>
      </c>
      <c r="AR697" s="39" t="s">
        <v>400</v>
      </c>
      <c r="AS697" s="39"/>
      <c r="AT697" s="39">
        <v>200</v>
      </c>
      <c r="AZ697" t="s">
        <v>108</v>
      </c>
      <c r="BC697" t="s">
        <v>336</v>
      </c>
    </row>
    <row r="698" spans="1:71" x14ac:dyDescent="0.25">
      <c r="A698" t="str">
        <f t="shared" si="10"/>
        <v>A69-9002-4805</v>
      </c>
      <c r="B698" t="s">
        <v>398</v>
      </c>
      <c r="C698" t="s">
        <v>324</v>
      </c>
      <c r="D698" t="s">
        <v>325</v>
      </c>
      <c r="F698">
        <v>4805</v>
      </c>
      <c r="G698" t="s">
        <v>326</v>
      </c>
      <c r="H698" t="s">
        <v>327</v>
      </c>
      <c r="I698" s="20">
        <v>40679</v>
      </c>
      <c r="J698">
        <v>80</v>
      </c>
      <c r="L698" t="s">
        <v>109</v>
      </c>
      <c r="M698" t="s">
        <v>328</v>
      </c>
      <c r="N698" t="s">
        <v>329</v>
      </c>
      <c r="O698" t="s">
        <v>330</v>
      </c>
      <c r="P698" t="s">
        <v>331</v>
      </c>
      <c r="U698">
        <v>0.47</v>
      </c>
      <c r="V698">
        <v>0.245</v>
      </c>
      <c r="W698" t="s">
        <v>399</v>
      </c>
      <c r="Y698" t="s">
        <v>332</v>
      </c>
      <c r="AB698" t="s">
        <v>341</v>
      </c>
      <c r="AC698" t="s">
        <v>342</v>
      </c>
      <c r="AD698" s="34">
        <v>46.306796669999997</v>
      </c>
      <c r="AE698" s="34">
        <v>-84.061593329999994</v>
      </c>
      <c r="AF698" s="18">
        <v>40682.027777777781</v>
      </c>
      <c r="AG698" s="19">
        <v>40681.861111111109</v>
      </c>
      <c r="AH698" t="s">
        <v>161</v>
      </c>
      <c r="AL698" t="s">
        <v>335</v>
      </c>
      <c r="AM698" s="20">
        <v>40679</v>
      </c>
      <c r="AR698" s="39" t="s">
        <v>400</v>
      </c>
      <c r="AS698" s="39"/>
      <c r="AT698" s="39">
        <v>200</v>
      </c>
      <c r="AZ698" t="s">
        <v>108</v>
      </c>
      <c r="BC698" t="s">
        <v>336</v>
      </c>
    </row>
    <row r="699" spans="1:71" x14ac:dyDescent="0.25">
      <c r="A699" t="str">
        <f t="shared" si="10"/>
        <v>A69-9002-4806</v>
      </c>
      <c r="B699" t="s">
        <v>398</v>
      </c>
      <c r="C699" t="s">
        <v>324</v>
      </c>
      <c r="D699" t="s">
        <v>325</v>
      </c>
      <c r="F699">
        <v>4806</v>
      </c>
      <c r="G699" t="s">
        <v>326</v>
      </c>
      <c r="H699" t="s">
        <v>327</v>
      </c>
      <c r="I699" s="20">
        <v>40679</v>
      </c>
      <c r="J699">
        <v>80</v>
      </c>
      <c r="L699" t="s">
        <v>109</v>
      </c>
      <c r="M699" t="s">
        <v>328</v>
      </c>
      <c r="N699" t="s">
        <v>329</v>
      </c>
      <c r="O699" t="s">
        <v>330</v>
      </c>
      <c r="P699" t="s">
        <v>331</v>
      </c>
      <c r="U699">
        <v>0.5</v>
      </c>
      <c r="V699">
        <v>0.26900000000000002</v>
      </c>
      <c r="W699" t="s">
        <v>399</v>
      </c>
      <c r="Y699" t="s">
        <v>337</v>
      </c>
      <c r="AB699" t="s">
        <v>341</v>
      </c>
      <c r="AC699" t="s">
        <v>342</v>
      </c>
      <c r="AD699" s="34">
        <v>46.306796669999997</v>
      </c>
      <c r="AE699" s="34">
        <v>-84.061593329999994</v>
      </c>
      <c r="AF699" s="18">
        <v>40682.027777777781</v>
      </c>
      <c r="AG699" s="19">
        <v>40681.861111111109</v>
      </c>
      <c r="AH699" t="s">
        <v>161</v>
      </c>
      <c r="AL699" t="s">
        <v>335</v>
      </c>
      <c r="AM699" s="20">
        <v>40679</v>
      </c>
      <c r="AR699" s="39" t="s">
        <v>400</v>
      </c>
      <c r="AS699" s="39"/>
      <c r="AT699" s="39">
        <v>200</v>
      </c>
      <c r="AZ699" t="s">
        <v>108</v>
      </c>
      <c r="BC699" t="s">
        <v>336</v>
      </c>
    </row>
    <row r="700" spans="1:71" x14ac:dyDescent="0.25">
      <c r="A700" t="str">
        <f t="shared" si="10"/>
        <v>A69-9002-4807</v>
      </c>
      <c r="B700" t="s">
        <v>398</v>
      </c>
      <c r="C700" t="s">
        <v>324</v>
      </c>
      <c r="D700" t="s">
        <v>325</v>
      </c>
      <c r="F700">
        <v>4807</v>
      </c>
      <c r="G700" t="s">
        <v>326</v>
      </c>
      <c r="H700" t="s">
        <v>327</v>
      </c>
      <c r="I700" s="20">
        <v>40679</v>
      </c>
      <c r="J700">
        <v>80</v>
      </c>
      <c r="L700" t="s">
        <v>109</v>
      </c>
      <c r="M700" t="s">
        <v>328</v>
      </c>
      <c r="N700" t="s">
        <v>329</v>
      </c>
      <c r="O700" t="s">
        <v>330</v>
      </c>
      <c r="P700" t="s">
        <v>331</v>
      </c>
      <c r="U700">
        <v>0.56000000000000005</v>
      </c>
      <c r="V700">
        <v>0.318</v>
      </c>
      <c r="W700" t="s">
        <v>399</v>
      </c>
      <c r="Y700" t="s">
        <v>332</v>
      </c>
      <c r="AB700" t="s">
        <v>341</v>
      </c>
      <c r="AC700" t="s">
        <v>342</v>
      </c>
      <c r="AD700" s="34">
        <v>46.306796669999997</v>
      </c>
      <c r="AE700" s="34">
        <v>-84.061593329999994</v>
      </c>
      <c r="AF700" s="18">
        <v>40682.027777777781</v>
      </c>
      <c r="AG700" s="19">
        <v>40681.861111111109</v>
      </c>
      <c r="AH700" t="s">
        <v>161</v>
      </c>
      <c r="AL700" t="s">
        <v>335</v>
      </c>
      <c r="AM700" s="20">
        <v>40679</v>
      </c>
      <c r="AR700" s="39" t="s">
        <v>400</v>
      </c>
      <c r="AS700" s="39"/>
      <c r="AT700" s="39">
        <v>200</v>
      </c>
      <c r="AZ700" t="s">
        <v>108</v>
      </c>
      <c r="BC700" t="s">
        <v>336</v>
      </c>
    </row>
    <row r="701" spans="1:71" x14ac:dyDescent="0.25">
      <c r="A701" t="str">
        <f t="shared" si="10"/>
        <v>A69-1601-1303</v>
      </c>
      <c r="B701" t="s">
        <v>398</v>
      </c>
      <c r="C701" t="s">
        <v>324</v>
      </c>
      <c r="D701" t="s">
        <v>345</v>
      </c>
      <c r="F701">
        <v>1303</v>
      </c>
      <c r="G701" t="s">
        <v>346</v>
      </c>
      <c r="H701" t="s">
        <v>327</v>
      </c>
      <c r="I701" s="20">
        <v>41036</v>
      </c>
      <c r="J701">
        <v>101</v>
      </c>
      <c r="L701" t="s">
        <v>109</v>
      </c>
      <c r="M701" t="s">
        <v>328</v>
      </c>
      <c r="N701" t="s">
        <v>329</v>
      </c>
      <c r="O701" t="s">
        <v>330</v>
      </c>
      <c r="P701" t="s">
        <v>331</v>
      </c>
      <c r="U701">
        <v>0.56000000000000005</v>
      </c>
      <c r="V701">
        <v>0.41000000000000003</v>
      </c>
      <c r="W701" t="s">
        <v>399</v>
      </c>
      <c r="Y701" t="s">
        <v>332</v>
      </c>
      <c r="AB701" t="s">
        <v>341</v>
      </c>
      <c r="AC701" t="s">
        <v>342</v>
      </c>
      <c r="AD701" s="39">
        <v>46.30641</v>
      </c>
      <c r="AE701" s="39">
        <v>-84.06129</v>
      </c>
      <c r="AF701" s="18">
        <v>41038.930555555555</v>
      </c>
      <c r="AG701" s="19">
        <v>41038.763888888891</v>
      </c>
      <c r="AH701" t="s">
        <v>161</v>
      </c>
      <c r="AL701" t="s">
        <v>335</v>
      </c>
      <c r="AM701" s="20">
        <v>41036</v>
      </c>
      <c r="AR701" s="39" t="s">
        <v>400</v>
      </c>
      <c r="AS701" s="39"/>
      <c r="AT701" s="39">
        <v>200</v>
      </c>
      <c r="AZ701" t="s">
        <v>108</v>
      </c>
      <c r="BC701" t="s">
        <v>336</v>
      </c>
    </row>
    <row r="702" spans="1:71" x14ac:dyDescent="0.25">
      <c r="A702" t="str">
        <f t="shared" si="10"/>
        <v>A69-1601-1371</v>
      </c>
      <c r="B702" t="s">
        <v>398</v>
      </c>
      <c r="C702" t="s">
        <v>324</v>
      </c>
      <c r="D702" t="s">
        <v>345</v>
      </c>
      <c r="F702">
        <v>1371</v>
      </c>
      <c r="G702" t="s">
        <v>346</v>
      </c>
      <c r="H702" t="s">
        <v>327</v>
      </c>
      <c r="I702" s="20">
        <v>41036</v>
      </c>
      <c r="J702">
        <v>101</v>
      </c>
      <c r="L702" t="s">
        <v>109</v>
      </c>
      <c r="M702" t="s">
        <v>328</v>
      </c>
      <c r="N702" t="s">
        <v>329</v>
      </c>
      <c r="O702" t="s">
        <v>330</v>
      </c>
      <c r="P702" t="s">
        <v>331</v>
      </c>
      <c r="U702">
        <v>0.46</v>
      </c>
      <c r="V702">
        <v>0.24199999999999999</v>
      </c>
      <c r="W702" t="s">
        <v>399</v>
      </c>
      <c r="Y702" t="s">
        <v>332</v>
      </c>
      <c r="AB702" t="s">
        <v>341</v>
      </c>
      <c r="AC702" t="s">
        <v>342</v>
      </c>
      <c r="AD702" s="39">
        <v>46.30641</v>
      </c>
      <c r="AE702" s="39">
        <v>-84.06129</v>
      </c>
      <c r="AF702" s="18">
        <v>41038.930555555555</v>
      </c>
      <c r="AG702" s="19">
        <v>41038.763888888891</v>
      </c>
      <c r="AH702" t="s">
        <v>161</v>
      </c>
      <c r="AL702" t="s">
        <v>335</v>
      </c>
      <c r="AM702" s="20">
        <v>41036</v>
      </c>
      <c r="AR702" s="39" t="s">
        <v>400</v>
      </c>
      <c r="AS702" s="39"/>
      <c r="AT702" s="39">
        <v>200</v>
      </c>
      <c r="AZ702" t="s">
        <v>108</v>
      </c>
      <c r="BC702" t="s">
        <v>336</v>
      </c>
    </row>
    <row r="703" spans="1:71" x14ac:dyDescent="0.25">
      <c r="A703" t="str">
        <f t="shared" si="10"/>
        <v>A69-1601-1378</v>
      </c>
      <c r="B703" t="s">
        <v>398</v>
      </c>
      <c r="C703" t="s">
        <v>324</v>
      </c>
      <c r="D703" t="s">
        <v>345</v>
      </c>
      <c r="F703">
        <v>1378</v>
      </c>
      <c r="G703" t="s">
        <v>346</v>
      </c>
      <c r="H703" t="s">
        <v>327</v>
      </c>
      <c r="I703" s="20">
        <v>41036</v>
      </c>
      <c r="J703">
        <v>101</v>
      </c>
      <c r="L703" t="s">
        <v>109</v>
      </c>
      <c r="M703" t="s">
        <v>328</v>
      </c>
      <c r="N703" t="s">
        <v>329</v>
      </c>
      <c r="O703" t="s">
        <v>330</v>
      </c>
      <c r="P703" t="s">
        <v>331</v>
      </c>
      <c r="U703">
        <v>0.54</v>
      </c>
      <c r="V703">
        <v>0.33</v>
      </c>
      <c r="W703" t="s">
        <v>399</v>
      </c>
      <c r="Y703" t="s">
        <v>332</v>
      </c>
      <c r="AB703" t="s">
        <v>341</v>
      </c>
      <c r="AC703" t="s">
        <v>342</v>
      </c>
      <c r="AD703" s="39">
        <v>46.30641</v>
      </c>
      <c r="AE703" s="39">
        <v>-84.06129</v>
      </c>
      <c r="AF703" s="18">
        <v>41038.930555555555</v>
      </c>
      <c r="AG703" s="19">
        <v>41038.763888888891</v>
      </c>
      <c r="AH703" t="s">
        <v>161</v>
      </c>
      <c r="AL703" t="s">
        <v>335</v>
      </c>
      <c r="AM703" s="20">
        <v>41036</v>
      </c>
      <c r="AR703" s="39" t="s">
        <v>400</v>
      </c>
      <c r="AS703" s="39"/>
      <c r="AT703" s="39">
        <v>200</v>
      </c>
      <c r="AZ703" t="s">
        <v>108</v>
      </c>
      <c r="BC703" t="s">
        <v>336</v>
      </c>
    </row>
    <row r="704" spans="1:71" x14ac:dyDescent="0.25">
      <c r="A704" t="str">
        <f t="shared" si="10"/>
        <v>A69-1601-1364</v>
      </c>
      <c r="B704" t="s">
        <v>398</v>
      </c>
      <c r="C704" t="s">
        <v>324</v>
      </c>
      <c r="D704" t="s">
        <v>345</v>
      </c>
      <c r="F704">
        <v>1364</v>
      </c>
      <c r="G704" t="s">
        <v>346</v>
      </c>
      <c r="H704" t="s">
        <v>327</v>
      </c>
      <c r="I704" s="20">
        <v>41036</v>
      </c>
      <c r="J704">
        <v>101</v>
      </c>
      <c r="L704" t="s">
        <v>109</v>
      </c>
      <c r="M704" t="s">
        <v>328</v>
      </c>
      <c r="N704" t="s">
        <v>329</v>
      </c>
      <c r="O704" t="s">
        <v>330</v>
      </c>
      <c r="P704" t="s">
        <v>331</v>
      </c>
      <c r="U704">
        <v>0.48</v>
      </c>
      <c r="V704">
        <v>0.26600000000000001</v>
      </c>
      <c r="W704" t="s">
        <v>399</v>
      </c>
      <c r="Y704" t="s">
        <v>332</v>
      </c>
      <c r="AB704" t="s">
        <v>341</v>
      </c>
      <c r="AC704" t="s">
        <v>342</v>
      </c>
      <c r="AD704" s="39">
        <v>46.30641</v>
      </c>
      <c r="AE704" s="39">
        <v>-84.06129</v>
      </c>
      <c r="AF704" s="18">
        <v>41038.930555555555</v>
      </c>
      <c r="AG704" s="19">
        <v>41038.763888888891</v>
      </c>
      <c r="AH704" t="s">
        <v>161</v>
      </c>
      <c r="AL704" t="s">
        <v>335</v>
      </c>
      <c r="AM704" s="20">
        <v>41036</v>
      </c>
      <c r="AR704" s="39" t="s">
        <v>400</v>
      </c>
      <c r="AS704" s="39"/>
      <c r="AT704" s="39">
        <v>200</v>
      </c>
      <c r="AZ704" t="s">
        <v>108</v>
      </c>
      <c r="BC704" t="s">
        <v>336</v>
      </c>
    </row>
    <row r="705" spans="1:55" x14ac:dyDescent="0.25">
      <c r="A705" t="str">
        <f t="shared" si="10"/>
        <v>A69-1601-1360</v>
      </c>
      <c r="B705" t="s">
        <v>398</v>
      </c>
      <c r="C705" t="s">
        <v>324</v>
      </c>
      <c r="D705" t="s">
        <v>345</v>
      </c>
      <c r="F705">
        <v>1360</v>
      </c>
      <c r="G705" t="s">
        <v>346</v>
      </c>
      <c r="H705" t="s">
        <v>327</v>
      </c>
      <c r="I705" s="20">
        <v>41036</v>
      </c>
      <c r="J705">
        <v>101</v>
      </c>
      <c r="L705" t="s">
        <v>109</v>
      </c>
      <c r="M705" t="s">
        <v>328</v>
      </c>
      <c r="N705" t="s">
        <v>329</v>
      </c>
      <c r="O705" t="s">
        <v>330</v>
      </c>
      <c r="P705" t="s">
        <v>331</v>
      </c>
      <c r="U705">
        <v>0.51</v>
      </c>
      <c r="V705">
        <v>0.28800000000000003</v>
      </c>
      <c r="W705" t="s">
        <v>399</v>
      </c>
      <c r="Y705" t="s">
        <v>332</v>
      </c>
      <c r="AB705" t="s">
        <v>341</v>
      </c>
      <c r="AC705" t="s">
        <v>342</v>
      </c>
      <c r="AD705" s="39">
        <v>46.30641</v>
      </c>
      <c r="AE705" s="39">
        <v>-84.06129</v>
      </c>
      <c r="AF705" s="18">
        <v>41038.930555555555</v>
      </c>
      <c r="AG705" s="19">
        <v>41038.763888888891</v>
      </c>
      <c r="AH705" t="s">
        <v>161</v>
      </c>
      <c r="AL705" t="s">
        <v>335</v>
      </c>
      <c r="AM705" s="20">
        <v>41036</v>
      </c>
      <c r="AR705" s="39" t="s">
        <v>400</v>
      </c>
      <c r="AS705" s="39"/>
      <c r="AT705" s="39">
        <v>200</v>
      </c>
      <c r="AZ705" t="s">
        <v>108</v>
      </c>
      <c r="BC705" t="s">
        <v>336</v>
      </c>
    </row>
    <row r="706" spans="1:55" x14ac:dyDescent="0.25">
      <c r="A706" t="str">
        <f t="shared" si="10"/>
        <v>A69-1601-1363</v>
      </c>
      <c r="B706" t="s">
        <v>398</v>
      </c>
      <c r="C706" t="s">
        <v>324</v>
      </c>
      <c r="D706" t="s">
        <v>345</v>
      </c>
      <c r="F706">
        <v>1363</v>
      </c>
      <c r="G706" t="s">
        <v>346</v>
      </c>
      <c r="H706" t="s">
        <v>327</v>
      </c>
      <c r="I706" s="20">
        <v>41036</v>
      </c>
      <c r="J706">
        <v>101</v>
      </c>
      <c r="L706" t="s">
        <v>109</v>
      </c>
      <c r="M706" t="s">
        <v>328</v>
      </c>
      <c r="N706" t="s">
        <v>329</v>
      </c>
      <c r="O706" t="s">
        <v>330</v>
      </c>
      <c r="P706" t="s">
        <v>331</v>
      </c>
      <c r="U706">
        <v>0.5</v>
      </c>
      <c r="V706">
        <v>0.22900000000000001</v>
      </c>
      <c r="W706" t="s">
        <v>399</v>
      </c>
      <c r="Y706" t="s">
        <v>332</v>
      </c>
      <c r="AB706" t="s">
        <v>341</v>
      </c>
      <c r="AC706" t="s">
        <v>342</v>
      </c>
      <c r="AD706" s="39">
        <v>46.30641</v>
      </c>
      <c r="AE706" s="39">
        <v>-84.06129</v>
      </c>
      <c r="AF706" s="18">
        <v>41038.930555555555</v>
      </c>
      <c r="AG706" s="19">
        <v>41038.763888888891</v>
      </c>
      <c r="AH706" t="s">
        <v>161</v>
      </c>
      <c r="AL706" t="s">
        <v>335</v>
      </c>
      <c r="AM706" s="20">
        <v>41036</v>
      </c>
      <c r="AR706" s="39" t="s">
        <v>400</v>
      </c>
      <c r="AS706" s="39"/>
      <c r="AT706" s="39">
        <v>200</v>
      </c>
      <c r="AZ706" t="s">
        <v>108</v>
      </c>
      <c r="BC706" t="s">
        <v>336</v>
      </c>
    </row>
    <row r="707" spans="1:55" x14ac:dyDescent="0.25">
      <c r="A707" t="str">
        <f t="shared" si="10"/>
        <v>A69-1601-1374</v>
      </c>
      <c r="B707" t="s">
        <v>398</v>
      </c>
      <c r="C707" t="s">
        <v>324</v>
      </c>
      <c r="D707" t="s">
        <v>345</v>
      </c>
      <c r="F707">
        <v>1374</v>
      </c>
      <c r="G707" t="s">
        <v>346</v>
      </c>
      <c r="H707" t="s">
        <v>327</v>
      </c>
      <c r="I707" s="20">
        <v>41036</v>
      </c>
      <c r="J707">
        <v>101</v>
      </c>
      <c r="L707" t="s">
        <v>109</v>
      </c>
      <c r="M707" t="s">
        <v>328</v>
      </c>
      <c r="N707" t="s">
        <v>329</v>
      </c>
      <c r="O707" t="s">
        <v>330</v>
      </c>
      <c r="P707" t="s">
        <v>331</v>
      </c>
      <c r="U707">
        <v>0.51</v>
      </c>
      <c r="V707">
        <v>0.29499999999999998</v>
      </c>
      <c r="W707" t="s">
        <v>399</v>
      </c>
      <c r="Y707" t="s">
        <v>332</v>
      </c>
      <c r="AB707" t="s">
        <v>341</v>
      </c>
      <c r="AC707" t="s">
        <v>342</v>
      </c>
      <c r="AD707" s="39">
        <v>46.30641</v>
      </c>
      <c r="AE707" s="39">
        <v>-84.06129</v>
      </c>
      <c r="AF707" s="18">
        <v>41038.930555555555</v>
      </c>
      <c r="AG707" s="19">
        <v>41038.763888888891</v>
      </c>
      <c r="AH707" t="s">
        <v>161</v>
      </c>
      <c r="AL707" t="s">
        <v>335</v>
      </c>
      <c r="AM707" s="20">
        <v>41036</v>
      </c>
      <c r="AR707" s="39" t="s">
        <v>400</v>
      </c>
      <c r="AS707" s="39"/>
      <c r="AT707" s="39">
        <v>200</v>
      </c>
      <c r="AZ707" t="s">
        <v>108</v>
      </c>
      <c r="BC707" t="s">
        <v>336</v>
      </c>
    </row>
    <row r="708" spans="1:55" x14ac:dyDescent="0.25">
      <c r="A708" t="str">
        <f t="shared" ref="A708:A771" si="11">CONCATENATE(G708,"-",F708)</f>
        <v>A69-1601-1362</v>
      </c>
      <c r="B708" t="s">
        <v>398</v>
      </c>
      <c r="C708" t="s">
        <v>324</v>
      </c>
      <c r="D708" t="s">
        <v>345</v>
      </c>
      <c r="F708">
        <v>1362</v>
      </c>
      <c r="G708" t="s">
        <v>346</v>
      </c>
      <c r="H708" t="s">
        <v>327</v>
      </c>
      <c r="I708" s="20">
        <v>41036</v>
      </c>
      <c r="J708">
        <v>101</v>
      </c>
      <c r="L708" t="s">
        <v>109</v>
      </c>
      <c r="M708" t="s">
        <v>328</v>
      </c>
      <c r="N708" t="s">
        <v>329</v>
      </c>
      <c r="O708" t="s">
        <v>330</v>
      </c>
      <c r="P708" t="s">
        <v>331</v>
      </c>
      <c r="U708">
        <v>0.46</v>
      </c>
      <c r="V708">
        <v>0.252</v>
      </c>
      <c r="W708" t="s">
        <v>399</v>
      </c>
      <c r="Y708" t="s">
        <v>332</v>
      </c>
      <c r="AB708" t="s">
        <v>341</v>
      </c>
      <c r="AC708" t="s">
        <v>342</v>
      </c>
      <c r="AD708" s="39">
        <v>46.30641</v>
      </c>
      <c r="AE708" s="39">
        <v>-84.06129</v>
      </c>
      <c r="AF708" s="18">
        <v>41038.930555555555</v>
      </c>
      <c r="AG708" s="19">
        <v>41038.763888888891</v>
      </c>
      <c r="AH708" t="s">
        <v>161</v>
      </c>
      <c r="AL708" t="s">
        <v>335</v>
      </c>
      <c r="AM708" s="20">
        <v>41036</v>
      </c>
      <c r="AR708" s="39" t="s">
        <v>400</v>
      </c>
      <c r="AS708" s="39"/>
      <c r="AT708" s="39">
        <v>200</v>
      </c>
      <c r="AZ708" t="s">
        <v>108</v>
      </c>
      <c r="BC708" t="s">
        <v>336</v>
      </c>
    </row>
    <row r="709" spans="1:55" x14ac:dyDescent="0.25">
      <c r="A709" t="str">
        <f t="shared" si="11"/>
        <v>A69-1601-1367</v>
      </c>
      <c r="B709" t="s">
        <v>398</v>
      </c>
      <c r="C709" t="s">
        <v>324</v>
      </c>
      <c r="D709" t="s">
        <v>345</v>
      </c>
      <c r="F709">
        <v>1367</v>
      </c>
      <c r="G709" t="s">
        <v>346</v>
      </c>
      <c r="H709" t="s">
        <v>327</v>
      </c>
      <c r="I709" s="20">
        <v>41036</v>
      </c>
      <c r="J709">
        <v>101</v>
      </c>
      <c r="L709" t="s">
        <v>109</v>
      </c>
      <c r="M709" t="s">
        <v>328</v>
      </c>
      <c r="N709" t="s">
        <v>329</v>
      </c>
      <c r="O709" t="s">
        <v>330</v>
      </c>
      <c r="P709" t="s">
        <v>331</v>
      </c>
      <c r="U709">
        <v>0.48</v>
      </c>
      <c r="V709">
        <v>0.254</v>
      </c>
      <c r="W709" t="s">
        <v>399</v>
      </c>
      <c r="Y709" t="s">
        <v>332</v>
      </c>
      <c r="AB709" t="s">
        <v>341</v>
      </c>
      <c r="AC709" t="s">
        <v>342</v>
      </c>
      <c r="AD709" s="39">
        <v>46.30641</v>
      </c>
      <c r="AE709" s="39">
        <v>-84.06129</v>
      </c>
      <c r="AF709" s="18">
        <v>41038.930555555555</v>
      </c>
      <c r="AG709" s="19">
        <v>41038.763888888891</v>
      </c>
      <c r="AH709" t="s">
        <v>161</v>
      </c>
      <c r="AL709" t="s">
        <v>335</v>
      </c>
      <c r="AM709" s="20">
        <v>41036</v>
      </c>
      <c r="AR709" s="39" t="s">
        <v>400</v>
      </c>
      <c r="AS709" s="39"/>
      <c r="AT709" s="39">
        <v>200</v>
      </c>
      <c r="AZ709" t="s">
        <v>108</v>
      </c>
      <c r="BC709" t="s">
        <v>336</v>
      </c>
    </row>
    <row r="710" spans="1:55" x14ac:dyDescent="0.25">
      <c r="A710" t="str">
        <f t="shared" si="11"/>
        <v>A69-1601-4999</v>
      </c>
      <c r="B710" t="s">
        <v>398</v>
      </c>
      <c r="C710" t="s">
        <v>324</v>
      </c>
      <c r="D710" t="s">
        <v>345</v>
      </c>
      <c r="F710">
        <v>4999</v>
      </c>
      <c r="G710" t="s">
        <v>346</v>
      </c>
      <c r="H710" t="s">
        <v>327</v>
      </c>
      <c r="I710" s="20">
        <v>41036</v>
      </c>
      <c r="J710">
        <v>101</v>
      </c>
      <c r="L710" t="s">
        <v>109</v>
      </c>
      <c r="M710" t="s">
        <v>328</v>
      </c>
      <c r="N710" t="s">
        <v>329</v>
      </c>
      <c r="O710" t="s">
        <v>330</v>
      </c>
      <c r="P710" t="s">
        <v>331</v>
      </c>
      <c r="U710">
        <v>0.53</v>
      </c>
      <c r="V710">
        <v>0.33700000000000002</v>
      </c>
      <c r="W710" t="s">
        <v>399</v>
      </c>
      <c r="Y710" t="s">
        <v>332</v>
      </c>
      <c r="AB710" t="s">
        <v>341</v>
      </c>
      <c r="AC710" t="s">
        <v>342</v>
      </c>
      <c r="AD710" s="39">
        <v>46.30641</v>
      </c>
      <c r="AE710" s="39">
        <v>-84.06129</v>
      </c>
      <c r="AF710" s="18">
        <v>41038.930555555555</v>
      </c>
      <c r="AG710" s="19">
        <v>41038.763888888891</v>
      </c>
      <c r="AH710" t="s">
        <v>161</v>
      </c>
      <c r="AL710" t="s">
        <v>335</v>
      </c>
      <c r="AM710" s="20">
        <v>41036</v>
      </c>
      <c r="AR710" s="39" t="s">
        <v>400</v>
      </c>
      <c r="AS710" s="39"/>
      <c r="AT710" s="39">
        <v>200</v>
      </c>
      <c r="AZ710" t="s">
        <v>108</v>
      </c>
      <c r="BC710" t="s">
        <v>336</v>
      </c>
    </row>
    <row r="711" spans="1:55" x14ac:dyDescent="0.25">
      <c r="A711" t="str">
        <f t="shared" si="11"/>
        <v>A69-1601-5000</v>
      </c>
      <c r="B711" t="s">
        <v>398</v>
      </c>
      <c r="C711" t="s">
        <v>324</v>
      </c>
      <c r="D711" t="s">
        <v>345</v>
      </c>
      <c r="F711">
        <v>5000</v>
      </c>
      <c r="G711" t="s">
        <v>346</v>
      </c>
      <c r="H711" t="s">
        <v>327</v>
      </c>
      <c r="I711" s="20">
        <v>41036</v>
      </c>
      <c r="J711">
        <v>101</v>
      </c>
      <c r="L711" t="s">
        <v>109</v>
      </c>
      <c r="M711" t="s">
        <v>328</v>
      </c>
      <c r="N711" t="s">
        <v>329</v>
      </c>
      <c r="O711" t="s">
        <v>330</v>
      </c>
      <c r="P711" t="s">
        <v>331</v>
      </c>
      <c r="U711">
        <v>0.5</v>
      </c>
      <c r="V711">
        <v>0.22700000000000001</v>
      </c>
      <c r="W711" t="s">
        <v>399</v>
      </c>
      <c r="Y711" t="s">
        <v>332</v>
      </c>
      <c r="AB711" t="s">
        <v>341</v>
      </c>
      <c r="AC711" t="s">
        <v>342</v>
      </c>
      <c r="AD711" s="39">
        <v>46.30641</v>
      </c>
      <c r="AE711" s="39">
        <v>-84.06129</v>
      </c>
      <c r="AF711" s="18">
        <v>41038.930555555555</v>
      </c>
      <c r="AG711" s="19">
        <v>41038.763888888891</v>
      </c>
      <c r="AH711" t="s">
        <v>161</v>
      </c>
      <c r="AL711" t="s">
        <v>335</v>
      </c>
      <c r="AM711" s="20">
        <v>41036</v>
      </c>
      <c r="AR711" s="39" t="s">
        <v>400</v>
      </c>
      <c r="AS711" s="39"/>
      <c r="AT711" s="39">
        <v>200</v>
      </c>
      <c r="AZ711" t="s">
        <v>108</v>
      </c>
      <c r="BC711" t="s">
        <v>336</v>
      </c>
    </row>
    <row r="712" spans="1:55" x14ac:dyDescent="0.25">
      <c r="A712" t="str">
        <f t="shared" si="11"/>
        <v>A69-1601-4998</v>
      </c>
      <c r="B712" t="s">
        <v>398</v>
      </c>
      <c r="C712" t="s">
        <v>324</v>
      </c>
      <c r="D712" t="s">
        <v>345</v>
      </c>
      <c r="F712">
        <v>4998</v>
      </c>
      <c r="G712" t="s">
        <v>346</v>
      </c>
      <c r="H712" t="s">
        <v>327</v>
      </c>
      <c r="I712" s="20">
        <v>41036</v>
      </c>
      <c r="J712">
        <v>101</v>
      </c>
      <c r="L712" t="s">
        <v>109</v>
      </c>
      <c r="M712" t="s">
        <v>328</v>
      </c>
      <c r="N712" t="s">
        <v>329</v>
      </c>
      <c r="O712" t="s">
        <v>330</v>
      </c>
      <c r="P712" t="s">
        <v>331</v>
      </c>
      <c r="U712">
        <v>0.48</v>
      </c>
      <c r="V712">
        <v>0.27100000000000002</v>
      </c>
      <c r="W712" t="s">
        <v>399</v>
      </c>
      <c r="Y712" t="s">
        <v>332</v>
      </c>
      <c r="AB712" t="s">
        <v>341</v>
      </c>
      <c r="AC712" t="s">
        <v>342</v>
      </c>
      <c r="AD712" s="39">
        <v>46.30641</v>
      </c>
      <c r="AE712" s="39">
        <v>-84.06129</v>
      </c>
      <c r="AF712" s="18">
        <v>41038.930555555555</v>
      </c>
      <c r="AG712" s="19">
        <v>41038.763888888891</v>
      </c>
      <c r="AH712" t="s">
        <v>161</v>
      </c>
      <c r="AL712" t="s">
        <v>335</v>
      </c>
      <c r="AM712" s="20">
        <v>41036</v>
      </c>
      <c r="AR712" s="39" t="s">
        <v>400</v>
      </c>
      <c r="AS712" s="39"/>
      <c r="AT712" s="39">
        <v>200</v>
      </c>
      <c r="AZ712" t="s">
        <v>108</v>
      </c>
      <c r="BC712" t="s">
        <v>336</v>
      </c>
    </row>
    <row r="713" spans="1:55" x14ac:dyDescent="0.25">
      <c r="A713" t="str">
        <f t="shared" si="11"/>
        <v>A69-1601-4997</v>
      </c>
      <c r="B713" t="s">
        <v>398</v>
      </c>
      <c r="C713" t="s">
        <v>324</v>
      </c>
      <c r="D713" t="s">
        <v>345</v>
      </c>
      <c r="F713">
        <v>4997</v>
      </c>
      <c r="G713" t="s">
        <v>346</v>
      </c>
      <c r="H713" t="s">
        <v>327</v>
      </c>
      <c r="I713" s="20">
        <v>41036</v>
      </c>
      <c r="J713">
        <v>101</v>
      </c>
      <c r="L713" t="s">
        <v>109</v>
      </c>
      <c r="M713" t="s">
        <v>328</v>
      </c>
      <c r="N713" t="s">
        <v>329</v>
      </c>
      <c r="O713" t="s">
        <v>330</v>
      </c>
      <c r="P713" t="s">
        <v>331</v>
      </c>
      <c r="U713">
        <v>0.52</v>
      </c>
      <c r="V713">
        <v>0.3</v>
      </c>
      <c r="W713" t="s">
        <v>399</v>
      </c>
      <c r="Y713" t="s">
        <v>332</v>
      </c>
      <c r="AB713" t="s">
        <v>341</v>
      </c>
      <c r="AC713" t="s">
        <v>342</v>
      </c>
      <c r="AD713" s="39">
        <v>46.30641</v>
      </c>
      <c r="AE713" s="39">
        <v>-84.06129</v>
      </c>
      <c r="AF713" s="18">
        <v>41038.930555555555</v>
      </c>
      <c r="AG713" s="19">
        <v>41038.763888888891</v>
      </c>
      <c r="AH713" t="s">
        <v>161</v>
      </c>
      <c r="AL713" t="s">
        <v>335</v>
      </c>
      <c r="AM713" s="20">
        <v>41036</v>
      </c>
      <c r="AR713" s="39" t="s">
        <v>400</v>
      </c>
      <c r="AS713" s="39"/>
      <c r="AT713" s="39">
        <v>200</v>
      </c>
      <c r="AZ713" t="s">
        <v>108</v>
      </c>
      <c r="BC713" t="s">
        <v>336</v>
      </c>
    </row>
    <row r="714" spans="1:55" x14ac:dyDescent="0.25">
      <c r="A714" t="str">
        <f t="shared" si="11"/>
        <v>A69-1601-4996</v>
      </c>
      <c r="B714" t="s">
        <v>398</v>
      </c>
      <c r="C714" t="s">
        <v>324</v>
      </c>
      <c r="D714" t="s">
        <v>345</v>
      </c>
      <c r="F714">
        <v>4996</v>
      </c>
      <c r="G714" t="s">
        <v>346</v>
      </c>
      <c r="H714" t="s">
        <v>327</v>
      </c>
      <c r="I714" s="20">
        <v>41036</v>
      </c>
      <c r="J714">
        <v>101</v>
      </c>
      <c r="L714" t="s">
        <v>109</v>
      </c>
      <c r="M714" t="s">
        <v>328</v>
      </c>
      <c r="N714" t="s">
        <v>329</v>
      </c>
      <c r="O714" t="s">
        <v>330</v>
      </c>
      <c r="P714" t="s">
        <v>331</v>
      </c>
      <c r="U714">
        <v>0.51</v>
      </c>
      <c r="V714">
        <v>0.32100000000000001</v>
      </c>
      <c r="W714" t="s">
        <v>399</v>
      </c>
      <c r="Y714" t="s">
        <v>332</v>
      </c>
      <c r="AB714" t="s">
        <v>341</v>
      </c>
      <c r="AC714" t="s">
        <v>342</v>
      </c>
      <c r="AD714" s="39">
        <v>46.30641</v>
      </c>
      <c r="AE714" s="39">
        <v>-84.06129</v>
      </c>
      <c r="AF714" s="18">
        <v>41038.930555555555</v>
      </c>
      <c r="AG714" s="19">
        <v>41038.763888888891</v>
      </c>
      <c r="AH714" t="s">
        <v>161</v>
      </c>
      <c r="AL714" t="s">
        <v>335</v>
      </c>
      <c r="AM714" s="20">
        <v>41036</v>
      </c>
      <c r="AR714" s="39" t="s">
        <v>400</v>
      </c>
      <c r="AS714" s="39"/>
      <c r="AT714" s="39">
        <v>200</v>
      </c>
      <c r="AZ714" t="s">
        <v>108</v>
      </c>
      <c r="BC714" t="s">
        <v>336</v>
      </c>
    </row>
    <row r="715" spans="1:55" x14ac:dyDescent="0.25">
      <c r="A715" t="str">
        <f t="shared" si="11"/>
        <v>A69-1601-4995</v>
      </c>
      <c r="B715" t="s">
        <v>398</v>
      </c>
      <c r="C715" t="s">
        <v>324</v>
      </c>
      <c r="D715" t="s">
        <v>345</v>
      </c>
      <c r="F715">
        <v>4995</v>
      </c>
      <c r="G715" t="s">
        <v>346</v>
      </c>
      <c r="H715" t="s">
        <v>327</v>
      </c>
      <c r="I715" s="20">
        <v>41036</v>
      </c>
      <c r="J715">
        <v>101</v>
      </c>
      <c r="L715" t="s">
        <v>109</v>
      </c>
      <c r="M715" t="s">
        <v>328</v>
      </c>
      <c r="N715" t="s">
        <v>329</v>
      </c>
      <c r="O715" t="s">
        <v>330</v>
      </c>
      <c r="P715" t="s">
        <v>331</v>
      </c>
      <c r="U715">
        <v>0.51</v>
      </c>
      <c r="V715">
        <v>0.26700000000000002</v>
      </c>
      <c r="W715" t="s">
        <v>399</v>
      </c>
      <c r="Y715" t="s">
        <v>332</v>
      </c>
      <c r="AB715" t="s">
        <v>341</v>
      </c>
      <c r="AC715" t="s">
        <v>342</v>
      </c>
      <c r="AD715" s="39">
        <v>46.30641</v>
      </c>
      <c r="AE715" s="39">
        <v>-84.06129</v>
      </c>
      <c r="AF715" s="18">
        <v>41038.930555555555</v>
      </c>
      <c r="AG715" s="19">
        <v>41038.763888888891</v>
      </c>
      <c r="AH715" t="s">
        <v>161</v>
      </c>
      <c r="AL715" t="s">
        <v>335</v>
      </c>
      <c r="AM715" s="20">
        <v>41036</v>
      </c>
      <c r="AR715" s="39" t="s">
        <v>400</v>
      </c>
      <c r="AS715" s="39"/>
      <c r="AT715" s="39">
        <v>200</v>
      </c>
      <c r="AZ715" t="s">
        <v>108</v>
      </c>
      <c r="BC715" t="s">
        <v>336</v>
      </c>
    </row>
    <row r="716" spans="1:55" x14ac:dyDescent="0.25">
      <c r="A716" t="str">
        <f t="shared" si="11"/>
        <v>A69-1601-5006</v>
      </c>
      <c r="B716" t="s">
        <v>398</v>
      </c>
      <c r="C716" t="s">
        <v>324</v>
      </c>
      <c r="D716" t="s">
        <v>345</v>
      </c>
      <c r="F716">
        <v>5006</v>
      </c>
      <c r="G716" t="s">
        <v>346</v>
      </c>
      <c r="H716" t="s">
        <v>327</v>
      </c>
      <c r="I716" s="20">
        <v>41036</v>
      </c>
      <c r="J716">
        <v>101</v>
      </c>
      <c r="L716" t="s">
        <v>109</v>
      </c>
      <c r="M716" t="s">
        <v>328</v>
      </c>
      <c r="N716" t="s">
        <v>329</v>
      </c>
      <c r="O716" t="s">
        <v>330</v>
      </c>
      <c r="P716" t="s">
        <v>331</v>
      </c>
      <c r="U716">
        <v>0.51</v>
      </c>
      <c r="V716">
        <v>0.29799999999999999</v>
      </c>
      <c r="W716" t="s">
        <v>399</v>
      </c>
      <c r="Y716" t="s">
        <v>332</v>
      </c>
      <c r="AB716" t="s">
        <v>341</v>
      </c>
      <c r="AC716" t="s">
        <v>342</v>
      </c>
      <c r="AD716" s="39">
        <v>46.30641</v>
      </c>
      <c r="AE716" s="39">
        <v>-84.06129</v>
      </c>
      <c r="AF716" s="18">
        <v>41038.930555555555</v>
      </c>
      <c r="AG716" s="19">
        <v>41038.763888888891</v>
      </c>
      <c r="AH716" t="s">
        <v>161</v>
      </c>
      <c r="AL716" t="s">
        <v>335</v>
      </c>
      <c r="AM716" s="20">
        <v>41036</v>
      </c>
      <c r="AR716" s="39" t="s">
        <v>400</v>
      </c>
      <c r="AS716" s="39"/>
      <c r="AT716" s="39">
        <v>200</v>
      </c>
      <c r="AZ716" t="s">
        <v>108</v>
      </c>
      <c r="BC716" t="s">
        <v>336</v>
      </c>
    </row>
    <row r="717" spans="1:55" x14ac:dyDescent="0.25">
      <c r="A717" t="str">
        <f t="shared" si="11"/>
        <v>A69-1601-5005</v>
      </c>
      <c r="B717" t="s">
        <v>398</v>
      </c>
      <c r="C717" t="s">
        <v>324</v>
      </c>
      <c r="D717" t="s">
        <v>345</v>
      </c>
      <c r="F717">
        <v>5005</v>
      </c>
      <c r="G717" t="s">
        <v>346</v>
      </c>
      <c r="H717" t="s">
        <v>327</v>
      </c>
      <c r="I717" s="20">
        <v>41036</v>
      </c>
      <c r="J717">
        <v>101</v>
      </c>
      <c r="L717" t="s">
        <v>109</v>
      </c>
      <c r="M717" t="s">
        <v>328</v>
      </c>
      <c r="N717" t="s">
        <v>329</v>
      </c>
      <c r="O717" t="s">
        <v>330</v>
      </c>
      <c r="P717" t="s">
        <v>331</v>
      </c>
      <c r="U717">
        <v>0.43</v>
      </c>
      <c r="V717">
        <v>0.191</v>
      </c>
      <c r="W717" t="s">
        <v>399</v>
      </c>
      <c r="Y717" t="s">
        <v>332</v>
      </c>
      <c r="AB717" t="s">
        <v>341</v>
      </c>
      <c r="AC717" t="s">
        <v>342</v>
      </c>
      <c r="AD717" s="39">
        <v>46.30641</v>
      </c>
      <c r="AE717" s="39">
        <v>-84.06129</v>
      </c>
      <c r="AF717" s="18">
        <v>41038.930555555555</v>
      </c>
      <c r="AG717" s="19">
        <v>41038.763888888891</v>
      </c>
      <c r="AH717" t="s">
        <v>161</v>
      </c>
      <c r="AL717" t="s">
        <v>335</v>
      </c>
      <c r="AM717" s="20">
        <v>41036</v>
      </c>
      <c r="AR717" s="39" t="s">
        <v>400</v>
      </c>
      <c r="AS717" s="39"/>
      <c r="AT717" s="39">
        <v>200</v>
      </c>
      <c r="AZ717" t="s">
        <v>108</v>
      </c>
      <c r="BC717" t="s">
        <v>336</v>
      </c>
    </row>
    <row r="718" spans="1:55" x14ac:dyDescent="0.25">
      <c r="A718" t="str">
        <f t="shared" si="11"/>
        <v>A69-1601-5004</v>
      </c>
      <c r="B718" t="s">
        <v>398</v>
      </c>
      <c r="C718" t="s">
        <v>324</v>
      </c>
      <c r="D718" t="s">
        <v>345</v>
      </c>
      <c r="F718">
        <v>5004</v>
      </c>
      <c r="G718" t="s">
        <v>346</v>
      </c>
      <c r="H718" t="s">
        <v>327</v>
      </c>
      <c r="I718" s="20">
        <v>41036</v>
      </c>
      <c r="J718">
        <v>101</v>
      </c>
      <c r="L718" t="s">
        <v>109</v>
      </c>
      <c r="M718" t="s">
        <v>328</v>
      </c>
      <c r="N718" t="s">
        <v>329</v>
      </c>
      <c r="O718" t="s">
        <v>330</v>
      </c>
      <c r="P718" t="s">
        <v>331</v>
      </c>
      <c r="U718">
        <v>0.46</v>
      </c>
      <c r="V718">
        <v>0.19900000000000001</v>
      </c>
      <c r="W718" t="s">
        <v>399</v>
      </c>
      <c r="Y718" t="s">
        <v>332</v>
      </c>
      <c r="AB718" t="s">
        <v>341</v>
      </c>
      <c r="AC718" t="s">
        <v>342</v>
      </c>
      <c r="AD718" s="39">
        <v>46.30641</v>
      </c>
      <c r="AE718" s="39">
        <v>-84.06129</v>
      </c>
      <c r="AF718" s="18">
        <v>41038.930555555555</v>
      </c>
      <c r="AG718" s="19">
        <v>41038.763888888891</v>
      </c>
      <c r="AH718" t="s">
        <v>161</v>
      </c>
      <c r="AL718" t="s">
        <v>335</v>
      </c>
      <c r="AM718" s="20">
        <v>41036</v>
      </c>
      <c r="AR718" s="39" t="s">
        <v>400</v>
      </c>
      <c r="AS718" s="39"/>
      <c r="AT718" s="39">
        <v>200</v>
      </c>
      <c r="AZ718" t="s">
        <v>108</v>
      </c>
      <c r="BC718" t="s">
        <v>336</v>
      </c>
    </row>
    <row r="719" spans="1:55" x14ac:dyDescent="0.25">
      <c r="A719" t="str">
        <f t="shared" si="11"/>
        <v>A69-1601-5003</v>
      </c>
      <c r="B719" t="s">
        <v>398</v>
      </c>
      <c r="C719" t="s">
        <v>324</v>
      </c>
      <c r="D719" t="s">
        <v>345</v>
      </c>
      <c r="F719">
        <v>5003</v>
      </c>
      <c r="G719" t="s">
        <v>346</v>
      </c>
      <c r="H719" t="s">
        <v>327</v>
      </c>
      <c r="I719" s="20">
        <v>41036</v>
      </c>
      <c r="J719">
        <v>101</v>
      </c>
      <c r="L719" t="s">
        <v>109</v>
      </c>
      <c r="M719" t="s">
        <v>328</v>
      </c>
      <c r="N719" t="s">
        <v>329</v>
      </c>
      <c r="O719" t="s">
        <v>330</v>
      </c>
      <c r="P719" t="s">
        <v>331</v>
      </c>
      <c r="U719">
        <v>0.53</v>
      </c>
      <c r="V719">
        <v>0.31900000000000001</v>
      </c>
      <c r="W719" t="s">
        <v>399</v>
      </c>
      <c r="Y719" t="s">
        <v>332</v>
      </c>
      <c r="AB719" t="s">
        <v>341</v>
      </c>
      <c r="AC719" t="s">
        <v>342</v>
      </c>
      <c r="AD719" s="39">
        <v>46.30641</v>
      </c>
      <c r="AE719" s="39">
        <v>-84.06129</v>
      </c>
      <c r="AF719" s="18">
        <v>41038.930555555555</v>
      </c>
      <c r="AG719" s="19">
        <v>41038.763888888891</v>
      </c>
      <c r="AH719" t="s">
        <v>161</v>
      </c>
      <c r="AL719" t="s">
        <v>335</v>
      </c>
      <c r="AM719" s="20">
        <v>41036</v>
      </c>
      <c r="AR719" s="39" t="s">
        <v>400</v>
      </c>
      <c r="AS719" s="39"/>
      <c r="AT719" s="39">
        <v>200</v>
      </c>
      <c r="AZ719" t="s">
        <v>108</v>
      </c>
      <c r="BC719" t="s">
        <v>336</v>
      </c>
    </row>
    <row r="720" spans="1:55" x14ac:dyDescent="0.25">
      <c r="A720" t="str">
        <f t="shared" si="11"/>
        <v>A69-1601-5002</v>
      </c>
      <c r="B720" t="s">
        <v>398</v>
      </c>
      <c r="C720" t="s">
        <v>324</v>
      </c>
      <c r="D720" t="s">
        <v>345</v>
      </c>
      <c r="F720">
        <v>5002</v>
      </c>
      <c r="G720" t="s">
        <v>346</v>
      </c>
      <c r="H720" t="s">
        <v>327</v>
      </c>
      <c r="I720" s="20">
        <v>41036</v>
      </c>
      <c r="J720">
        <v>101</v>
      </c>
      <c r="L720" t="s">
        <v>109</v>
      </c>
      <c r="M720" t="s">
        <v>328</v>
      </c>
      <c r="N720" t="s">
        <v>329</v>
      </c>
      <c r="O720" t="s">
        <v>330</v>
      </c>
      <c r="P720" t="s">
        <v>331</v>
      </c>
      <c r="U720">
        <v>0.5</v>
      </c>
      <c r="V720">
        <v>0.24399999999999999</v>
      </c>
      <c r="W720" t="s">
        <v>399</v>
      </c>
      <c r="Y720" t="s">
        <v>332</v>
      </c>
      <c r="AB720" t="s">
        <v>341</v>
      </c>
      <c r="AC720" t="s">
        <v>342</v>
      </c>
      <c r="AD720" s="39">
        <v>46.30641</v>
      </c>
      <c r="AE720" s="39">
        <v>-84.06129</v>
      </c>
      <c r="AF720" s="18">
        <v>41038.930555555555</v>
      </c>
      <c r="AG720" s="19">
        <v>41038.763888888891</v>
      </c>
      <c r="AH720" t="s">
        <v>161</v>
      </c>
      <c r="AL720" t="s">
        <v>335</v>
      </c>
      <c r="AM720" s="20">
        <v>41036</v>
      </c>
      <c r="AR720" s="39" t="s">
        <v>400</v>
      </c>
      <c r="AS720" s="39"/>
      <c r="AT720" s="39">
        <v>200</v>
      </c>
      <c r="AZ720" t="s">
        <v>108</v>
      </c>
      <c r="BC720" t="s">
        <v>336</v>
      </c>
    </row>
    <row r="721" spans="1:71" x14ac:dyDescent="0.25">
      <c r="A721" t="str">
        <f t="shared" si="11"/>
        <v>A69-1601-5001</v>
      </c>
      <c r="B721" t="s">
        <v>398</v>
      </c>
      <c r="C721" t="s">
        <v>324</v>
      </c>
      <c r="D721" t="s">
        <v>345</v>
      </c>
      <c r="F721">
        <v>5001</v>
      </c>
      <c r="G721" t="s">
        <v>346</v>
      </c>
      <c r="H721" t="s">
        <v>327</v>
      </c>
      <c r="I721" s="20">
        <v>41036</v>
      </c>
      <c r="J721">
        <v>101</v>
      </c>
      <c r="L721" t="s">
        <v>109</v>
      </c>
      <c r="M721" t="s">
        <v>328</v>
      </c>
      <c r="N721" t="s">
        <v>329</v>
      </c>
      <c r="O721" t="s">
        <v>330</v>
      </c>
      <c r="P721" t="s">
        <v>331</v>
      </c>
      <c r="U721">
        <v>0.47000000000000003</v>
      </c>
      <c r="V721">
        <v>0.24099999999999999</v>
      </c>
      <c r="W721" t="s">
        <v>399</v>
      </c>
      <c r="Y721" t="s">
        <v>332</v>
      </c>
      <c r="AB721" t="s">
        <v>341</v>
      </c>
      <c r="AC721" t="s">
        <v>342</v>
      </c>
      <c r="AD721" s="39">
        <v>46.30641</v>
      </c>
      <c r="AE721" s="39">
        <v>-84.06129</v>
      </c>
      <c r="AF721" s="18">
        <v>41038.930555555555</v>
      </c>
      <c r="AG721" s="19">
        <v>41038.763888888891</v>
      </c>
      <c r="AH721" t="s">
        <v>161</v>
      </c>
      <c r="AL721" t="s">
        <v>335</v>
      </c>
      <c r="AM721" s="20">
        <v>41036</v>
      </c>
      <c r="AR721" s="39" t="s">
        <v>400</v>
      </c>
      <c r="AS721" s="39"/>
      <c r="AT721" s="39">
        <v>200</v>
      </c>
      <c r="AZ721" t="s">
        <v>108</v>
      </c>
      <c r="BC721" t="s">
        <v>336</v>
      </c>
    </row>
    <row r="722" spans="1:71" x14ac:dyDescent="0.25">
      <c r="A722" t="str">
        <f t="shared" si="11"/>
        <v>A69-1601-5007</v>
      </c>
      <c r="B722" t="s">
        <v>398</v>
      </c>
      <c r="C722" t="s">
        <v>324</v>
      </c>
      <c r="D722" t="s">
        <v>345</v>
      </c>
      <c r="F722">
        <v>5007</v>
      </c>
      <c r="G722" t="s">
        <v>346</v>
      </c>
      <c r="H722" t="s">
        <v>327</v>
      </c>
      <c r="I722" s="20">
        <v>41036</v>
      </c>
      <c r="J722">
        <v>101</v>
      </c>
      <c r="L722" t="s">
        <v>109</v>
      </c>
      <c r="M722" t="s">
        <v>328</v>
      </c>
      <c r="N722" t="s">
        <v>329</v>
      </c>
      <c r="O722" t="s">
        <v>330</v>
      </c>
      <c r="P722" t="s">
        <v>331</v>
      </c>
      <c r="U722">
        <v>0.5</v>
      </c>
      <c r="V722">
        <v>0.25600000000000001</v>
      </c>
      <c r="W722" t="s">
        <v>399</v>
      </c>
      <c r="Y722" t="s">
        <v>332</v>
      </c>
      <c r="AB722" t="s">
        <v>341</v>
      </c>
      <c r="AC722" t="s">
        <v>342</v>
      </c>
      <c r="AD722" s="39">
        <v>46.30641</v>
      </c>
      <c r="AE722" s="39">
        <v>-84.06129</v>
      </c>
      <c r="AF722" s="18">
        <v>41038.930555555555</v>
      </c>
      <c r="AG722" s="19">
        <v>41038.763888888891</v>
      </c>
      <c r="AH722" t="s">
        <v>161</v>
      </c>
      <c r="AL722" t="s">
        <v>335</v>
      </c>
      <c r="AM722" s="20">
        <v>41036</v>
      </c>
      <c r="AR722" s="39" t="s">
        <v>400</v>
      </c>
      <c r="AS722" s="39"/>
      <c r="AT722" s="39">
        <v>200</v>
      </c>
      <c r="AZ722" t="s">
        <v>108</v>
      </c>
      <c r="BC722" t="s">
        <v>163</v>
      </c>
      <c r="BD722" s="20">
        <v>41072</v>
      </c>
      <c r="BF722" s="21" t="s">
        <v>406</v>
      </c>
      <c r="BG722" s="38" t="s">
        <v>113</v>
      </c>
      <c r="BH722" s="1" t="s">
        <v>408</v>
      </c>
      <c r="BI722" s="1">
        <v>46.514783999999999</v>
      </c>
      <c r="BJ722" s="1">
        <v>-84.346945000000005</v>
      </c>
      <c r="BK722" s="1" t="s">
        <v>404</v>
      </c>
      <c r="BL722" s="1" t="s">
        <v>163</v>
      </c>
      <c r="BM722" s="1" t="s">
        <v>163</v>
      </c>
      <c r="BN722" s="1" t="s">
        <v>420</v>
      </c>
      <c r="BO722" s="39">
        <v>18317</v>
      </c>
      <c r="BP722" s="39">
        <v>18318</v>
      </c>
      <c r="BQ722" s="39" t="s">
        <v>332</v>
      </c>
      <c r="BR722" s="39">
        <v>486</v>
      </c>
      <c r="BS722" s="39">
        <v>234</v>
      </c>
    </row>
    <row r="723" spans="1:71" x14ac:dyDescent="0.25">
      <c r="A723" t="str">
        <f t="shared" si="11"/>
        <v>A69-1601-5008</v>
      </c>
      <c r="B723" t="s">
        <v>398</v>
      </c>
      <c r="C723" t="s">
        <v>324</v>
      </c>
      <c r="D723" t="s">
        <v>345</v>
      </c>
      <c r="F723">
        <v>5008</v>
      </c>
      <c r="G723" t="s">
        <v>346</v>
      </c>
      <c r="H723" t="s">
        <v>327</v>
      </c>
      <c r="I723" s="20">
        <v>41036</v>
      </c>
      <c r="J723">
        <v>101</v>
      </c>
      <c r="L723" t="s">
        <v>109</v>
      </c>
      <c r="M723" t="s">
        <v>328</v>
      </c>
      <c r="N723" t="s">
        <v>329</v>
      </c>
      <c r="O723" t="s">
        <v>330</v>
      </c>
      <c r="P723" t="s">
        <v>331</v>
      </c>
      <c r="U723">
        <v>0.49</v>
      </c>
      <c r="V723">
        <v>0.247</v>
      </c>
      <c r="W723" t="s">
        <v>399</v>
      </c>
      <c r="Y723" t="s">
        <v>332</v>
      </c>
      <c r="AB723" t="s">
        <v>341</v>
      </c>
      <c r="AC723" t="s">
        <v>342</v>
      </c>
      <c r="AD723" s="39">
        <v>46.30641</v>
      </c>
      <c r="AE723" s="39">
        <v>-84.06129</v>
      </c>
      <c r="AF723" s="18">
        <v>41038.930555555555</v>
      </c>
      <c r="AG723" s="19">
        <v>41038.763888888891</v>
      </c>
      <c r="AH723" t="s">
        <v>161</v>
      </c>
      <c r="AL723" t="s">
        <v>335</v>
      </c>
      <c r="AM723" s="20">
        <v>41036</v>
      </c>
      <c r="AR723" s="39" t="s">
        <v>400</v>
      </c>
      <c r="AS723" s="39"/>
      <c r="AT723" s="39">
        <v>200</v>
      </c>
      <c r="AZ723" t="s">
        <v>108</v>
      </c>
      <c r="BC723" t="s">
        <v>336</v>
      </c>
    </row>
    <row r="724" spans="1:71" x14ac:dyDescent="0.25">
      <c r="A724" t="str">
        <f t="shared" si="11"/>
        <v>A69-1601-5009</v>
      </c>
      <c r="B724" t="s">
        <v>398</v>
      </c>
      <c r="C724" t="s">
        <v>324</v>
      </c>
      <c r="D724" t="s">
        <v>345</v>
      </c>
      <c r="F724">
        <v>5009</v>
      </c>
      <c r="G724" t="s">
        <v>346</v>
      </c>
      <c r="H724" t="s">
        <v>327</v>
      </c>
      <c r="I724" s="20">
        <v>41036</v>
      </c>
      <c r="J724">
        <v>101</v>
      </c>
      <c r="L724" t="s">
        <v>109</v>
      </c>
      <c r="M724" t="s">
        <v>328</v>
      </c>
      <c r="N724" t="s">
        <v>329</v>
      </c>
      <c r="O724" t="s">
        <v>330</v>
      </c>
      <c r="P724" t="s">
        <v>331</v>
      </c>
      <c r="U724">
        <v>0.49</v>
      </c>
      <c r="V724">
        <v>0.26100000000000001</v>
      </c>
      <c r="W724" t="s">
        <v>399</v>
      </c>
      <c r="Y724" t="s">
        <v>332</v>
      </c>
      <c r="AB724" t="s">
        <v>341</v>
      </c>
      <c r="AC724" t="s">
        <v>342</v>
      </c>
      <c r="AD724" s="39">
        <v>46.30641</v>
      </c>
      <c r="AE724" s="39">
        <v>-84.06129</v>
      </c>
      <c r="AF724" s="18">
        <v>41038.930555555555</v>
      </c>
      <c r="AG724" s="19">
        <v>41038.763888888891</v>
      </c>
      <c r="AH724" t="s">
        <v>161</v>
      </c>
      <c r="AL724" t="s">
        <v>335</v>
      </c>
      <c r="AM724" s="20">
        <v>41036</v>
      </c>
      <c r="AR724" s="39" t="s">
        <v>400</v>
      </c>
      <c r="AS724" s="39"/>
      <c r="AT724" s="39">
        <v>200</v>
      </c>
      <c r="AZ724" t="s">
        <v>108</v>
      </c>
      <c r="BC724" t="s">
        <v>336</v>
      </c>
    </row>
    <row r="725" spans="1:71" x14ac:dyDescent="0.25">
      <c r="A725" t="str">
        <f t="shared" si="11"/>
        <v>A69-1601-5010</v>
      </c>
      <c r="B725" t="s">
        <v>398</v>
      </c>
      <c r="C725" t="s">
        <v>324</v>
      </c>
      <c r="D725" t="s">
        <v>345</v>
      </c>
      <c r="F725">
        <v>5010</v>
      </c>
      <c r="G725" t="s">
        <v>346</v>
      </c>
      <c r="H725" t="s">
        <v>327</v>
      </c>
      <c r="I725" s="20">
        <v>41036</v>
      </c>
      <c r="J725">
        <v>101</v>
      </c>
      <c r="L725" t="s">
        <v>109</v>
      </c>
      <c r="M725" t="s">
        <v>328</v>
      </c>
      <c r="N725" t="s">
        <v>329</v>
      </c>
      <c r="O725" t="s">
        <v>330</v>
      </c>
      <c r="P725" t="s">
        <v>331</v>
      </c>
      <c r="U725">
        <v>0.48</v>
      </c>
      <c r="V725">
        <v>0.22800000000000001</v>
      </c>
      <c r="W725" t="s">
        <v>399</v>
      </c>
      <c r="Y725" t="s">
        <v>332</v>
      </c>
      <c r="AB725" t="s">
        <v>341</v>
      </c>
      <c r="AC725" t="s">
        <v>342</v>
      </c>
      <c r="AD725" s="39">
        <v>46.30641</v>
      </c>
      <c r="AE725" s="39">
        <v>-84.06129</v>
      </c>
      <c r="AF725" s="18">
        <v>41038.930555555555</v>
      </c>
      <c r="AG725" s="19">
        <v>41038.763888888891</v>
      </c>
      <c r="AH725" t="s">
        <v>161</v>
      </c>
      <c r="AL725" t="s">
        <v>335</v>
      </c>
      <c r="AM725" s="20">
        <v>41036</v>
      </c>
      <c r="AR725" s="39" t="s">
        <v>400</v>
      </c>
      <c r="AS725" s="39"/>
      <c r="AT725" s="39">
        <v>200</v>
      </c>
      <c r="AZ725" t="s">
        <v>108</v>
      </c>
      <c r="BC725" t="s">
        <v>336</v>
      </c>
    </row>
    <row r="726" spans="1:71" x14ac:dyDescent="0.25">
      <c r="A726" t="str">
        <f t="shared" si="11"/>
        <v>A69-1601-5012</v>
      </c>
      <c r="B726" t="s">
        <v>398</v>
      </c>
      <c r="C726" t="s">
        <v>324</v>
      </c>
      <c r="D726" t="s">
        <v>345</v>
      </c>
      <c r="F726">
        <v>5012</v>
      </c>
      <c r="G726" t="s">
        <v>346</v>
      </c>
      <c r="H726" t="s">
        <v>327</v>
      </c>
      <c r="I726" s="20">
        <v>41036</v>
      </c>
      <c r="J726">
        <v>101</v>
      </c>
      <c r="L726" t="s">
        <v>109</v>
      </c>
      <c r="M726" t="s">
        <v>328</v>
      </c>
      <c r="N726" t="s">
        <v>329</v>
      </c>
      <c r="O726" t="s">
        <v>330</v>
      </c>
      <c r="P726" t="s">
        <v>331</v>
      </c>
      <c r="U726">
        <v>0.48</v>
      </c>
      <c r="V726">
        <v>0.22700000000000001</v>
      </c>
      <c r="W726" t="s">
        <v>399</v>
      </c>
      <c r="Y726" t="s">
        <v>337</v>
      </c>
      <c r="AB726" t="s">
        <v>341</v>
      </c>
      <c r="AC726" t="s">
        <v>342</v>
      </c>
      <c r="AD726" s="39">
        <v>46.30641</v>
      </c>
      <c r="AE726" s="39">
        <v>-84.06129</v>
      </c>
      <c r="AF726" s="18">
        <v>41038.930555555555</v>
      </c>
      <c r="AG726" s="19">
        <v>41038.763888888891</v>
      </c>
      <c r="AH726" t="s">
        <v>161</v>
      </c>
      <c r="AL726" t="s">
        <v>335</v>
      </c>
      <c r="AM726" s="20">
        <v>41036</v>
      </c>
      <c r="AR726" s="39" t="s">
        <v>400</v>
      </c>
      <c r="AS726" s="39"/>
      <c r="AT726" s="39">
        <v>200</v>
      </c>
      <c r="AZ726" t="s">
        <v>108</v>
      </c>
      <c r="BC726" t="s">
        <v>336</v>
      </c>
    </row>
    <row r="727" spans="1:71" x14ac:dyDescent="0.25">
      <c r="A727" t="str">
        <f t="shared" si="11"/>
        <v>A69-1601-5011</v>
      </c>
      <c r="B727" t="s">
        <v>398</v>
      </c>
      <c r="C727" t="s">
        <v>324</v>
      </c>
      <c r="D727" t="s">
        <v>345</v>
      </c>
      <c r="F727">
        <v>5011</v>
      </c>
      <c r="G727" t="s">
        <v>346</v>
      </c>
      <c r="H727" t="s">
        <v>327</v>
      </c>
      <c r="I727" s="20">
        <v>41036</v>
      </c>
      <c r="J727">
        <v>101</v>
      </c>
      <c r="L727" t="s">
        <v>109</v>
      </c>
      <c r="M727" t="s">
        <v>328</v>
      </c>
      <c r="N727" t="s">
        <v>329</v>
      </c>
      <c r="O727" t="s">
        <v>330</v>
      </c>
      <c r="P727" t="s">
        <v>331</v>
      </c>
      <c r="U727">
        <v>0.47000000000000003</v>
      </c>
      <c r="V727">
        <v>0.22600000000000001</v>
      </c>
      <c r="W727" t="s">
        <v>399</v>
      </c>
      <c r="Y727" t="s">
        <v>337</v>
      </c>
      <c r="AB727" t="s">
        <v>341</v>
      </c>
      <c r="AC727" t="s">
        <v>342</v>
      </c>
      <c r="AD727" s="39">
        <v>46.30641</v>
      </c>
      <c r="AE727" s="39">
        <v>-84.06129</v>
      </c>
      <c r="AF727" s="18">
        <v>41038.930555555555</v>
      </c>
      <c r="AG727" s="19">
        <v>41038.763888888891</v>
      </c>
      <c r="AH727" t="s">
        <v>161</v>
      </c>
      <c r="AL727" t="s">
        <v>335</v>
      </c>
      <c r="AM727" s="20">
        <v>41036</v>
      </c>
      <c r="AR727" s="39" t="s">
        <v>400</v>
      </c>
      <c r="AS727" s="39"/>
      <c r="AT727" s="39">
        <v>200</v>
      </c>
      <c r="AZ727" t="s">
        <v>108</v>
      </c>
      <c r="BC727" t="s">
        <v>336</v>
      </c>
    </row>
    <row r="728" spans="1:71" x14ac:dyDescent="0.25">
      <c r="A728" t="str">
        <f t="shared" si="11"/>
        <v>A69-1601-4989</v>
      </c>
      <c r="B728" t="s">
        <v>398</v>
      </c>
      <c r="C728" t="s">
        <v>324</v>
      </c>
      <c r="D728" t="s">
        <v>345</v>
      </c>
      <c r="F728">
        <v>4989</v>
      </c>
      <c r="G728" t="s">
        <v>346</v>
      </c>
      <c r="H728" t="s">
        <v>327</v>
      </c>
      <c r="I728" s="20">
        <v>41036</v>
      </c>
      <c r="J728">
        <v>101</v>
      </c>
      <c r="L728" t="s">
        <v>109</v>
      </c>
      <c r="M728" t="s">
        <v>328</v>
      </c>
      <c r="N728" t="s">
        <v>329</v>
      </c>
      <c r="O728" t="s">
        <v>330</v>
      </c>
      <c r="P728" t="s">
        <v>331</v>
      </c>
      <c r="U728">
        <v>0.51</v>
      </c>
      <c r="V728">
        <v>0.30499999999999999</v>
      </c>
      <c r="W728" t="s">
        <v>399</v>
      </c>
      <c r="Y728" t="s">
        <v>337</v>
      </c>
      <c r="AB728" t="s">
        <v>341</v>
      </c>
      <c r="AC728" t="s">
        <v>342</v>
      </c>
      <c r="AD728" s="39">
        <v>46.30641</v>
      </c>
      <c r="AE728" s="39">
        <v>-84.06129</v>
      </c>
      <c r="AF728" s="18">
        <v>41038.930555555555</v>
      </c>
      <c r="AG728" s="19">
        <v>41038.763888888891</v>
      </c>
      <c r="AH728" t="s">
        <v>161</v>
      </c>
      <c r="AL728" t="s">
        <v>335</v>
      </c>
      <c r="AM728" s="20">
        <v>41036</v>
      </c>
      <c r="AR728" s="39" t="s">
        <v>400</v>
      </c>
      <c r="AS728" s="39"/>
      <c r="AT728" s="39">
        <v>200</v>
      </c>
      <c r="AZ728" t="s">
        <v>108</v>
      </c>
      <c r="BC728" t="s">
        <v>336</v>
      </c>
    </row>
    <row r="729" spans="1:71" x14ac:dyDescent="0.25">
      <c r="A729" t="str">
        <f t="shared" si="11"/>
        <v>A69-1601-4990</v>
      </c>
      <c r="B729" t="s">
        <v>398</v>
      </c>
      <c r="C729" t="s">
        <v>324</v>
      </c>
      <c r="D729" t="s">
        <v>345</v>
      </c>
      <c r="F729">
        <v>4990</v>
      </c>
      <c r="G729" t="s">
        <v>346</v>
      </c>
      <c r="H729" t="s">
        <v>327</v>
      </c>
      <c r="I729" s="20">
        <v>41036</v>
      </c>
      <c r="J729">
        <v>101</v>
      </c>
      <c r="L729" t="s">
        <v>109</v>
      </c>
      <c r="M729" t="s">
        <v>328</v>
      </c>
      <c r="N729" t="s">
        <v>329</v>
      </c>
      <c r="O729" t="s">
        <v>330</v>
      </c>
      <c r="P729" t="s">
        <v>331</v>
      </c>
      <c r="U729">
        <v>0.46</v>
      </c>
      <c r="V729">
        <v>0.20700000000000002</v>
      </c>
      <c r="W729" t="s">
        <v>399</v>
      </c>
      <c r="Y729" t="s">
        <v>337</v>
      </c>
      <c r="AB729" t="s">
        <v>341</v>
      </c>
      <c r="AC729" t="s">
        <v>342</v>
      </c>
      <c r="AD729" s="39">
        <v>46.30641</v>
      </c>
      <c r="AE729" s="39">
        <v>-84.06129</v>
      </c>
      <c r="AF729" s="18">
        <v>41038.930555555555</v>
      </c>
      <c r="AG729" s="19">
        <v>41038.763888888891</v>
      </c>
      <c r="AH729" t="s">
        <v>161</v>
      </c>
      <c r="AL729" t="s">
        <v>335</v>
      </c>
      <c r="AM729" s="20">
        <v>41036</v>
      </c>
      <c r="AR729" s="39" t="s">
        <v>400</v>
      </c>
      <c r="AS729" s="39"/>
      <c r="AT729" s="39">
        <v>200</v>
      </c>
      <c r="AZ729" t="s">
        <v>108</v>
      </c>
      <c r="BC729" t="s">
        <v>336</v>
      </c>
    </row>
    <row r="730" spans="1:71" x14ac:dyDescent="0.25">
      <c r="A730" t="str">
        <f t="shared" si="11"/>
        <v>A69-1601-4991</v>
      </c>
      <c r="B730" t="s">
        <v>398</v>
      </c>
      <c r="C730" t="s">
        <v>324</v>
      </c>
      <c r="D730" t="s">
        <v>345</v>
      </c>
      <c r="F730">
        <v>4991</v>
      </c>
      <c r="G730" t="s">
        <v>346</v>
      </c>
      <c r="H730" t="s">
        <v>327</v>
      </c>
      <c r="I730" s="20">
        <v>41036</v>
      </c>
      <c r="J730">
        <v>101</v>
      </c>
      <c r="L730" t="s">
        <v>109</v>
      </c>
      <c r="M730" t="s">
        <v>328</v>
      </c>
      <c r="N730" t="s">
        <v>329</v>
      </c>
      <c r="O730" t="s">
        <v>330</v>
      </c>
      <c r="P730" t="s">
        <v>331</v>
      </c>
      <c r="U730">
        <v>0.49</v>
      </c>
      <c r="V730">
        <v>0.27</v>
      </c>
      <c r="W730" t="s">
        <v>399</v>
      </c>
      <c r="Y730" t="s">
        <v>337</v>
      </c>
      <c r="AB730" t="s">
        <v>341</v>
      </c>
      <c r="AC730" t="s">
        <v>342</v>
      </c>
      <c r="AD730" s="39">
        <v>46.30641</v>
      </c>
      <c r="AE730" s="39">
        <v>-84.06129</v>
      </c>
      <c r="AF730" s="18">
        <v>41038.930555555555</v>
      </c>
      <c r="AG730" s="19">
        <v>41038.763888888891</v>
      </c>
      <c r="AH730" t="s">
        <v>161</v>
      </c>
      <c r="AL730" t="s">
        <v>335</v>
      </c>
      <c r="AM730" s="20">
        <v>41036</v>
      </c>
      <c r="AR730" s="39" t="s">
        <v>400</v>
      </c>
      <c r="AS730" s="39"/>
      <c r="AT730" s="39">
        <v>200</v>
      </c>
      <c r="AZ730" t="s">
        <v>108</v>
      </c>
      <c r="BC730" t="s">
        <v>336</v>
      </c>
    </row>
    <row r="731" spans="1:71" x14ac:dyDescent="0.25">
      <c r="A731" t="str">
        <f t="shared" si="11"/>
        <v>A69-1601-4992</v>
      </c>
      <c r="B731" t="s">
        <v>398</v>
      </c>
      <c r="C731" t="s">
        <v>324</v>
      </c>
      <c r="D731" t="s">
        <v>345</v>
      </c>
      <c r="F731">
        <v>4992</v>
      </c>
      <c r="G731" t="s">
        <v>346</v>
      </c>
      <c r="H731" t="s">
        <v>327</v>
      </c>
      <c r="I731" s="20">
        <v>41036</v>
      </c>
      <c r="J731">
        <v>101</v>
      </c>
      <c r="L731" t="s">
        <v>109</v>
      </c>
      <c r="M731" t="s">
        <v>328</v>
      </c>
      <c r="N731" t="s">
        <v>329</v>
      </c>
      <c r="O731" t="s">
        <v>330</v>
      </c>
      <c r="P731" t="s">
        <v>331</v>
      </c>
      <c r="U731">
        <v>0.46</v>
      </c>
      <c r="V731">
        <v>0.24</v>
      </c>
      <c r="W731" t="s">
        <v>399</v>
      </c>
      <c r="Y731" t="s">
        <v>337</v>
      </c>
      <c r="AB731" t="s">
        <v>341</v>
      </c>
      <c r="AC731" t="s">
        <v>342</v>
      </c>
      <c r="AD731" s="39">
        <v>46.30641</v>
      </c>
      <c r="AE731" s="39">
        <v>-84.06129</v>
      </c>
      <c r="AF731" s="18">
        <v>41038.930555555555</v>
      </c>
      <c r="AG731" s="19">
        <v>41038.763888888891</v>
      </c>
      <c r="AH731" t="s">
        <v>161</v>
      </c>
      <c r="AL731" t="s">
        <v>335</v>
      </c>
      <c r="AM731" s="20">
        <v>41036</v>
      </c>
      <c r="AR731" s="39" t="s">
        <v>400</v>
      </c>
      <c r="AS731" s="39"/>
      <c r="AT731" s="39">
        <v>200</v>
      </c>
      <c r="AZ731" t="s">
        <v>108</v>
      </c>
      <c r="BC731" t="s">
        <v>336</v>
      </c>
    </row>
    <row r="732" spans="1:71" x14ac:dyDescent="0.25">
      <c r="A732" t="str">
        <f t="shared" si="11"/>
        <v>A69-1601-4993</v>
      </c>
      <c r="B732" t="s">
        <v>398</v>
      </c>
      <c r="C732" t="s">
        <v>324</v>
      </c>
      <c r="D732" t="s">
        <v>345</v>
      </c>
      <c r="F732">
        <v>4993</v>
      </c>
      <c r="G732" t="s">
        <v>346</v>
      </c>
      <c r="H732" t="s">
        <v>327</v>
      </c>
      <c r="I732" s="20">
        <v>41036</v>
      </c>
      <c r="J732">
        <v>101</v>
      </c>
      <c r="L732" t="s">
        <v>109</v>
      </c>
      <c r="M732" t="s">
        <v>328</v>
      </c>
      <c r="N732" t="s">
        <v>329</v>
      </c>
      <c r="O732" t="s">
        <v>330</v>
      </c>
      <c r="P732" t="s">
        <v>331</v>
      </c>
      <c r="U732">
        <v>0.5</v>
      </c>
      <c r="V732">
        <v>0.29599999999999999</v>
      </c>
      <c r="W732" t="s">
        <v>399</v>
      </c>
      <c r="Y732" t="s">
        <v>337</v>
      </c>
      <c r="AB732" t="s">
        <v>341</v>
      </c>
      <c r="AC732" t="s">
        <v>342</v>
      </c>
      <c r="AD732" s="39">
        <v>46.30641</v>
      </c>
      <c r="AE732" s="39">
        <v>-84.06129</v>
      </c>
      <c r="AF732" s="18">
        <v>41038.930555555555</v>
      </c>
      <c r="AG732" s="19">
        <v>41038.763888888891</v>
      </c>
      <c r="AH732" t="s">
        <v>161</v>
      </c>
      <c r="AL732" t="s">
        <v>335</v>
      </c>
      <c r="AM732" s="20">
        <v>41036</v>
      </c>
      <c r="AR732" s="39" t="s">
        <v>400</v>
      </c>
      <c r="AS732" s="39"/>
      <c r="AT732" s="39">
        <v>200</v>
      </c>
      <c r="AZ732" t="s">
        <v>108</v>
      </c>
      <c r="BC732" t="s">
        <v>336</v>
      </c>
    </row>
    <row r="733" spans="1:71" x14ac:dyDescent="0.25">
      <c r="A733" t="str">
        <f t="shared" si="11"/>
        <v>A69-1601-4994</v>
      </c>
      <c r="B733" t="s">
        <v>398</v>
      </c>
      <c r="C733" t="s">
        <v>324</v>
      </c>
      <c r="D733" t="s">
        <v>345</v>
      </c>
      <c r="F733">
        <v>4994</v>
      </c>
      <c r="G733" t="s">
        <v>346</v>
      </c>
      <c r="H733" t="s">
        <v>327</v>
      </c>
      <c r="I733" s="20">
        <v>41036</v>
      </c>
      <c r="J733">
        <v>101</v>
      </c>
      <c r="L733" t="s">
        <v>109</v>
      </c>
      <c r="M733" t="s">
        <v>328</v>
      </c>
      <c r="N733" t="s">
        <v>329</v>
      </c>
      <c r="O733" t="s">
        <v>330</v>
      </c>
      <c r="P733" t="s">
        <v>331</v>
      </c>
      <c r="U733">
        <v>0.46</v>
      </c>
      <c r="V733">
        <v>0.23700000000000002</v>
      </c>
      <c r="W733" t="s">
        <v>399</v>
      </c>
      <c r="Y733" t="s">
        <v>337</v>
      </c>
      <c r="AB733" t="s">
        <v>341</v>
      </c>
      <c r="AC733" t="s">
        <v>342</v>
      </c>
      <c r="AD733" s="39">
        <v>46.30641</v>
      </c>
      <c r="AE733" s="39">
        <v>-84.06129</v>
      </c>
      <c r="AF733" s="18">
        <v>41038.930555555555</v>
      </c>
      <c r="AG733" s="19">
        <v>41038.763888888891</v>
      </c>
      <c r="AH733" t="s">
        <v>161</v>
      </c>
      <c r="AL733" t="s">
        <v>335</v>
      </c>
      <c r="AM733" s="20">
        <v>41036</v>
      </c>
      <c r="AR733" s="39" t="s">
        <v>400</v>
      </c>
      <c r="AS733" s="39"/>
      <c r="AT733" s="39">
        <v>200</v>
      </c>
      <c r="AZ733" t="s">
        <v>108</v>
      </c>
      <c r="BC733" t="s">
        <v>336</v>
      </c>
    </row>
    <row r="734" spans="1:71" x14ac:dyDescent="0.25">
      <c r="A734" t="str">
        <f t="shared" si="11"/>
        <v>A69-1601-4983</v>
      </c>
      <c r="B734" t="s">
        <v>398</v>
      </c>
      <c r="C734" t="s">
        <v>324</v>
      </c>
      <c r="D734" t="s">
        <v>345</v>
      </c>
      <c r="F734">
        <v>4983</v>
      </c>
      <c r="G734" t="s">
        <v>346</v>
      </c>
      <c r="H734" t="s">
        <v>327</v>
      </c>
      <c r="I734" s="20">
        <v>41036</v>
      </c>
      <c r="J734">
        <v>101</v>
      </c>
      <c r="L734" t="s">
        <v>109</v>
      </c>
      <c r="M734" t="s">
        <v>328</v>
      </c>
      <c r="N734" t="s">
        <v>329</v>
      </c>
      <c r="O734" t="s">
        <v>330</v>
      </c>
      <c r="P734" t="s">
        <v>331</v>
      </c>
      <c r="U734">
        <v>0.46</v>
      </c>
      <c r="V734">
        <v>0.25</v>
      </c>
      <c r="W734" t="s">
        <v>399</v>
      </c>
      <c r="Y734" t="s">
        <v>337</v>
      </c>
      <c r="AB734" t="s">
        <v>341</v>
      </c>
      <c r="AC734" t="s">
        <v>342</v>
      </c>
      <c r="AD734" s="39">
        <v>46.30641</v>
      </c>
      <c r="AE734" s="39">
        <v>-84.06129</v>
      </c>
      <c r="AF734" s="18">
        <v>41038.930555555555</v>
      </c>
      <c r="AG734" s="19">
        <v>41038.763888888891</v>
      </c>
      <c r="AH734" t="s">
        <v>161</v>
      </c>
      <c r="AL734" t="s">
        <v>335</v>
      </c>
      <c r="AM734" s="20">
        <v>41036</v>
      </c>
      <c r="AR734" s="39" t="s">
        <v>400</v>
      </c>
      <c r="AS734" s="39"/>
      <c r="AT734" s="39">
        <v>200</v>
      </c>
      <c r="AZ734" t="s">
        <v>108</v>
      </c>
      <c r="BC734" t="s">
        <v>336</v>
      </c>
    </row>
    <row r="735" spans="1:71" x14ac:dyDescent="0.25">
      <c r="A735" t="str">
        <f t="shared" si="11"/>
        <v>A69-1601-4984</v>
      </c>
      <c r="B735" t="s">
        <v>398</v>
      </c>
      <c r="C735" t="s">
        <v>324</v>
      </c>
      <c r="D735" t="s">
        <v>345</v>
      </c>
      <c r="F735">
        <v>4984</v>
      </c>
      <c r="G735" t="s">
        <v>346</v>
      </c>
      <c r="H735" t="s">
        <v>327</v>
      </c>
      <c r="I735" s="20">
        <v>41036</v>
      </c>
      <c r="J735">
        <v>101</v>
      </c>
      <c r="L735" t="s">
        <v>109</v>
      </c>
      <c r="M735" t="s">
        <v>328</v>
      </c>
      <c r="N735" t="s">
        <v>329</v>
      </c>
      <c r="O735" t="s">
        <v>330</v>
      </c>
      <c r="P735" t="s">
        <v>331</v>
      </c>
      <c r="U735">
        <v>0.52</v>
      </c>
      <c r="V735">
        <v>0.30499999999999999</v>
      </c>
      <c r="W735" t="s">
        <v>399</v>
      </c>
      <c r="Y735" t="s">
        <v>337</v>
      </c>
      <c r="AB735" t="s">
        <v>341</v>
      </c>
      <c r="AC735" t="s">
        <v>342</v>
      </c>
      <c r="AD735" s="39">
        <v>46.30641</v>
      </c>
      <c r="AE735" s="39">
        <v>-84.06129</v>
      </c>
      <c r="AF735" s="18">
        <v>41038.930555555555</v>
      </c>
      <c r="AG735" s="19">
        <v>41038.763888888891</v>
      </c>
      <c r="AH735" t="s">
        <v>161</v>
      </c>
      <c r="AL735" t="s">
        <v>335</v>
      </c>
      <c r="AM735" s="20">
        <v>41036</v>
      </c>
      <c r="AR735" s="39" t="s">
        <v>400</v>
      </c>
      <c r="AS735" s="39"/>
      <c r="AT735" s="39">
        <v>200</v>
      </c>
      <c r="AZ735" t="s">
        <v>108</v>
      </c>
      <c r="BC735" t="s">
        <v>336</v>
      </c>
    </row>
    <row r="736" spans="1:71" x14ac:dyDescent="0.25">
      <c r="A736" t="str">
        <f t="shared" si="11"/>
        <v>A69-1601-4985</v>
      </c>
      <c r="B736" t="s">
        <v>398</v>
      </c>
      <c r="C736" t="s">
        <v>324</v>
      </c>
      <c r="D736" t="s">
        <v>345</v>
      </c>
      <c r="F736">
        <v>4985</v>
      </c>
      <c r="G736" t="s">
        <v>346</v>
      </c>
      <c r="H736" t="s">
        <v>327</v>
      </c>
      <c r="I736" s="20">
        <v>41036</v>
      </c>
      <c r="J736">
        <v>101</v>
      </c>
      <c r="L736" t="s">
        <v>109</v>
      </c>
      <c r="M736" t="s">
        <v>328</v>
      </c>
      <c r="N736" t="s">
        <v>329</v>
      </c>
      <c r="O736" t="s">
        <v>330</v>
      </c>
      <c r="P736" t="s">
        <v>331</v>
      </c>
      <c r="U736">
        <v>0.46</v>
      </c>
      <c r="V736">
        <v>0.26700000000000002</v>
      </c>
      <c r="W736" t="s">
        <v>399</v>
      </c>
      <c r="Y736" t="s">
        <v>337</v>
      </c>
      <c r="AB736" t="s">
        <v>341</v>
      </c>
      <c r="AC736" t="s">
        <v>342</v>
      </c>
      <c r="AD736" s="39">
        <v>46.30641</v>
      </c>
      <c r="AE736" s="39">
        <v>-84.06129</v>
      </c>
      <c r="AF736" s="18">
        <v>41038.930555555555</v>
      </c>
      <c r="AG736" s="19">
        <v>41038.763888888891</v>
      </c>
      <c r="AH736" t="s">
        <v>161</v>
      </c>
      <c r="AL736" t="s">
        <v>335</v>
      </c>
      <c r="AM736" s="20">
        <v>41036</v>
      </c>
      <c r="AR736" s="39" t="s">
        <v>400</v>
      </c>
      <c r="AS736" s="39"/>
      <c r="AT736" s="39">
        <v>200</v>
      </c>
      <c r="AZ736" t="s">
        <v>108</v>
      </c>
      <c r="BC736" t="s">
        <v>163</v>
      </c>
      <c r="BD736" s="20">
        <v>41069</v>
      </c>
      <c r="BF736" s="21" t="s">
        <v>406</v>
      </c>
      <c r="BG736" s="38" t="s">
        <v>113</v>
      </c>
      <c r="BH736" s="1" t="s">
        <v>408</v>
      </c>
      <c r="BI736" s="1">
        <v>46.514783999999999</v>
      </c>
      <c r="BJ736" s="1">
        <v>-84.346945000000005</v>
      </c>
      <c r="BK736" s="1" t="s">
        <v>404</v>
      </c>
      <c r="BL736" s="1" t="s">
        <v>163</v>
      </c>
      <c r="BM736" s="1" t="s">
        <v>163</v>
      </c>
      <c r="BN736" s="1" t="s">
        <v>420</v>
      </c>
      <c r="BO736" s="39">
        <v>18395</v>
      </c>
      <c r="BP736" s="39">
        <v>18395</v>
      </c>
      <c r="BQ736" s="39" t="s">
        <v>337</v>
      </c>
      <c r="BR736" s="39">
        <v>459</v>
      </c>
      <c r="BS736" s="39">
        <v>243</v>
      </c>
    </row>
    <row r="737" spans="1:71" x14ac:dyDescent="0.25">
      <c r="A737" t="str">
        <f t="shared" si="11"/>
        <v>A69-1601-4986</v>
      </c>
      <c r="B737" t="s">
        <v>398</v>
      </c>
      <c r="C737" t="s">
        <v>324</v>
      </c>
      <c r="D737" t="s">
        <v>345</v>
      </c>
      <c r="F737">
        <v>4986</v>
      </c>
      <c r="G737" t="s">
        <v>346</v>
      </c>
      <c r="H737" t="s">
        <v>327</v>
      </c>
      <c r="I737" s="20">
        <v>41036</v>
      </c>
      <c r="J737">
        <v>101</v>
      </c>
      <c r="L737" t="s">
        <v>109</v>
      </c>
      <c r="M737" t="s">
        <v>328</v>
      </c>
      <c r="N737" t="s">
        <v>329</v>
      </c>
      <c r="O737" t="s">
        <v>330</v>
      </c>
      <c r="P737" t="s">
        <v>331</v>
      </c>
      <c r="U737">
        <v>0.49</v>
      </c>
      <c r="V737">
        <v>0.27300000000000002</v>
      </c>
      <c r="W737" t="s">
        <v>399</v>
      </c>
      <c r="Y737" t="s">
        <v>337</v>
      </c>
      <c r="AB737" t="s">
        <v>341</v>
      </c>
      <c r="AC737" t="s">
        <v>342</v>
      </c>
      <c r="AD737" s="39">
        <v>46.30641</v>
      </c>
      <c r="AE737" s="39">
        <v>-84.06129</v>
      </c>
      <c r="AF737" s="18">
        <v>41038.930555555555</v>
      </c>
      <c r="AG737" s="19">
        <v>41038.763888888891</v>
      </c>
      <c r="AH737" t="s">
        <v>161</v>
      </c>
      <c r="AL737" t="s">
        <v>335</v>
      </c>
      <c r="AM737" s="20">
        <v>41036</v>
      </c>
      <c r="AR737" s="39" t="s">
        <v>400</v>
      </c>
      <c r="AS737" s="39"/>
      <c r="AT737" s="39">
        <v>200</v>
      </c>
      <c r="AZ737" t="s">
        <v>108</v>
      </c>
      <c r="BC737" t="s">
        <v>336</v>
      </c>
    </row>
    <row r="738" spans="1:71" x14ac:dyDescent="0.25">
      <c r="A738" t="str">
        <f t="shared" si="11"/>
        <v>A69-1601-4987</v>
      </c>
      <c r="B738" t="s">
        <v>398</v>
      </c>
      <c r="C738" t="s">
        <v>324</v>
      </c>
      <c r="D738" t="s">
        <v>345</v>
      </c>
      <c r="F738">
        <v>4987</v>
      </c>
      <c r="G738" t="s">
        <v>346</v>
      </c>
      <c r="H738" t="s">
        <v>327</v>
      </c>
      <c r="I738" s="20">
        <v>41036</v>
      </c>
      <c r="J738">
        <v>101</v>
      </c>
      <c r="L738" t="s">
        <v>109</v>
      </c>
      <c r="M738" t="s">
        <v>328</v>
      </c>
      <c r="N738" t="s">
        <v>329</v>
      </c>
      <c r="O738" t="s">
        <v>330</v>
      </c>
      <c r="P738" t="s">
        <v>331</v>
      </c>
      <c r="U738">
        <v>0.47000000000000003</v>
      </c>
      <c r="V738">
        <v>0.22800000000000001</v>
      </c>
      <c r="W738" t="s">
        <v>399</v>
      </c>
      <c r="Y738" t="s">
        <v>337</v>
      </c>
      <c r="AB738" t="s">
        <v>341</v>
      </c>
      <c r="AC738" t="s">
        <v>342</v>
      </c>
      <c r="AD738" s="39">
        <v>46.30641</v>
      </c>
      <c r="AE738" s="39">
        <v>-84.06129</v>
      </c>
      <c r="AF738" s="18">
        <v>41038.930555555555</v>
      </c>
      <c r="AG738" s="19">
        <v>41038.763888888891</v>
      </c>
      <c r="AH738" t="s">
        <v>161</v>
      </c>
      <c r="AL738" t="s">
        <v>335</v>
      </c>
      <c r="AM738" s="20">
        <v>41036</v>
      </c>
      <c r="AR738" s="39" t="s">
        <v>400</v>
      </c>
      <c r="AS738" s="39"/>
      <c r="AT738" s="39">
        <v>200</v>
      </c>
      <c r="AZ738" t="s">
        <v>108</v>
      </c>
      <c r="BC738" t="s">
        <v>336</v>
      </c>
    </row>
    <row r="739" spans="1:71" x14ac:dyDescent="0.25">
      <c r="A739" t="str">
        <f t="shared" si="11"/>
        <v>A69-1601-4988</v>
      </c>
      <c r="B739" t="s">
        <v>398</v>
      </c>
      <c r="C739" t="s">
        <v>324</v>
      </c>
      <c r="D739" t="s">
        <v>345</v>
      </c>
      <c r="F739">
        <v>4988</v>
      </c>
      <c r="G739" t="s">
        <v>346</v>
      </c>
      <c r="H739" t="s">
        <v>327</v>
      </c>
      <c r="I739" s="20">
        <v>41036</v>
      </c>
      <c r="J739">
        <v>101</v>
      </c>
      <c r="L739" t="s">
        <v>109</v>
      </c>
      <c r="M739" t="s">
        <v>328</v>
      </c>
      <c r="N739" t="s">
        <v>329</v>
      </c>
      <c r="O739" t="s">
        <v>330</v>
      </c>
      <c r="P739" t="s">
        <v>331</v>
      </c>
      <c r="U739">
        <v>0.47000000000000003</v>
      </c>
      <c r="V739">
        <v>0.25900000000000001</v>
      </c>
      <c r="W739" t="s">
        <v>399</v>
      </c>
      <c r="Y739" t="s">
        <v>337</v>
      </c>
      <c r="AB739" t="s">
        <v>341</v>
      </c>
      <c r="AC739" t="s">
        <v>342</v>
      </c>
      <c r="AD739" s="39">
        <v>46.30641</v>
      </c>
      <c r="AE739" s="39">
        <v>-84.06129</v>
      </c>
      <c r="AF739" s="18">
        <v>41038.930555555555</v>
      </c>
      <c r="AG739" s="19">
        <v>41038.763888888891</v>
      </c>
      <c r="AH739" t="s">
        <v>161</v>
      </c>
      <c r="AL739" t="s">
        <v>335</v>
      </c>
      <c r="AM739" s="20">
        <v>41036</v>
      </c>
      <c r="AR739" s="39" t="s">
        <v>400</v>
      </c>
      <c r="AS739" s="39"/>
      <c r="AT739" s="39">
        <v>200</v>
      </c>
      <c r="AZ739" t="s">
        <v>108</v>
      </c>
      <c r="BC739" t="s">
        <v>336</v>
      </c>
    </row>
    <row r="740" spans="1:71" x14ac:dyDescent="0.25">
      <c r="A740" t="str">
        <f t="shared" si="11"/>
        <v>A69-1601-4982</v>
      </c>
      <c r="B740" t="s">
        <v>398</v>
      </c>
      <c r="C740" t="s">
        <v>324</v>
      </c>
      <c r="D740" t="s">
        <v>345</v>
      </c>
      <c r="F740">
        <v>4982</v>
      </c>
      <c r="G740" t="s">
        <v>346</v>
      </c>
      <c r="H740" t="s">
        <v>327</v>
      </c>
      <c r="I740" s="20">
        <v>41036</v>
      </c>
      <c r="J740">
        <v>101</v>
      </c>
      <c r="L740" t="s">
        <v>109</v>
      </c>
      <c r="M740" t="s">
        <v>328</v>
      </c>
      <c r="N740" t="s">
        <v>329</v>
      </c>
      <c r="O740" t="s">
        <v>330</v>
      </c>
      <c r="P740" t="s">
        <v>331</v>
      </c>
      <c r="U740">
        <v>0.55000000000000004</v>
      </c>
      <c r="V740">
        <v>0.311</v>
      </c>
      <c r="W740" t="s">
        <v>399</v>
      </c>
      <c r="Y740" t="s">
        <v>337</v>
      </c>
      <c r="AB740" t="s">
        <v>341</v>
      </c>
      <c r="AC740" t="s">
        <v>342</v>
      </c>
      <c r="AD740" s="39">
        <v>46.30641</v>
      </c>
      <c r="AE740" s="39">
        <v>-84.06129</v>
      </c>
      <c r="AF740" s="18">
        <v>41038.930555555555</v>
      </c>
      <c r="AG740" s="19">
        <v>41038.763888888891</v>
      </c>
      <c r="AH740" t="s">
        <v>161</v>
      </c>
      <c r="AL740" t="s">
        <v>335</v>
      </c>
      <c r="AM740" s="20">
        <v>41036</v>
      </c>
      <c r="AR740" s="39" t="s">
        <v>400</v>
      </c>
      <c r="AS740" s="39"/>
      <c r="AT740" s="39">
        <v>200</v>
      </c>
      <c r="AZ740" t="s">
        <v>108</v>
      </c>
      <c r="BC740" t="s">
        <v>336</v>
      </c>
    </row>
    <row r="741" spans="1:71" x14ac:dyDescent="0.25">
      <c r="A741" t="str">
        <f t="shared" si="11"/>
        <v>A69-1601-4981</v>
      </c>
      <c r="B741" t="s">
        <v>398</v>
      </c>
      <c r="C741" t="s">
        <v>324</v>
      </c>
      <c r="D741" t="s">
        <v>345</v>
      </c>
      <c r="F741">
        <v>4981</v>
      </c>
      <c r="G741" t="s">
        <v>346</v>
      </c>
      <c r="H741" t="s">
        <v>327</v>
      </c>
      <c r="I741" s="20">
        <v>41036</v>
      </c>
      <c r="J741">
        <v>101</v>
      </c>
      <c r="L741" t="s">
        <v>109</v>
      </c>
      <c r="M741" t="s">
        <v>328</v>
      </c>
      <c r="N741" t="s">
        <v>329</v>
      </c>
      <c r="O741" t="s">
        <v>330</v>
      </c>
      <c r="P741" t="s">
        <v>331</v>
      </c>
      <c r="U741">
        <v>0.51</v>
      </c>
      <c r="V741">
        <v>0.26100000000000001</v>
      </c>
      <c r="W741" t="s">
        <v>399</v>
      </c>
      <c r="Y741" t="s">
        <v>337</v>
      </c>
      <c r="AB741" t="s">
        <v>341</v>
      </c>
      <c r="AC741" t="s">
        <v>342</v>
      </c>
      <c r="AD741" s="39">
        <v>46.30641</v>
      </c>
      <c r="AE741" s="39">
        <v>-84.06129</v>
      </c>
      <c r="AF741" s="18">
        <v>41038.930555555555</v>
      </c>
      <c r="AG741" s="19">
        <v>41038.763888888891</v>
      </c>
      <c r="AH741" t="s">
        <v>161</v>
      </c>
      <c r="AL741" t="s">
        <v>335</v>
      </c>
      <c r="AM741" s="20">
        <v>41036</v>
      </c>
      <c r="AR741" s="39" t="s">
        <v>400</v>
      </c>
      <c r="AS741" s="39"/>
      <c r="AT741" s="39">
        <v>200</v>
      </c>
      <c r="AZ741" t="s">
        <v>108</v>
      </c>
      <c r="BC741" t="s">
        <v>336</v>
      </c>
    </row>
    <row r="742" spans="1:71" x14ac:dyDescent="0.25">
      <c r="A742" t="str">
        <f t="shared" si="11"/>
        <v>A69-1601-4980</v>
      </c>
      <c r="B742" t="s">
        <v>398</v>
      </c>
      <c r="C742" t="s">
        <v>324</v>
      </c>
      <c r="D742" t="s">
        <v>345</v>
      </c>
      <c r="F742">
        <v>4980</v>
      </c>
      <c r="G742" t="s">
        <v>346</v>
      </c>
      <c r="H742" t="s">
        <v>327</v>
      </c>
      <c r="I742" s="20">
        <v>41036</v>
      </c>
      <c r="J742">
        <v>101</v>
      </c>
      <c r="L742" t="s">
        <v>109</v>
      </c>
      <c r="M742" t="s">
        <v>328</v>
      </c>
      <c r="N742" t="s">
        <v>329</v>
      </c>
      <c r="O742" t="s">
        <v>330</v>
      </c>
      <c r="P742" t="s">
        <v>331</v>
      </c>
      <c r="U742">
        <v>0.52</v>
      </c>
      <c r="V742">
        <v>0.33800000000000002</v>
      </c>
      <c r="W742" t="s">
        <v>399</v>
      </c>
      <c r="Y742" t="s">
        <v>337</v>
      </c>
      <c r="AB742" t="s">
        <v>341</v>
      </c>
      <c r="AC742" t="s">
        <v>342</v>
      </c>
      <c r="AD742" s="39">
        <v>46.30641</v>
      </c>
      <c r="AE742" s="39">
        <v>-84.06129</v>
      </c>
      <c r="AF742" s="18">
        <v>41038.930555555555</v>
      </c>
      <c r="AG742" s="19">
        <v>41038.763888888891</v>
      </c>
      <c r="AH742" t="s">
        <v>161</v>
      </c>
      <c r="AL742" t="s">
        <v>335</v>
      </c>
      <c r="AM742" s="20">
        <v>41036</v>
      </c>
      <c r="AR742" s="39" t="s">
        <v>400</v>
      </c>
      <c r="AS742" s="39"/>
      <c r="AT742" s="39">
        <v>200</v>
      </c>
      <c r="AZ742" t="s">
        <v>108</v>
      </c>
      <c r="BC742" t="s">
        <v>336</v>
      </c>
    </row>
    <row r="743" spans="1:71" x14ac:dyDescent="0.25">
      <c r="A743" t="str">
        <f t="shared" si="11"/>
        <v>A69-1601-4979</v>
      </c>
      <c r="B743" t="s">
        <v>398</v>
      </c>
      <c r="C743" t="s">
        <v>324</v>
      </c>
      <c r="D743" t="s">
        <v>345</v>
      </c>
      <c r="F743">
        <v>4979</v>
      </c>
      <c r="G743" t="s">
        <v>346</v>
      </c>
      <c r="H743" t="s">
        <v>327</v>
      </c>
      <c r="I743" s="20">
        <v>41036</v>
      </c>
      <c r="J743">
        <v>101</v>
      </c>
      <c r="L743" t="s">
        <v>109</v>
      </c>
      <c r="M743" t="s">
        <v>328</v>
      </c>
      <c r="N743" t="s">
        <v>329</v>
      </c>
      <c r="O743" t="s">
        <v>330</v>
      </c>
      <c r="P743" t="s">
        <v>331</v>
      </c>
      <c r="U743">
        <v>0.52</v>
      </c>
      <c r="V743">
        <v>0.28300000000000003</v>
      </c>
      <c r="W743" t="s">
        <v>399</v>
      </c>
      <c r="Y743" t="s">
        <v>337</v>
      </c>
      <c r="AB743" t="s">
        <v>341</v>
      </c>
      <c r="AC743" t="s">
        <v>342</v>
      </c>
      <c r="AD743" s="39">
        <v>46.30641</v>
      </c>
      <c r="AE743" s="39">
        <v>-84.06129</v>
      </c>
      <c r="AF743" s="18">
        <v>41038.930555555555</v>
      </c>
      <c r="AG743" s="19">
        <v>41038.763888888891</v>
      </c>
      <c r="AH743" t="s">
        <v>161</v>
      </c>
      <c r="AL743" t="s">
        <v>335</v>
      </c>
      <c r="AM743" s="20">
        <v>41036</v>
      </c>
      <c r="AR743" s="39" t="s">
        <v>400</v>
      </c>
      <c r="AS743" s="39"/>
      <c r="AT743" s="39">
        <v>200</v>
      </c>
      <c r="AZ743" t="s">
        <v>108</v>
      </c>
      <c r="BC743" t="s">
        <v>336</v>
      </c>
    </row>
    <row r="744" spans="1:71" x14ac:dyDescent="0.25">
      <c r="A744" t="str">
        <f t="shared" si="11"/>
        <v>A69-1601-4978</v>
      </c>
      <c r="B744" t="s">
        <v>398</v>
      </c>
      <c r="C744" t="s">
        <v>324</v>
      </c>
      <c r="D744" t="s">
        <v>345</v>
      </c>
      <c r="F744">
        <v>4978</v>
      </c>
      <c r="G744" t="s">
        <v>346</v>
      </c>
      <c r="H744" t="s">
        <v>327</v>
      </c>
      <c r="I744" s="20">
        <v>41036</v>
      </c>
      <c r="J744">
        <v>101</v>
      </c>
      <c r="L744" t="s">
        <v>109</v>
      </c>
      <c r="M744" t="s">
        <v>328</v>
      </c>
      <c r="N744" t="s">
        <v>329</v>
      </c>
      <c r="O744" t="s">
        <v>330</v>
      </c>
      <c r="P744" t="s">
        <v>331</v>
      </c>
      <c r="U744">
        <v>0.53</v>
      </c>
      <c r="V744">
        <v>0.313</v>
      </c>
      <c r="W744" t="s">
        <v>399</v>
      </c>
      <c r="Y744" t="s">
        <v>337</v>
      </c>
      <c r="AB744" t="s">
        <v>341</v>
      </c>
      <c r="AC744" t="s">
        <v>342</v>
      </c>
      <c r="AD744" s="39">
        <v>46.30641</v>
      </c>
      <c r="AE744" s="39">
        <v>-84.06129</v>
      </c>
      <c r="AF744" s="18">
        <v>41038.930555555555</v>
      </c>
      <c r="AG744" s="19">
        <v>41038.763888888891</v>
      </c>
      <c r="AH744" t="s">
        <v>161</v>
      </c>
      <c r="AL744" t="s">
        <v>335</v>
      </c>
      <c r="AM744" s="20">
        <v>41036</v>
      </c>
      <c r="AR744" s="39" t="s">
        <v>400</v>
      </c>
      <c r="AS744" s="39"/>
      <c r="AT744" s="39">
        <v>200</v>
      </c>
      <c r="AZ744" t="s">
        <v>108</v>
      </c>
      <c r="BC744" t="s">
        <v>336</v>
      </c>
    </row>
    <row r="745" spans="1:71" x14ac:dyDescent="0.25">
      <c r="A745" t="str">
        <f t="shared" si="11"/>
        <v>A69-1601-4977</v>
      </c>
      <c r="B745" t="s">
        <v>398</v>
      </c>
      <c r="C745" t="s">
        <v>324</v>
      </c>
      <c r="D745" t="s">
        <v>345</v>
      </c>
      <c r="F745">
        <v>4977</v>
      </c>
      <c r="G745" t="s">
        <v>346</v>
      </c>
      <c r="H745" t="s">
        <v>327</v>
      </c>
      <c r="I745" s="20">
        <v>41036</v>
      </c>
      <c r="J745">
        <v>101</v>
      </c>
      <c r="L745" t="s">
        <v>109</v>
      </c>
      <c r="M745" t="s">
        <v>328</v>
      </c>
      <c r="N745" t="s">
        <v>329</v>
      </c>
      <c r="O745" t="s">
        <v>330</v>
      </c>
      <c r="P745" t="s">
        <v>331</v>
      </c>
      <c r="U745">
        <v>0.48</v>
      </c>
      <c r="V745">
        <v>0.26900000000000002</v>
      </c>
      <c r="W745" t="s">
        <v>399</v>
      </c>
      <c r="Y745" t="s">
        <v>337</v>
      </c>
      <c r="AB745" t="s">
        <v>341</v>
      </c>
      <c r="AC745" t="s">
        <v>342</v>
      </c>
      <c r="AD745" s="39">
        <v>46.30641</v>
      </c>
      <c r="AE745" s="39">
        <v>-84.06129</v>
      </c>
      <c r="AF745" s="18">
        <v>41038.930555555555</v>
      </c>
      <c r="AG745" s="19">
        <v>41038.763888888891</v>
      </c>
      <c r="AH745" t="s">
        <v>161</v>
      </c>
      <c r="AL745" t="s">
        <v>335</v>
      </c>
      <c r="AM745" s="20">
        <v>41036</v>
      </c>
      <c r="AR745" s="39" t="s">
        <v>400</v>
      </c>
      <c r="AS745" s="39"/>
      <c r="AT745" s="39">
        <v>200</v>
      </c>
      <c r="AZ745" t="s">
        <v>108</v>
      </c>
      <c r="BC745" t="s">
        <v>336</v>
      </c>
    </row>
    <row r="746" spans="1:71" x14ac:dyDescent="0.25">
      <c r="A746" t="str">
        <f t="shared" si="11"/>
        <v>A69-9002-7235</v>
      </c>
      <c r="B746" t="s">
        <v>398</v>
      </c>
      <c r="C746" t="s">
        <v>324</v>
      </c>
      <c r="D746" t="s">
        <v>325</v>
      </c>
      <c r="F746">
        <v>7235</v>
      </c>
      <c r="G746" t="s">
        <v>326</v>
      </c>
      <c r="H746" t="s">
        <v>327</v>
      </c>
      <c r="I746" s="20">
        <v>41036</v>
      </c>
      <c r="J746">
        <v>77</v>
      </c>
      <c r="L746" t="s">
        <v>109</v>
      </c>
      <c r="M746" t="s">
        <v>328</v>
      </c>
      <c r="N746" t="s">
        <v>329</v>
      </c>
      <c r="O746" t="s">
        <v>330</v>
      </c>
      <c r="P746" t="s">
        <v>331</v>
      </c>
      <c r="U746">
        <v>0.47000000000000003</v>
      </c>
      <c r="V746">
        <v>0.252</v>
      </c>
      <c r="W746" t="s">
        <v>399</v>
      </c>
      <c r="Y746" t="s">
        <v>337</v>
      </c>
      <c r="AB746" t="s">
        <v>341</v>
      </c>
      <c r="AC746" t="s">
        <v>342</v>
      </c>
      <c r="AD746" s="39">
        <v>46.30641</v>
      </c>
      <c r="AE746" s="39">
        <v>-84.06129</v>
      </c>
      <c r="AF746" s="18">
        <v>41038.930555555555</v>
      </c>
      <c r="AG746" s="19">
        <v>41038.763888888891</v>
      </c>
      <c r="AH746" t="s">
        <v>161</v>
      </c>
      <c r="AL746" t="s">
        <v>335</v>
      </c>
      <c r="AM746" s="20">
        <v>41036</v>
      </c>
      <c r="AR746" s="39" t="s">
        <v>400</v>
      </c>
      <c r="AS746" s="39"/>
      <c r="AT746" s="39">
        <v>200</v>
      </c>
      <c r="AZ746" t="s">
        <v>108</v>
      </c>
      <c r="BC746" t="s">
        <v>163</v>
      </c>
      <c r="BD746" s="20">
        <v>41098</v>
      </c>
      <c r="BF746" s="21" t="s">
        <v>406</v>
      </c>
      <c r="BG746" s="38" t="s">
        <v>113</v>
      </c>
      <c r="BH746" s="1" t="s">
        <v>425</v>
      </c>
      <c r="BI746" s="39">
        <v>46.504829000000001</v>
      </c>
      <c r="BJ746" s="39">
        <v>-84.354651000000004</v>
      </c>
      <c r="BK746" s="1" t="s">
        <v>405</v>
      </c>
      <c r="BL746" s="1" t="s">
        <v>163</v>
      </c>
      <c r="BM746" s="1" t="s">
        <v>163</v>
      </c>
      <c r="BN746" s="1" t="s">
        <v>420</v>
      </c>
      <c r="BO746" s="39">
        <v>18445</v>
      </c>
      <c r="BP746" s="39">
        <v>18445</v>
      </c>
      <c r="BQ746" s="39" t="s">
        <v>337</v>
      </c>
      <c r="BR746" s="39">
        <v>413</v>
      </c>
      <c r="BS746" s="39">
        <v>225</v>
      </c>
    </row>
    <row r="747" spans="1:71" x14ac:dyDescent="0.25">
      <c r="A747" t="str">
        <f t="shared" si="11"/>
        <v>A69-9002-7236</v>
      </c>
      <c r="B747" t="s">
        <v>398</v>
      </c>
      <c r="C747" t="s">
        <v>324</v>
      </c>
      <c r="D747" t="s">
        <v>325</v>
      </c>
      <c r="F747">
        <v>7236</v>
      </c>
      <c r="G747" t="s">
        <v>326</v>
      </c>
      <c r="H747" t="s">
        <v>327</v>
      </c>
      <c r="I747" s="20">
        <v>41036</v>
      </c>
      <c r="J747">
        <v>77</v>
      </c>
      <c r="L747" t="s">
        <v>109</v>
      </c>
      <c r="M747" t="s">
        <v>328</v>
      </c>
      <c r="N747" t="s">
        <v>329</v>
      </c>
      <c r="O747" t="s">
        <v>330</v>
      </c>
      <c r="P747" t="s">
        <v>331</v>
      </c>
      <c r="U747">
        <v>0.48</v>
      </c>
      <c r="V747">
        <v>0.23100000000000001</v>
      </c>
      <c r="W747" t="s">
        <v>399</v>
      </c>
      <c r="Y747" t="s">
        <v>337</v>
      </c>
      <c r="AB747" t="s">
        <v>341</v>
      </c>
      <c r="AC747" t="s">
        <v>342</v>
      </c>
      <c r="AD747" s="39">
        <v>46.30641</v>
      </c>
      <c r="AE747" s="39">
        <v>-84.06129</v>
      </c>
      <c r="AF747" s="18">
        <v>41038.930555555555</v>
      </c>
      <c r="AG747" s="19">
        <v>41038.763888888891</v>
      </c>
      <c r="AH747" t="s">
        <v>161</v>
      </c>
      <c r="AL747" t="s">
        <v>335</v>
      </c>
      <c r="AM747" s="20">
        <v>41036</v>
      </c>
      <c r="AR747" s="39" t="s">
        <v>400</v>
      </c>
      <c r="AS747" s="39"/>
      <c r="AT747" s="39">
        <v>200</v>
      </c>
      <c r="AZ747" t="s">
        <v>108</v>
      </c>
      <c r="BC747" t="s">
        <v>163</v>
      </c>
      <c r="BD747" s="20">
        <v>41070</v>
      </c>
      <c r="BF747" s="21" t="s">
        <v>406</v>
      </c>
      <c r="BG747" s="38" t="s">
        <v>113</v>
      </c>
      <c r="BH747" s="1" t="s">
        <v>408</v>
      </c>
      <c r="BI747" s="1">
        <v>46.514783999999999</v>
      </c>
      <c r="BJ747" s="1">
        <v>-84.346945000000005</v>
      </c>
      <c r="BK747" s="1" t="s">
        <v>404</v>
      </c>
      <c r="BL747" s="1" t="s">
        <v>163</v>
      </c>
      <c r="BM747" s="1" t="s">
        <v>163</v>
      </c>
      <c r="BN747" s="1" t="s">
        <v>420</v>
      </c>
      <c r="BO747" s="39">
        <v>18450</v>
      </c>
      <c r="BP747" s="39">
        <v>18450</v>
      </c>
      <c r="BQ747" s="39" t="s">
        <v>337</v>
      </c>
      <c r="BR747" s="39">
        <v>461</v>
      </c>
      <c r="BS747" s="39">
        <v>209</v>
      </c>
    </row>
    <row r="748" spans="1:71" x14ac:dyDescent="0.25">
      <c r="A748" t="str">
        <f t="shared" si="11"/>
        <v>A69-9002-7226</v>
      </c>
      <c r="B748" t="s">
        <v>398</v>
      </c>
      <c r="C748" t="s">
        <v>324</v>
      </c>
      <c r="D748" t="s">
        <v>325</v>
      </c>
      <c r="F748">
        <v>7226</v>
      </c>
      <c r="G748" t="s">
        <v>326</v>
      </c>
      <c r="H748" t="s">
        <v>327</v>
      </c>
      <c r="I748" s="20">
        <v>41036</v>
      </c>
      <c r="J748">
        <v>77</v>
      </c>
      <c r="L748" t="s">
        <v>109</v>
      </c>
      <c r="M748" t="s">
        <v>328</v>
      </c>
      <c r="N748" t="s">
        <v>329</v>
      </c>
      <c r="O748" t="s">
        <v>330</v>
      </c>
      <c r="P748" t="s">
        <v>331</v>
      </c>
      <c r="U748">
        <v>0.56000000000000005</v>
      </c>
      <c r="V748">
        <v>0.314</v>
      </c>
      <c r="W748" t="s">
        <v>399</v>
      </c>
      <c r="Y748" t="s">
        <v>337</v>
      </c>
      <c r="AB748" t="s">
        <v>341</v>
      </c>
      <c r="AC748" t="s">
        <v>342</v>
      </c>
      <c r="AD748" s="39">
        <v>46.30641</v>
      </c>
      <c r="AE748" s="39">
        <v>-84.06129</v>
      </c>
      <c r="AF748" s="18">
        <v>41038.930555555555</v>
      </c>
      <c r="AG748" s="19">
        <v>41038.763888888891</v>
      </c>
      <c r="AH748" t="s">
        <v>161</v>
      </c>
      <c r="AL748" t="s">
        <v>335</v>
      </c>
      <c r="AM748" s="20">
        <v>41036</v>
      </c>
      <c r="AR748" s="39" t="s">
        <v>400</v>
      </c>
      <c r="AS748" s="39"/>
      <c r="AT748" s="39">
        <v>200</v>
      </c>
      <c r="AZ748" t="s">
        <v>108</v>
      </c>
      <c r="BC748" t="s">
        <v>336</v>
      </c>
    </row>
    <row r="749" spans="1:71" x14ac:dyDescent="0.25">
      <c r="A749" t="str">
        <f t="shared" si="11"/>
        <v>A69-9002-7221</v>
      </c>
      <c r="B749" t="s">
        <v>398</v>
      </c>
      <c r="C749" t="s">
        <v>324</v>
      </c>
      <c r="D749" t="s">
        <v>325</v>
      </c>
      <c r="F749">
        <v>7221</v>
      </c>
      <c r="G749" t="s">
        <v>326</v>
      </c>
      <c r="H749" t="s">
        <v>327</v>
      </c>
      <c r="I749" s="20">
        <v>41036</v>
      </c>
      <c r="J749">
        <v>77</v>
      </c>
      <c r="L749" t="s">
        <v>109</v>
      </c>
      <c r="M749" t="s">
        <v>328</v>
      </c>
      <c r="N749" t="s">
        <v>329</v>
      </c>
      <c r="O749" t="s">
        <v>330</v>
      </c>
      <c r="P749" t="s">
        <v>331</v>
      </c>
      <c r="U749">
        <v>0.51</v>
      </c>
      <c r="V749">
        <v>0.312</v>
      </c>
      <c r="W749" t="s">
        <v>399</v>
      </c>
      <c r="Y749" t="s">
        <v>337</v>
      </c>
      <c r="AB749" t="s">
        <v>341</v>
      </c>
      <c r="AC749" t="s">
        <v>342</v>
      </c>
      <c r="AD749" s="39">
        <v>46.30641</v>
      </c>
      <c r="AE749" s="39">
        <v>-84.06129</v>
      </c>
      <c r="AF749" s="18">
        <v>41038.930555555555</v>
      </c>
      <c r="AG749" s="19">
        <v>41038.763888888891</v>
      </c>
      <c r="AH749" t="s">
        <v>161</v>
      </c>
      <c r="AL749" t="s">
        <v>335</v>
      </c>
      <c r="AM749" s="20">
        <v>41036</v>
      </c>
      <c r="AR749" s="39" t="s">
        <v>400</v>
      </c>
      <c r="AS749" s="39"/>
      <c r="AT749" s="39">
        <v>200</v>
      </c>
      <c r="AZ749" t="s">
        <v>108</v>
      </c>
      <c r="BC749" t="s">
        <v>336</v>
      </c>
    </row>
    <row r="750" spans="1:71" x14ac:dyDescent="0.25">
      <c r="A750" t="str">
        <f t="shared" si="11"/>
        <v>A69-9002-7216</v>
      </c>
      <c r="B750" t="s">
        <v>398</v>
      </c>
      <c r="C750" t="s">
        <v>324</v>
      </c>
      <c r="D750" t="s">
        <v>325</v>
      </c>
      <c r="F750">
        <v>7216</v>
      </c>
      <c r="G750" t="s">
        <v>326</v>
      </c>
      <c r="H750" t="s">
        <v>327</v>
      </c>
      <c r="I750" s="20">
        <v>41036</v>
      </c>
      <c r="J750">
        <v>77</v>
      </c>
      <c r="L750" t="s">
        <v>109</v>
      </c>
      <c r="M750" t="s">
        <v>328</v>
      </c>
      <c r="N750" t="s">
        <v>329</v>
      </c>
      <c r="O750" t="s">
        <v>330</v>
      </c>
      <c r="P750" t="s">
        <v>331</v>
      </c>
      <c r="U750">
        <v>0.51</v>
      </c>
      <c r="V750">
        <v>0.29399999999999998</v>
      </c>
      <c r="W750" t="s">
        <v>399</v>
      </c>
      <c r="Y750" t="s">
        <v>337</v>
      </c>
      <c r="AB750" t="s">
        <v>341</v>
      </c>
      <c r="AC750" t="s">
        <v>342</v>
      </c>
      <c r="AD750" s="39">
        <v>46.30641</v>
      </c>
      <c r="AE750" s="39">
        <v>-84.06129</v>
      </c>
      <c r="AF750" s="18">
        <v>41038.930555555555</v>
      </c>
      <c r="AG750" s="19">
        <v>41038.763888888891</v>
      </c>
      <c r="AH750" t="s">
        <v>161</v>
      </c>
      <c r="AL750" t="s">
        <v>335</v>
      </c>
      <c r="AM750" s="20">
        <v>41036</v>
      </c>
      <c r="AR750" s="39" t="s">
        <v>400</v>
      </c>
      <c r="AS750" s="39"/>
      <c r="AT750" s="39">
        <v>200</v>
      </c>
      <c r="AZ750" t="s">
        <v>108</v>
      </c>
      <c r="BC750" t="s">
        <v>336</v>
      </c>
    </row>
    <row r="751" spans="1:71" x14ac:dyDescent="0.25">
      <c r="A751" t="str">
        <f t="shared" si="11"/>
        <v>A69-9002-7230</v>
      </c>
      <c r="B751" t="s">
        <v>398</v>
      </c>
      <c r="C751" t="s">
        <v>324</v>
      </c>
      <c r="D751" t="s">
        <v>325</v>
      </c>
      <c r="F751">
        <v>7230</v>
      </c>
      <c r="G751" t="s">
        <v>326</v>
      </c>
      <c r="H751" t="s">
        <v>327</v>
      </c>
      <c r="I751" s="20">
        <v>41036</v>
      </c>
      <c r="J751">
        <v>77</v>
      </c>
      <c r="L751" t="s">
        <v>109</v>
      </c>
      <c r="M751" t="s">
        <v>328</v>
      </c>
      <c r="N751" t="s">
        <v>329</v>
      </c>
      <c r="O751" t="s">
        <v>330</v>
      </c>
      <c r="P751" t="s">
        <v>331</v>
      </c>
      <c r="U751">
        <v>0.51</v>
      </c>
      <c r="V751">
        <v>0.29699999999999999</v>
      </c>
      <c r="W751" t="s">
        <v>399</v>
      </c>
      <c r="Y751" t="s">
        <v>337</v>
      </c>
      <c r="AB751" t="s">
        <v>341</v>
      </c>
      <c r="AC751" t="s">
        <v>342</v>
      </c>
      <c r="AD751" s="39">
        <v>46.30641</v>
      </c>
      <c r="AE751" s="39">
        <v>-84.06129</v>
      </c>
      <c r="AF751" s="18">
        <v>41038.930555555555</v>
      </c>
      <c r="AG751" s="19">
        <v>41038.763888888891</v>
      </c>
      <c r="AH751" t="s">
        <v>161</v>
      </c>
      <c r="AL751" t="s">
        <v>335</v>
      </c>
      <c r="AM751" s="20">
        <v>41036</v>
      </c>
      <c r="AR751" s="39" t="s">
        <v>400</v>
      </c>
      <c r="AS751" s="39"/>
      <c r="AT751" s="39">
        <v>200</v>
      </c>
      <c r="AZ751" t="s">
        <v>108</v>
      </c>
      <c r="BC751" t="s">
        <v>336</v>
      </c>
    </row>
    <row r="752" spans="1:71" x14ac:dyDescent="0.25">
      <c r="A752" t="str">
        <f t="shared" si="11"/>
        <v>A69-9002-7225</v>
      </c>
      <c r="B752" t="s">
        <v>398</v>
      </c>
      <c r="C752" t="s">
        <v>324</v>
      </c>
      <c r="D752" t="s">
        <v>325</v>
      </c>
      <c r="F752">
        <v>7225</v>
      </c>
      <c r="G752" t="s">
        <v>326</v>
      </c>
      <c r="H752" t="s">
        <v>327</v>
      </c>
      <c r="I752" s="20">
        <v>41036</v>
      </c>
      <c r="J752">
        <v>77</v>
      </c>
      <c r="L752" t="s">
        <v>109</v>
      </c>
      <c r="M752" t="s">
        <v>328</v>
      </c>
      <c r="N752" t="s">
        <v>329</v>
      </c>
      <c r="O752" t="s">
        <v>330</v>
      </c>
      <c r="P752" t="s">
        <v>331</v>
      </c>
      <c r="U752">
        <v>0.54</v>
      </c>
      <c r="V752">
        <v>0.313</v>
      </c>
      <c r="W752" t="s">
        <v>399</v>
      </c>
      <c r="Y752" t="s">
        <v>337</v>
      </c>
      <c r="AB752" t="s">
        <v>341</v>
      </c>
      <c r="AC752" t="s">
        <v>342</v>
      </c>
      <c r="AD752" s="39">
        <v>46.30641</v>
      </c>
      <c r="AE752" s="39">
        <v>-84.06129</v>
      </c>
      <c r="AF752" s="18">
        <v>41038.930555555555</v>
      </c>
      <c r="AG752" s="19">
        <v>41038.763888888891</v>
      </c>
      <c r="AH752" t="s">
        <v>161</v>
      </c>
      <c r="AL752" t="s">
        <v>335</v>
      </c>
      <c r="AM752" s="20">
        <v>41036</v>
      </c>
      <c r="AR752" s="39" t="s">
        <v>400</v>
      </c>
      <c r="AS752" s="39"/>
      <c r="AT752" s="39">
        <v>200</v>
      </c>
      <c r="AZ752" t="s">
        <v>108</v>
      </c>
      <c r="BC752" t="s">
        <v>336</v>
      </c>
    </row>
    <row r="753" spans="1:71" x14ac:dyDescent="0.25">
      <c r="A753" t="str">
        <f t="shared" si="11"/>
        <v>A69-9002-7220</v>
      </c>
      <c r="B753" t="s">
        <v>398</v>
      </c>
      <c r="C753" t="s">
        <v>324</v>
      </c>
      <c r="D753" t="s">
        <v>325</v>
      </c>
      <c r="F753">
        <v>7220</v>
      </c>
      <c r="G753" t="s">
        <v>326</v>
      </c>
      <c r="H753" t="s">
        <v>327</v>
      </c>
      <c r="I753" s="20">
        <v>41036</v>
      </c>
      <c r="J753">
        <v>77</v>
      </c>
      <c r="L753" t="s">
        <v>109</v>
      </c>
      <c r="M753" t="s">
        <v>328</v>
      </c>
      <c r="N753" t="s">
        <v>329</v>
      </c>
      <c r="O753" t="s">
        <v>330</v>
      </c>
      <c r="P753" t="s">
        <v>331</v>
      </c>
      <c r="U753">
        <v>0.49</v>
      </c>
      <c r="V753">
        <v>0.26700000000000002</v>
      </c>
      <c r="W753" t="s">
        <v>399</v>
      </c>
      <c r="Y753" t="s">
        <v>337</v>
      </c>
      <c r="AB753" t="s">
        <v>341</v>
      </c>
      <c r="AC753" t="s">
        <v>342</v>
      </c>
      <c r="AD753" s="39">
        <v>46.30641</v>
      </c>
      <c r="AE753" s="39">
        <v>-84.06129</v>
      </c>
      <c r="AF753" s="18">
        <v>41038.930555555555</v>
      </c>
      <c r="AG753" s="19">
        <v>41038.763888888891</v>
      </c>
      <c r="AH753" t="s">
        <v>161</v>
      </c>
      <c r="AL753" t="s">
        <v>335</v>
      </c>
      <c r="AM753" s="20">
        <v>41036</v>
      </c>
      <c r="AR753" s="39" t="s">
        <v>400</v>
      </c>
      <c r="AS753" s="39"/>
      <c r="AT753" s="39">
        <v>200</v>
      </c>
      <c r="AZ753" t="s">
        <v>108</v>
      </c>
      <c r="BC753" t="s">
        <v>336</v>
      </c>
    </row>
    <row r="754" spans="1:71" x14ac:dyDescent="0.25">
      <c r="A754" t="str">
        <f t="shared" si="11"/>
        <v>A69-9002-7231</v>
      </c>
      <c r="B754" t="s">
        <v>398</v>
      </c>
      <c r="C754" t="s">
        <v>324</v>
      </c>
      <c r="D754" t="s">
        <v>325</v>
      </c>
      <c r="F754">
        <v>7231</v>
      </c>
      <c r="G754" t="s">
        <v>326</v>
      </c>
      <c r="H754" t="s">
        <v>327</v>
      </c>
      <c r="I754" s="20">
        <v>41036</v>
      </c>
      <c r="J754">
        <v>77</v>
      </c>
      <c r="L754" t="s">
        <v>109</v>
      </c>
      <c r="M754" t="s">
        <v>328</v>
      </c>
      <c r="N754" t="s">
        <v>329</v>
      </c>
      <c r="O754" t="s">
        <v>330</v>
      </c>
      <c r="P754" t="s">
        <v>331</v>
      </c>
      <c r="U754">
        <v>0.52</v>
      </c>
      <c r="V754">
        <v>0.29799999999999999</v>
      </c>
      <c r="W754" t="s">
        <v>399</v>
      </c>
      <c r="Y754" t="s">
        <v>332</v>
      </c>
      <c r="AB754" t="s">
        <v>341</v>
      </c>
      <c r="AC754" t="s">
        <v>342</v>
      </c>
      <c r="AD754" s="39">
        <v>46.30641</v>
      </c>
      <c r="AE754" s="39">
        <v>-84.06129</v>
      </c>
      <c r="AF754" s="18">
        <v>41038.930555555555</v>
      </c>
      <c r="AG754" s="19">
        <v>41038.763888888891</v>
      </c>
      <c r="AH754" t="s">
        <v>161</v>
      </c>
      <c r="AL754" t="s">
        <v>335</v>
      </c>
      <c r="AM754" s="20">
        <v>41036</v>
      </c>
      <c r="AR754" s="39" t="s">
        <v>400</v>
      </c>
      <c r="AS754" s="39"/>
      <c r="AT754" s="39">
        <v>200</v>
      </c>
      <c r="AZ754" t="s">
        <v>108</v>
      </c>
      <c r="BC754" t="s">
        <v>336</v>
      </c>
    </row>
    <row r="755" spans="1:71" x14ac:dyDescent="0.25">
      <c r="A755" t="str">
        <f t="shared" si="11"/>
        <v>A69-9002-7234</v>
      </c>
      <c r="B755" t="s">
        <v>398</v>
      </c>
      <c r="C755" t="s">
        <v>324</v>
      </c>
      <c r="D755" t="s">
        <v>325</v>
      </c>
      <c r="F755">
        <v>7234</v>
      </c>
      <c r="G755" t="s">
        <v>326</v>
      </c>
      <c r="H755" t="s">
        <v>327</v>
      </c>
      <c r="I755" s="20">
        <v>41036</v>
      </c>
      <c r="J755">
        <v>77</v>
      </c>
      <c r="L755" t="s">
        <v>109</v>
      </c>
      <c r="M755" t="s">
        <v>328</v>
      </c>
      <c r="N755" t="s">
        <v>329</v>
      </c>
      <c r="O755" t="s">
        <v>330</v>
      </c>
      <c r="P755" t="s">
        <v>331</v>
      </c>
      <c r="U755">
        <v>0.53</v>
      </c>
      <c r="V755">
        <v>0.28600000000000003</v>
      </c>
      <c r="W755" t="s">
        <v>399</v>
      </c>
      <c r="Y755" t="s">
        <v>332</v>
      </c>
      <c r="AB755" t="s">
        <v>341</v>
      </c>
      <c r="AC755" t="s">
        <v>342</v>
      </c>
      <c r="AD755" s="39">
        <v>46.30641</v>
      </c>
      <c r="AE755" s="39">
        <v>-84.06129</v>
      </c>
      <c r="AF755" s="18">
        <v>41038.930555555555</v>
      </c>
      <c r="AG755" s="19">
        <v>41038.763888888891</v>
      </c>
      <c r="AH755" t="s">
        <v>161</v>
      </c>
      <c r="AL755" t="s">
        <v>335</v>
      </c>
      <c r="AM755" s="20">
        <v>41036</v>
      </c>
      <c r="AR755" s="39" t="s">
        <v>400</v>
      </c>
      <c r="AS755" s="39"/>
      <c r="AT755" s="39">
        <v>200</v>
      </c>
      <c r="AZ755" t="s">
        <v>108</v>
      </c>
      <c r="BC755" t="s">
        <v>336</v>
      </c>
    </row>
    <row r="756" spans="1:71" x14ac:dyDescent="0.25">
      <c r="A756" t="str">
        <f t="shared" si="11"/>
        <v>A69-9002-7229</v>
      </c>
      <c r="B756" t="s">
        <v>398</v>
      </c>
      <c r="C756" t="s">
        <v>324</v>
      </c>
      <c r="D756" t="s">
        <v>325</v>
      </c>
      <c r="F756">
        <v>7229</v>
      </c>
      <c r="G756" t="s">
        <v>326</v>
      </c>
      <c r="H756" t="s">
        <v>327</v>
      </c>
      <c r="I756" s="20">
        <v>41036</v>
      </c>
      <c r="J756">
        <v>77</v>
      </c>
      <c r="L756" t="s">
        <v>109</v>
      </c>
      <c r="M756" t="s">
        <v>328</v>
      </c>
      <c r="N756" t="s">
        <v>329</v>
      </c>
      <c r="O756" t="s">
        <v>330</v>
      </c>
      <c r="P756" t="s">
        <v>331</v>
      </c>
      <c r="U756">
        <v>0.49</v>
      </c>
      <c r="V756">
        <v>0.27500000000000002</v>
      </c>
      <c r="W756" t="s">
        <v>399</v>
      </c>
      <c r="Y756" t="s">
        <v>332</v>
      </c>
      <c r="AB756" t="s">
        <v>341</v>
      </c>
      <c r="AC756" t="s">
        <v>342</v>
      </c>
      <c r="AD756" s="39">
        <v>46.30641</v>
      </c>
      <c r="AE756" s="39">
        <v>-84.06129</v>
      </c>
      <c r="AF756" s="18">
        <v>41038.930555555555</v>
      </c>
      <c r="AG756" s="19">
        <v>41038.763888888891</v>
      </c>
      <c r="AH756" t="s">
        <v>161</v>
      </c>
      <c r="AL756" t="s">
        <v>335</v>
      </c>
      <c r="AM756" s="20">
        <v>41036</v>
      </c>
      <c r="AR756" s="39" t="s">
        <v>400</v>
      </c>
      <c r="AS756" s="39"/>
      <c r="AT756" s="39">
        <v>200</v>
      </c>
      <c r="AZ756" t="s">
        <v>108</v>
      </c>
      <c r="BC756" t="s">
        <v>336</v>
      </c>
    </row>
    <row r="757" spans="1:71" x14ac:dyDescent="0.25">
      <c r="A757" t="str">
        <f t="shared" si="11"/>
        <v>A69-9002-7224</v>
      </c>
      <c r="B757" t="s">
        <v>398</v>
      </c>
      <c r="C757" t="s">
        <v>324</v>
      </c>
      <c r="D757" t="s">
        <v>325</v>
      </c>
      <c r="F757">
        <v>7224</v>
      </c>
      <c r="G757" t="s">
        <v>326</v>
      </c>
      <c r="H757" t="s">
        <v>327</v>
      </c>
      <c r="I757" s="20">
        <v>41036</v>
      </c>
      <c r="J757">
        <v>77</v>
      </c>
      <c r="L757" t="s">
        <v>109</v>
      </c>
      <c r="M757" t="s">
        <v>328</v>
      </c>
      <c r="N757" t="s">
        <v>329</v>
      </c>
      <c r="O757" t="s">
        <v>330</v>
      </c>
      <c r="P757" t="s">
        <v>331</v>
      </c>
      <c r="U757">
        <v>0.49</v>
      </c>
      <c r="V757">
        <v>0.27900000000000003</v>
      </c>
      <c r="W757" t="s">
        <v>399</v>
      </c>
      <c r="Y757" t="s">
        <v>332</v>
      </c>
      <c r="AB757" t="s">
        <v>341</v>
      </c>
      <c r="AC757" t="s">
        <v>342</v>
      </c>
      <c r="AD757" s="39">
        <v>46.30641</v>
      </c>
      <c r="AE757" s="39">
        <v>-84.06129</v>
      </c>
      <c r="AF757" s="18">
        <v>41038.930555555555</v>
      </c>
      <c r="AG757" s="19">
        <v>41038.763888888891</v>
      </c>
      <c r="AH757" t="s">
        <v>161</v>
      </c>
      <c r="AL757" t="s">
        <v>335</v>
      </c>
      <c r="AM757" s="20">
        <v>41036</v>
      </c>
      <c r="AR757" s="39" t="s">
        <v>400</v>
      </c>
      <c r="AS757" s="39"/>
      <c r="AT757" s="39">
        <v>200</v>
      </c>
      <c r="AZ757" t="s">
        <v>108</v>
      </c>
      <c r="BC757" t="s">
        <v>336</v>
      </c>
    </row>
    <row r="758" spans="1:71" x14ac:dyDescent="0.25">
      <c r="A758" t="str">
        <f t="shared" si="11"/>
        <v>A69-9002-7219</v>
      </c>
      <c r="B758" t="s">
        <v>398</v>
      </c>
      <c r="C758" t="s">
        <v>324</v>
      </c>
      <c r="D758" t="s">
        <v>325</v>
      </c>
      <c r="F758">
        <v>7219</v>
      </c>
      <c r="G758" t="s">
        <v>326</v>
      </c>
      <c r="H758" t="s">
        <v>327</v>
      </c>
      <c r="I758" s="20">
        <v>41036</v>
      </c>
      <c r="J758">
        <v>77</v>
      </c>
      <c r="L758" t="s">
        <v>109</v>
      </c>
      <c r="M758" t="s">
        <v>328</v>
      </c>
      <c r="N758" t="s">
        <v>329</v>
      </c>
      <c r="O758" t="s">
        <v>330</v>
      </c>
      <c r="P758" t="s">
        <v>331</v>
      </c>
      <c r="U758">
        <v>0.51</v>
      </c>
      <c r="V758">
        <v>0.313</v>
      </c>
      <c r="W758" t="s">
        <v>399</v>
      </c>
      <c r="Y758" t="s">
        <v>332</v>
      </c>
      <c r="AB758" t="s">
        <v>341</v>
      </c>
      <c r="AC758" t="s">
        <v>342</v>
      </c>
      <c r="AD758" s="39">
        <v>46.30641</v>
      </c>
      <c r="AE758" s="39">
        <v>-84.06129</v>
      </c>
      <c r="AF758" s="18">
        <v>41038.930555555555</v>
      </c>
      <c r="AG758" s="19">
        <v>41038.763888888891</v>
      </c>
      <c r="AH758" t="s">
        <v>161</v>
      </c>
      <c r="AL758" t="s">
        <v>335</v>
      </c>
      <c r="AM758" s="20">
        <v>41036</v>
      </c>
      <c r="AR758" s="39" t="s">
        <v>400</v>
      </c>
      <c r="AS758" s="39"/>
      <c r="AT758" s="39">
        <v>200</v>
      </c>
      <c r="AZ758" t="s">
        <v>108</v>
      </c>
      <c r="BC758" t="s">
        <v>336</v>
      </c>
    </row>
    <row r="759" spans="1:71" x14ac:dyDescent="0.25">
      <c r="A759" t="str">
        <f t="shared" si="11"/>
        <v>A69-9002-7214</v>
      </c>
      <c r="B759" t="s">
        <v>398</v>
      </c>
      <c r="C759" t="s">
        <v>324</v>
      </c>
      <c r="D759" t="s">
        <v>325</v>
      </c>
      <c r="F759">
        <v>7214</v>
      </c>
      <c r="G759" t="s">
        <v>326</v>
      </c>
      <c r="H759" t="s">
        <v>327</v>
      </c>
      <c r="I759" s="20">
        <v>41036</v>
      </c>
      <c r="J759">
        <v>77</v>
      </c>
      <c r="L759" t="s">
        <v>109</v>
      </c>
      <c r="M759" t="s">
        <v>328</v>
      </c>
      <c r="N759" t="s">
        <v>329</v>
      </c>
      <c r="O759" t="s">
        <v>330</v>
      </c>
      <c r="P759" t="s">
        <v>331</v>
      </c>
      <c r="U759">
        <v>0.48</v>
      </c>
      <c r="V759">
        <v>0.23300000000000001</v>
      </c>
      <c r="W759" t="s">
        <v>399</v>
      </c>
      <c r="Y759" t="s">
        <v>332</v>
      </c>
      <c r="AB759" t="s">
        <v>341</v>
      </c>
      <c r="AC759" t="s">
        <v>342</v>
      </c>
      <c r="AD759" s="39">
        <v>46.30641</v>
      </c>
      <c r="AE759" s="39">
        <v>-84.06129</v>
      </c>
      <c r="AF759" s="18">
        <v>41038.930555555555</v>
      </c>
      <c r="AG759" s="19">
        <v>41038.763888888891</v>
      </c>
      <c r="AH759" t="s">
        <v>161</v>
      </c>
      <c r="AL759" t="s">
        <v>335</v>
      </c>
      <c r="AM759" s="20">
        <v>41036</v>
      </c>
      <c r="AR759" s="39" t="s">
        <v>400</v>
      </c>
      <c r="AS759" s="39"/>
      <c r="AT759" s="39">
        <v>200</v>
      </c>
      <c r="AZ759" t="s">
        <v>108</v>
      </c>
      <c r="BC759" t="s">
        <v>336</v>
      </c>
    </row>
    <row r="760" spans="1:71" x14ac:dyDescent="0.25">
      <c r="A760" t="str">
        <f t="shared" si="11"/>
        <v>A69-9002-7233</v>
      </c>
      <c r="B760" t="s">
        <v>398</v>
      </c>
      <c r="C760" t="s">
        <v>324</v>
      </c>
      <c r="D760" t="s">
        <v>325</v>
      </c>
      <c r="F760">
        <v>7233</v>
      </c>
      <c r="G760" t="s">
        <v>326</v>
      </c>
      <c r="H760" t="s">
        <v>327</v>
      </c>
      <c r="I760" s="20">
        <v>41036</v>
      </c>
      <c r="J760">
        <v>77</v>
      </c>
      <c r="L760" t="s">
        <v>109</v>
      </c>
      <c r="M760" t="s">
        <v>328</v>
      </c>
      <c r="N760" t="s">
        <v>329</v>
      </c>
      <c r="O760" t="s">
        <v>330</v>
      </c>
      <c r="P760" t="s">
        <v>331</v>
      </c>
      <c r="U760">
        <v>0.51</v>
      </c>
      <c r="V760">
        <v>0.26</v>
      </c>
      <c r="W760" t="s">
        <v>399</v>
      </c>
      <c r="Y760" t="s">
        <v>332</v>
      </c>
      <c r="AB760" t="s">
        <v>341</v>
      </c>
      <c r="AC760" t="s">
        <v>342</v>
      </c>
      <c r="AD760" s="39">
        <v>46.30641</v>
      </c>
      <c r="AE760" s="39">
        <v>-84.06129</v>
      </c>
      <c r="AF760" s="18">
        <v>41038.930555555555</v>
      </c>
      <c r="AG760" s="19">
        <v>41038.763888888891</v>
      </c>
      <c r="AH760" t="s">
        <v>161</v>
      </c>
      <c r="AL760" t="s">
        <v>335</v>
      </c>
      <c r="AM760" s="20">
        <v>41036</v>
      </c>
      <c r="AR760" s="39" t="s">
        <v>400</v>
      </c>
      <c r="AS760" s="39"/>
      <c r="AT760" s="39">
        <v>200</v>
      </c>
      <c r="AZ760" t="s">
        <v>108</v>
      </c>
      <c r="BC760" t="s">
        <v>336</v>
      </c>
    </row>
    <row r="761" spans="1:71" x14ac:dyDescent="0.25">
      <c r="A761" t="str">
        <f t="shared" si="11"/>
        <v>A69-9002-7228</v>
      </c>
      <c r="B761" t="s">
        <v>398</v>
      </c>
      <c r="C761" t="s">
        <v>324</v>
      </c>
      <c r="D761" t="s">
        <v>325</v>
      </c>
      <c r="F761">
        <v>7228</v>
      </c>
      <c r="G761" t="s">
        <v>326</v>
      </c>
      <c r="H761" t="s">
        <v>327</v>
      </c>
      <c r="I761" s="20">
        <v>41036</v>
      </c>
      <c r="J761">
        <v>77</v>
      </c>
      <c r="L761" t="s">
        <v>109</v>
      </c>
      <c r="M761" t="s">
        <v>328</v>
      </c>
      <c r="N761" t="s">
        <v>329</v>
      </c>
      <c r="O761" t="s">
        <v>330</v>
      </c>
      <c r="P761" t="s">
        <v>331</v>
      </c>
      <c r="U761">
        <v>0.5</v>
      </c>
      <c r="V761">
        <v>0.30499999999999999</v>
      </c>
      <c r="W761" t="s">
        <v>399</v>
      </c>
      <c r="Y761" t="s">
        <v>332</v>
      </c>
      <c r="AB761" t="s">
        <v>341</v>
      </c>
      <c r="AC761" t="s">
        <v>342</v>
      </c>
      <c r="AD761" s="39">
        <v>46.30641</v>
      </c>
      <c r="AE761" s="39">
        <v>-84.06129</v>
      </c>
      <c r="AF761" s="18">
        <v>41038.930555555555</v>
      </c>
      <c r="AG761" s="19">
        <v>41038.763888888891</v>
      </c>
      <c r="AH761" t="s">
        <v>161</v>
      </c>
      <c r="AL761" t="s">
        <v>335</v>
      </c>
      <c r="AM761" s="20">
        <v>41036</v>
      </c>
      <c r="AR761" s="39" t="s">
        <v>400</v>
      </c>
      <c r="AS761" s="39"/>
      <c r="AT761" s="39">
        <v>200</v>
      </c>
      <c r="AZ761" t="s">
        <v>108</v>
      </c>
      <c r="BC761" t="s">
        <v>336</v>
      </c>
    </row>
    <row r="762" spans="1:71" x14ac:dyDescent="0.25">
      <c r="A762" t="str">
        <f t="shared" si="11"/>
        <v>A69-1601-4971</v>
      </c>
      <c r="B762" t="s">
        <v>398</v>
      </c>
      <c r="C762" t="s">
        <v>324</v>
      </c>
      <c r="D762" t="s">
        <v>345</v>
      </c>
      <c r="F762">
        <v>4971</v>
      </c>
      <c r="G762" t="s">
        <v>346</v>
      </c>
      <c r="H762" t="s">
        <v>327</v>
      </c>
      <c r="I762" s="20">
        <v>41036</v>
      </c>
      <c r="J762">
        <v>101</v>
      </c>
      <c r="L762" t="s">
        <v>109</v>
      </c>
      <c r="M762" t="s">
        <v>328</v>
      </c>
      <c r="N762" t="s">
        <v>329</v>
      </c>
      <c r="O762" t="s">
        <v>330</v>
      </c>
      <c r="P762" t="s">
        <v>331</v>
      </c>
      <c r="U762">
        <v>0.5</v>
      </c>
      <c r="V762">
        <v>0.22900000000000001</v>
      </c>
      <c r="W762" t="s">
        <v>399</v>
      </c>
      <c r="Y762" t="s">
        <v>337</v>
      </c>
      <c r="AB762" t="s">
        <v>333</v>
      </c>
      <c r="AC762" t="s">
        <v>334</v>
      </c>
      <c r="AD762" s="39">
        <v>46.171439999999997</v>
      </c>
      <c r="AE762" s="39">
        <v>-84.079989999999995</v>
      </c>
      <c r="AF762" s="18">
        <v>41038.896527777775</v>
      </c>
      <c r="AG762" s="19">
        <v>41038.763888888891</v>
      </c>
      <c r="AH762" t="s">
        <v>161</v>
      </c>
      <c r="AL762" t="s">
        <v>335</v>
      </c>
      <c r="AM762" s="20">
        <v>41036</v>
      </c>
      <c r="AR762" s="39" t="s">
        <v>400</v>
      </c>
      <c r="AS762" s="39"/>
      <c r="AT762" s="39">
        <v>200</v>
      </c>
      <c r="AZ762" t="s">
        <v>108</v>
      </c>
      <c r="BC762" t="s">
        <v>336</v>
      </c>
    </row>
    <row r="763" spans="1:71" x14ac:dyDescent="0.25">
      <c r="A763" t="str">
        <f t="shared" si="11"/>
        <v>A69-1601-4972</v>
      </c>
      <c r="B763" t="s">
        <v>398</v>
      </c>
      <c r="C763" t="s">
        <v>324</v>
      </c>
      <c r="D763" t="s">
        <v>345</v>
      </c>
      <c r="F763">
        <v>4972</v>
      </c>
      <c r="G763" t="s">
        <v>346</v>
      </c>
      <c r="H763" t="s">
        <v>327</v>
      </c>
      <c r="I763" s="20">
        <v>41036</v>
      </c>
      <c r="J763">
        <v>101</v>
      </c>
      <c r="L763" t="s">
        <v>109</v>
      </c>
      <c r="M763" t="s">
        <v>328</v>
      </c>
      <c r="N763" t="s">
        <v>329</v>
      </c>
      <c r="O763" t="s">
        <v>330</v>
      </c>
      <c r="P763" t="s">
        <v>331</v>
      </c>
      <c r="U763">
        <v>0.49</v>
      </c>
      <c r="V763">
        <v>0.247</v>
      </c>
      <c r="W763" t="s">
        <v>399</v>
      </c>
      <c r="Y763" t="s">
        <v>337</v>
      </c>
      <c r="AB763" s="39" t="s">
        <v>333</v>
      </c>
      <c r="AC763" s="39" t="s">
        <v>334</v>
      </c>
      <c r="AD763" s="39">
        <v>46.171439999999997</v>
      </c>
      <c r="AE763" s="39">
        <v>-84.079989999999995</v>
      </c>
      <c r="AF763" s="18">
        <v>41038.896527777775</v>
      </c>
      <c r="AG763" s="19">
        <v>41038.763888888891</v>
      </c>
      <c r="AH763" t="s">
        <v>161</v>
      </c>
      <c r="AL763" t="s">
        <v>335</v>
      </c>
      <c r="AM763" s="20">
        <v>41036</v>
      </c>
      <c r="AR763" s="39" t="s">
        <v>400</v>
      </c>
      <c r="AS763" s="39"/>
      <c r="AT763" s="39">
        <v>200</v>
      </c>
      <c r="AZ763" t="s">
        <v>108</v>
      </c>
      <c r="BC763" t="s">
        <v>336</v>
      </c>
    </row>
    <row r="764" spans="1:71" x14ac:dyDescent="0.25">
      <c r="A764" t="str">
        <f t="shared" si="11"/>
        <v>A69-1601-4973</v>
      </c>
      <c r="B764" t="s">
        <v>398</v>
      </c>
      <c r="C764" t="s">
        <v>324</v>
      </c>
      <c r="D764" t="s">
        <v>345</v>
      </c>
      <c r="F764">
        <v>4973</v>
      </c>
      <c r="G764" t="s">
        <v>346</v>
      </c>
      <c r="H764" t="s">
        <v>327</v>
      </c>
      <c r="I764" s="20">
        <v>41036</v>
      </c>
      <c r="J764">
        <v>101</v>
      </c>
      <c r="L764" t="s">
        <v>109</v>
      </c>
      <c r="M764" t="s">
        <v>328</v>
      </c>
      <c r="N764" t="s">
        <v>329</v>
      </c>
      <c r="O764" t="s">
        <v>330</v>
      </c>
      <c r="P764" t="s">
        <v>331</v>
      </c>
      <c r="U764">
        <v>0.51</v>
      </c>
      <c r="V764">
        <v>0.23300000000000001</v>
      </c>
      <c r="W764" t="s">
        <v>399</v>
      </c>
      <c r="Y764" t="s">
        <v>337</v>
      </c>
      <c r="AB764" s="39" t="s">
        <v>333</v>
      </c>
      <c r="AC764" s="39" t="s">
        <v>334</v>
      </c>
      <c r="AD764" s="39">
        <v>46.171439999999997</v>
      </c>
      <c r="AE764" s="39">
        <v>-84.079989999999995</v>
      </c>
      <c r="AF764" s="18">
        <v>41038.896527777775</v>
      </c>
      <c r="AG764" s="19">
        <v>41038.763888888891</v>
      </c>
      <c r="AH764" t="s">
        <v>161</v>
      </c>
      <c r="AL764" t="s">
        <v>335</v>
      </c>
      <c r="AM764" s="20">
        <v>41036</v>
      </c>
      <c r="AR764" s="39" t="s">
        <v>400</v>
      </c>
      <c r="AS764" s="39"/>
      <c r="AT764" s="39">
        <v>200</v>
      </c>
      <c r="AZ764" t="s">
        <v>108</v>
      </c>
      <c r="BC764" t="s">
        <v>336</v>
      </c>
    </row>
    <row r="765" spans="1:71" x14ac:dyDescent="0.25">
      <c r="A765" t="str">
        <f t="shared" si="11"/>
        <v>A69-1601-4974</v>
      </c>
      <c r="B765" t="s">
        <v>398</v>
      </c>
      <c r="C765" t="s">
        <v>324</v>
      </c>
      <c r="D765" t="s">
        <v>345</v>
      </c>
      <c r="F765">
        <v>4974</v>
      </c>
      <c r="G765" t="s">
        <v>346</v>
      </c>
      <c r="H765" t="s">
        <v>327</v>
      </c>
      <c r="I765" s="20">
        <v>41036</v>
      </c>
      <c r="J765">
        <v>101</v>
      </c>
      <c r="L765" t="s">
        <v>109</v>
      </c>
      <c r="M765" t="s">
        <v>328</v>
      </c>
      <c r="N765" t="s">
        <v>329</v>
      </c>
      <c r="O765" t="s">
        <v>330</v>
      </c>
      <c r="P765" t="s">
        <v>331</v>
      </c>
      <c r="U765">
        <v>0.48</v>
      </c>
      <c r="V765">
        <v>0.23200000000000001</v>
      </c>
      <c r="W765" t="s">
        <v>399</v>
      </c>
      <c r="Y765" t="s">
        <v>337</v>
      </c>
      <c r="AB765" s="39" t="s">
        <v>333</v>
      </c>
      <c r="AC765" s="39" t="s">
        <v>334</v>
      </c>
      <c r="AD765" s="39">
        <v>46.171439999999997</v>
      </c>
      <c r="AE765" s="39">
        <v>-84.079989999999995</v>
      </c>
      <c r="AF765" s="18">
        <v>41038.896527777775</v>
      </c>
      <c r="AG765" s="19">
        <v>41038.763888888891</v>
      </c>
      <c r="AH765" t="s">
        <v>161</v>
      </c>
      <c r="AL765" t="s">
        <v>335</v>
      </c>
      <c r="AM765" s="20">
        <v>41036</v>
      </c>
      <c r="AR765" s="39" t="s">
        <v>400</v>
      </c>
      <c r="AS765" s="39"/>
      <c r="AT765" s="39">
        <v>200</v>
      </c>
      <c r="AZ765" t="s">
        <v>108</v>
      </c>
      <c r="BC765" t="s">
        <v>163</v>
      </c>
      <c r="BD765" s="20">
        <v>41068</v>
      </c>
      <c r="BF765" s="21" t="s">
        <v>406</v>
      </c>
      <c r="BG765" s="38" t="s">
        <v>113</v>
      </c>
      <c r="BH765" s="1" t="s">
        <v>408</v>
      </c>
      <c r="BI765" s="1">
        <v>46.514783999999999</v>
      </c>
      <c r="BJ765" s="1">
        <v>-84.346945000000005</v>
      </c>
      <c r="BK765" s="1" t="s">
        <v>404</v>
      </c>
      <c r="BL765" s="1" t="s">
        <v>163</v>
      </c>
      <c r="BM765" s="1" t="s">
        <v>163</v>
      </c>
      <c r="BN765" s="1" t="s">
        <v>420</v>
      </c>
      <c r="BO765" s="39">
        <v>18545</v>
      </c>
      <c r="BP765" s="39">
        <v>18545</v>
      </c>
      <c r="BQ765" s="39" t="s">
        <v>337</v>
      </c>
      <c r="BR765" s="39">
        <v>465</v>
      </c>
      <c r="BS765" s="39">
        <v>215</v>
      </c>
    </row>
    <row r="766" spans="1:71" x14ac:dyDescent="0.25">
      <c r="A766" t="str">
        <f t="shared" si="11"/>
        <v>A69-1601-4975</v>
      </c>
      <c r="B766" t="s">
        <v>398</v>
      </c>
      <c r="C766" t="s">
        <v>324</v>
      </c>
      <c r="D766" t="s">
        <v>345</v>
      </c>
      <c r="F766">
        <v>4975</v>
      </c>
      <c r="G766" t="s">
        <v>346</v>
      </c>
      <c r="H766" t="s">
        <v>327</v>
      </c>
      <c r="I766" s="20">
        <v>41036</v>
      </c>
      <c r="J766">
        <v>101</v>
      </c>
      <c r="L766" t="s">
        <v>109</v>
      </c>
      <c r="M766" t="s">
        <v>328</v>
      </c>
      <c r="N766" t="s">
        <v>329</v>
      </c>
      <c r="O766" t="s">
        <v>330</v>
      </c>
      <c r="P766" t="s">
        <v>331</v>
      </c>
      <c r="U766">
        <v>0.46</v>
      </c>
      <c r="V766">
        <v>0.24</v>
      </c>
      <c r="W766" t="s">
        <v>399</v>
      </c>
      <c r="Y766" t="s">
        <v>337</v>
      </c>
      <c r="AB766" s="39" t="s">
        <v>333</v>
      </c>
      <c r="AC766" s="39" t="s">
        <v>334</v>
      </c>
      <c r="AD766" s="39">
        <v>46.171439999999997</v>
      </c>
      <c r="AE766" s="39">
        <v>-84.079989999999995</v>
      </c>
      <c r="AF766" s="18">
        <v>41038.896527777775</v>
      </c>
      <c r="AG766" s="19">
        <v>41038.763888888891</v>
      </c>
      <c r="AH766" t="s">
        <v>161</v>
      </c>
      <c r="AL766" t="s">
        <v>335</v>
      </c>
      <c r="AM766" s="20">
        <v>41036</v>
      </c>
      <c r="AR766" s="39" t="s">
        <v>400</v>
      </c>
      <c r="AS766" s="39"/>
      <c r="AT766" s="39">
        <v>200</v>
      </c>
      <c r="AZ766" t="s">
        <v>108</v>
      </c>
      <c r="BC766" t="s">
        <v>336</v>
      </c>
    </row>
    <row r="767" spans="1:71" x14ac:dyDescent="0.25">
      <c r="A767" t="str">
        <f t="shared" si="11"/>
        <v>A69-1601-4965</v>
      </c>
      <c r="B767" t="s">
        <v>398</v>
      </c>
      <c r="C767" t="s">
        <v>324</v>
      </c>
      <c r="D767" t="s">
        <v>345</v>
      </c>
      <c r="F767">
        <v>4965</v>
      </c>
      <c r="G767" t="s">
        <v>346</v>
      </c>
      <c r="H767" t="s">
        <v>327</v>
      </c>
      <c r="I767" s="20">
        <v>41036</v>
      </c>
      <c r="J767">
        <v>101</v>
      </c>
      <c r="L767" t="s">
        <v>109</v>
      </c>
      <c r="M767" t="s">
        <v>328</v>
      </c>
      <c r="N767" t="s">
        <v>329</v>
      </c>
      <c r="O767" t="s">
        <v>330</v>
      </c>
      <c r="P767" t="s">
        <v>331</v>
      </c>
      <c r="U767">
        <v>0.47000000000000003</v>
      </c>
      <c r="V767">
        <v>0.251</v>
      </c>
      <c r="W767" t="s">
        <v>399</v>
      </c>
      <c r="Y767" t="s">
        <v>337</v>
      </c>
      <c r="AB767" s="39" t="s">
        <v>333</v>
      </c>
      <c r="AC767" s="39" t="s">
        <v>334</v>
      </c>
      <c r="AD767" s="39">
        <v>46.171439999999997</v>
      </c>
      <c r="AE767" s="39">
        <v>-84.079989999999995</v>
      </c>
      <c r="AF767" s="18">
        <v>41038.896527777775</v>
      </c>
      <c r="AG767" s="19">
        <v>41038.763888888891</v>
      </c>
      <c r="AH767" t="s">
        <v>161</v>
      </c>
      <c r="AL767" t="s">
        <v>335</v>
      </c>
      <c r="AM767" s="20">
        <v>41036</v>
      </c>
      <c r="AR767" s="39" t="s">
        <v>400</v>
      </c>
      <c r="AS767" s="39"/>
      <c r="AT767" s="39">
        <v>200</v>
      </c>
      <c r="AZ767" t="s">
        <v>108</v>
      </c>
      <c r="BC767" t="s">
        <v>336</v>
      </c>
    </row>
    <row r="768" spans="1:71" x14ac:dyDescent="0.25">
      <c r="A768" t="str">
        <f t="shared" si="11"/>
        <v>A69-1601-4976</v>
      </c>
      <c r="B768" t="s">
        <v>398</v>
      </c>
      <c r="C768" t="s">
        <v>324</v>
      </c>
      <c r="D768" t="s">
        <v>345</v>
      </c>
      <c r="F768">
        <v>4976</v>
      </c>
      <c r="G768" t="s">
        <v>346</v>
      </c>
      <c r="H768" t="s">
        <v>327</v>
      </c>
      <c r="I768" s="20">
        <v>41036</v>
      </c>
      <c r="J768">
        <v>101</v>
      </c>
      <c r="L768" t="s">
        <v>109</v>
      </c>
      <c r="M768" t="s">
        <v>328</v>
      </c>
      <c r="N768" t="s">
        <v>329</v>
      </c>
      <c r="O768" t="s">
        <v>330</v>
      </c>
      <c r="P768" t="s">
        <v>331</v>
      </c>
      <c r="U768">
        <v>0.45</v>
      </c>
      <c r="V768">
        <v>0.17500000000000002</v>
      </c>
      <c r="W768" t="s">
        <v>399</v>
      </c>
      <c r="Y768" t="s">
        <v>337</v>
      </c>
      <c r="AB768" s="39" t="s">
        <v>333</v>
      </c>
      <c r="AC768" s="39" t="s">
        <v>334</v>
      </c>
      <c r="AD768" s="39">
        <v>46.171439999999997</v>
      </c>
      <c r="AE768" s="39">
        <v>-84.079989999999995</v>
      </c>
      <c r="AF768" s="18">
        <v>41038.896527777775</v>
      </c>
      <c r="AG768" s="19">
        <v>41038.763888888891</v>
      </c>
      <c r="AH768" t="s">
        <v>161</v>
      </c>
      <c r="AL768" t="s">
        <v>335</v>
      </c>
      <c r="AM768" s="20">
        <v>41036</v>
      </c>
      <c r="AR768" s="39" t="s">
        <v>400</v>
      </c>
      <c r="AS768" s="39"/>
      <c r="AT768" s="39">
        <v>200</v>
      </c>
      <c r="AZ768" t="s">
        <v>108</v>
      </c>
      <c r="BC768" t="s">
        <v>336</v>
      </c>
    </row>
    <row r="769" spans="1:71" x14ac:dyDescent="0.25">
      <c r="A769" t="str">
        <f t="shared" si="11"/>
        <v>A69-1601-4966</v>
      </c>
      <c r="B769" t="s">
        <v>398</v>
      </c>
      <c r="C769" t="s">
        <v>324</v>
      </c>
      <c r="D769" t="s">
        <v>345</v>
      </c>
      <c r="F769">
        <v>4966</v>
      </c>
      <c r="G769" t="s">
        <v>346</v>
      </c>
      <c r="H769" t="s">
        <v>327</v>
      </c>
      <c r="I769" s="20">
        <v>41036</v>
      </c>
      <c r="J769">
        <v>101</v>
      </c>
      <c r="L769" t="s">
        <v>109</v>
      </c>
      <c r="M769" t="s">
        <v>328</v>
      </c>
      <c r="N769" t="s">
        <v>329</v>
      </c>
      <c r="O769" t="s">
        <v>330</v>
      </c>
      <c r="P769" t="s">
        <v>331</v>
      </c>
      <c r="U769">
        <v>0.48</v>
      </c>
      <c r="V769">
        <v>0.24199999999999999</v>
      </c>
      <c r="W769" t="s">
        <v>399</v>
      </c>
      <c r="Y769" t="s">
        <v>337</v>
      </c>
      <c r="AB769" s="39" t="s">
        <v>333</v>
      </c>
      <c r="AC769" s="39" t="s">
        <v>334</v>
      </c>
      <c r="AD769" s="39">
        <v>46.171439999999997</v>
      </c>
      <c r="AE769" s="39">
        <v>-84.079989999999995</v>
      </c>
      <c r="AF769" s="18">
        <v>41038.896527777775</v>
      </c>
      <c r="AG769" s="19">
        <v>41038.763888888891</v>
      </c>
      <c r="AH769" t="s">
        <v>161</v>
      </c>
      <c r="AL769" t="s">
        <v>335</v>
      </c>
      <c r="AM769" s="20">
        <v>41036</v>
      </c>
      <c r="AR769" s="39" t="s">
        <v>400</v>
      </c>
      <c r="AS769" s="39"/>
      <c r="AT769" s="39">
        <v>200</v>
      </c>
      <c r="AZ769" t="s">
        <v>108</v>
      </c>
      <c r="BC769" t="s">
        <v>336</v>
      </c>
    </row>
    <row r="770" spans="1:71" x14ac:dyDescent="0.25">
      <c r="A770" t="str">
        <f t="shared" si="11"/>
        <v>A69-1601-4967</v>
      </c>
      <c r="B770" t="s">
        <v>398</v>
      </c>
      <c r="C770" t="s">
        <v>324</v>
      </c>
      <c r="D770" t="s">
        <v>345</v>
      </c>
      <c r="F770">
        <v>4967</v>
      </c>
      <c r="G770" t="s">
        <v>346</v>
      </c>
      <c r="H770" t="s">
        <v>327</v>
      </c>
      <c r="I770" s="20">
        <v>41036</v>
      </c>
      <c r="J770">
        <v>101</v>
      </c>
      <c r="L770" t="s">
        <v>109</v>
      </c>
      <c r="M770" t="s">
        <v>328</v>
      </c>
      <c r="N770" t="s">
        <v>329</v>
      </c>
      <c r="O770" t="s">
        <v>330</v>
      </c>
      <c r="P770" t="s">
        <v>331</v>
      </c>
      <c r="U770">
        <v>0.5</v>
      </c>
      <c r="V770">
        <v>0.249</v>
      </c>
      <c r="W770" t="s">
        <v>399</v>
      </c>
      <c r="Y770" t="s">
        <v>337</v>
      </c>
      <c r="AB770" s="39" t="s">
        <v>333</v>
      </c>
      <c r="AC770" s="39" t="s">
        <v>334</v>
      </c>
      <c r="AD770" s="39">
        <v>46.171439999999997</v>
      </c>
      <c r="AE770" s="39">
        <v>-84.079989999999995</v>
      </c>
      <c r="AF770" s="18">
        <v>41038.896527777775</v>
      </c>
      <c r="AG770" s="19">
        <v>41038.763888888891</v>
      </c>
      <c r="AH770" t="s">
        <v>161</v>
      </c>
      <c r="AL770" t="s">
        <v>335</v>
      </c>
      <c r="AM770" s="20">
        <v>41036</v>
      </c>
      <c r="AR770" s="39" t="s">
        <v>400</v>
      </c>
      <c r="AS770" s="39"/>
      <c r="AT770" s="39">
        <v>200</v>
      </c>
      <c r="AZ770" t="s">
        <v>108</v>
      </c>
      <c r="BC770" t="s">
        <v>336</v>
      </c>
    </row>
    <row r="771" spans="1:71" x14ac:dyDescent="0.25">
      <c r="A771" t="str">
        <f t="shared" si="11"/>
        <v>A69-1601-4968</v>
      </c>
      <c r="B771" t="s">
        <v>398</v>
      </c>
      <c r="C771" t="s">
        <v>324</v>
      </c>
      <c r="D771" t="s">
        <v>345</v>
      </c>
      <c r="F771">
        <v>4968</v>
      </c>
      <c r="G771" t="s">
        <v>346</v>
      </c>
      <c r="H771" t="s">
        <v>327</v>
      </c>
      <c r="I771" s="20">
        <v>41036</v>
      </c>
      <c r="J771">
        <v>101</v>
      </c>
      <c r="L771" t="s">
        <v>109</v>
      </c>
      <c r="M771" t="s">
        <v>328</v>
      </c>
      <c r="N771" t="s">
        <v>329</v>
      </c>
      <c r="O771" t="s">
        <v>330</v>
      </c>
      <c r="P771" t="s">
        <v>331</v>
      </c>
      <c r="U771">
        <v>0.49</v>
      </c>
      <c r="V771">
        <v>0.23</v>
      </c>
      <c r="W771" t="s">
        <v>399</v>
      </c>
      <c r="Y771" t="s">
        <v>337</v>
      </c>
      <c r="AB771" s="39" t="s">
        <v>333</v>
      </c>
      <c r="AC771" s="39" t="s">
        <v>334</v>
      </c>
      <c r="AD771" s="39">
        <v>46.171439999999997</v>
      </c>
      <c r="AE771" s="39">
        <v>-84.079989999999995</v>
      </c>
      <c r="AF771" s="18">
        <v>41038.896527777775</v>
      </c>
      <c r="AG771" s="19">
        <v>41038.763888888891</v>
      </c>
      <c r="AH771" t="s">
        <v>161</v>
      </c>
      <c r="AL771" t="s">
        <v>335</v>
      </c>
      <c r="AM771" s="20">
        <v>41036</v>
      </c>
      <c r="AR771" s="39" t="s">
        <v>400</v>
      </c>
      <c r="AS771" s="39"/>
      <c r="AT771" s="39">
        <v>200</v>
      </c>
      <c r="AZ771" t="s">
        <v>108</v>
      </c>
      <c r="BC771" t="s">
        <v>336</v>
      </c>
    </row>
    <row r="772" spans="1:71" x14ac:dyDescent="0.25">
      <c r="A772" t="str">
        <f t="shared" ref="A772:A835" si="12">CONCATENATE(G772,"-",F772)</f>
        <v>A69-1601-4969</v>
      </c>
      <c r="B772" t="s">
        <v>398</v>
      </c>
      <c r="C772" t="s">
        <v>324</v>
      </c>
      <c r="D772" t="s">
        <v>345</v>
      </c>
      <c r="F772">
        <v>4969</v>
      </c>
      <c r="G772" t="s">
        <v>346</v>
      </c>
      <c r="H772" t="s">
        <v>327</v>
      </c>
      <c r="I772" s="20">
        <v>41036</v>
      </c>
      <c r="J772">
        <v>101</v>
      </c>
      <c r="L772" t="s">
        <v>109</v>
      </c>
      <c r="M772" t="s">
        <v>328</v>
      </c>
      <c r="N772" t="s">
        <v>329</v>
      </c>
      <c r="O772" t="s">
        <v>330</v>
      </c>
      <c r="P772" t="s">
        <v>331</v>
      </c>
      <c r="U772">
        <v>0.49</v>
      </c>
      <c r="V772">
        <v>0.25600000000000001</v>
      </c>
      <c r="W772" t="s">
        <v>399</v>
      </c>
      <c r="Y772" t="s">
        <v>337</v>
      </c>
      <c r="AB772" s="39" t="s">
        <v>333</v>
      </c>
      <c r="AC772" s="39" t="s">
        <v>334</v>
      </c>
      <c r="AD772" s="39">
        <v>46.171439999999997</v>
      </c>
      <c r="AE772" s="39">
        <v>-84.079989999999995</v>
      </c>
      <c r="AF772" s="18">
        <v>41038.896527777775</v>
      </c>
      <c r="AG772" s="19">
        <v>41038.763888888891</v>
      </c>
      <c r="AH772" t="s">
        <v>161</v>
      </c>
      <c r="AL772" t="s">
        <v>335</v>
      </c>
      <c r="AM772" s="20">
        <v>41036</v>
      </c>
      <c r="AR772" s="39" t="s">
        <v>400</v>
      </c>
      <c r="AS772" s="39"/>
      <c r="AT772" s="39">
        <v>200</v>
      </c>
      <c r="AZ772" t="s">
        <v>108</v>
      </c>
      <c r="BC772" t="s">
        <v>336</v>
      </c>
    </row>
    <row r="773" spans="1:71" x14ac:dyDescent="0.25">
      <c r="A773" t="str">
        <f t="shared" si="12"/>
        <v>A69-1601-4970</v>
      </c>
      <c r="B773" t="s">
        <v>398</v>
      </c>
      <c r="C773" t="s">
        <v>324</v>
      </c>
      <c r="D773" t="s">
        <v>345</v>
      </c>
      <c r="F773">
        <v>4970</v>
      </c>
      <c r="G773" t="s">
        <v>346</v>
      </c>
      <c r="H773" t="s">
        <v>327</v>
      </c>
      <c r="I773" s="20">
        <v>41036</v>
      </c>
      <c r="J773">
        <v>101</v>
      </c>
      <c r="L773" t="s">
        <v>109</v>
      </c>
      <c r="M773" t="s">
        <v>328</v>
      </c>
      <c r="N773" t="s">
        <v>329</v>
      </c>
      <c r="O773" t="s">
        <v>330</v>
      </c>
      <c r="P773" t="s">
        <v>331</v>
      </c>
      <c r="U773">
        <v>0.48</v>
      </c>
      <c r="V773">
        <v>0.251</v>
      </c>
      <c r="W773" t="s">
        <v>399</v>
      </c>
      <c r="Y773" t="s">
        <v>332</v>
      </c>
      <c r="AB773" s="39" t="s">
        <v>333</v>
      </c>
      <c r="AC773" s="39" t="s">
        <v>334</v>
      </c>
      <c r="AD773" s="39">
        <v>46.171439999999997</v>
      </c>
      <c r="AE773" s="39">
        <v>-84.079989999999995</v>
      </c>
      <c r="AF773" s="18">
        <v>41038.896527777775</v>
      </c>
      <c r="AG773" s="19">
        <v>41038.763888888891</v>
      </c>
      <c r="AH773" t="s">
        <v>161</v>
      </c>
      <c r="AL773" t="s">
        <v>335</v>
      </c>
      <c r="AM773" s="20">
        <v>41036</v>
      </c>
      <c r="AR773" s="39" t="s">
        <v>400</v>
      </c>
      <c r="AS773" s="39"/>
      <c r="AT773" s="39">
        <v>200</v>
      </c>
      <c r="AZ773" t="s">
        <v>108</v>
      </c>
      <c r="BC773" t="s">
        <v>336</v>
      </c>
    </row>
    <row r="774" spans="1:71" x14ac:dyDescent="0.25">
      <c r="A774" t="str">
        <f t="shared" si="12"/>
        <v>A69-1601-4869</v>
      </c>
      <c r="B774" t="s">
        <v>398</v>
      </c>
      <c r="C774" t="s">
        <v>324</v>
      </c>
      <c r="D774" t="s">
        <v>345</v>
      </c>
      <c r="F774">
        <v>4869</v>
      </c>
      <c r="G774" t="s">
        <v>346</v>
      </c>
      <c r="H774" t="s">
        <v>327</v>
      </c>
      <c r="I774" s="20">
        <v>41036</v>
      </c>
      <c r="J774">
        <v>101</v>
      </c>
      <c r="L774" t="s">
        <v>109</v>
      </c>
      <c r="M774" t="s">
        <v>328</v>
      </c>
      <c r="N774" t="s">
        <v>329</v>
      </c>
      <c r="O774" t="s">
        <v>330</v>
      </c>
      <c r="P774" t="s">
        <v>331</v>
      </c>
      <c r="U774">
        <v>0.47000000000000003</v>
      </c>
      <c r="V774">
        <v>0.23200000000000001</v>
      </c>
      <c r="W774" t="s">
        <v>399</v>
      </c>
      <c r="Y774" t="s">
        <v>337</v>
      </c>
      <c r="AB774" s="39" t="s">
        <v>333</v>
      </c>
      <c r="AC774" s="39" t="s">
        <v>334</v>
      </c>
      <c r="AD774" s="39">
        <v>46.171439999999997</v>
      </c>
      <c r="AE774" s="39">
        <v>-84.079989999999995</v>
      </c>
      <c r="AF774" s="18">
        <v>41038.896527777775</v>
      </c>
      <c r="AG774" s="19">
        <v>41038.763888888891</v>
      </c>
      <c r="AH774" t="s">
        <v>161</v>
      </c>
      <c r="AL774" t="s">
        <v>335</v>
      </c>
      <c r="AM774" s="20">
        <v>41036</v>
      </c>
      <c r="AR774" s="39" t="s">
        <v>400</v>
      </c>
      <c r="AS774" s="39"/>
      <c r="AT774" s="39">
        <v>200</v>
      </c>
      <c r="AZ774" t="s">
        <v>108</v>
      </c>
      <c r="BC774" t="s">
        <v>336</v>
      </c>
    </row>
    <row r="775" spans="1:71" x14ac:dyDescent="0.25">
      <c r="A775" t="str">
        <f t="shared" si="12"/>
        <v>A69-1601-4875</v>
      </c>
      <c r="B775" t="s">
        <v>398</v>
      </c>
      <c r="C775" t="s">
        <v>324</v>
      </c>
      <c r="D775" t="s">
        <v>345</v>
      </c>
      <c r="F775">
        <v>4875</v>
      </c>
      <c r="G775" t="s">
        <v>346</v>
      </c>
      <c r="H775" t="s">
        <v>327</v>
      </c>
      <c r="I775" s="20">
        <v>41036</v>
      </c>
      <c r="J775">
        <v>101</v>
      </c>
      <c r="L775" t="s">
        <v>109</v>
      </c>
      <c r="M775" t="s">
        <v>328</v>
      </c>
      <c r="N775" t="s">
        <v>329</v>
      </c>
      <c r="O775" t="s">
        <v>330</v>
      </c>
      <c r="P775" t="s">
        <v>331</v>
      </c>
      <c r="U775">
        <v>0.54</v>
      </c>
      <c r="V775">
        <v>0.33900000000000002</v>
      </c>
      <c r="W775" t="s">
        <v>399</v>
      </c>
      <c r="Y775" t="s">
        <v>337</v>
      </c>
      <c r="AB775" s="39" t="s">
        <v>333</v>
      </c>
      <c r="AC775" s="39" t="s">
        <v>334</v>
      </c>
      <c r="AD775" s="39">
        <v>46.171439999999997</v>
      </c>
      <c r="AE775" s="39">
        <v>-84.079989999999995</v>
      </c>
      <c r="AF775" s="18">
        <v>41038.896527777775</v>
      </c>
      <c r="AG775" s="19">
        <v>41038.763888888891</v>
      </c>
      <c r="AH775" t="s">
        <v>161</v>
      </c>
      <c r="AL775" t="s">
        <v>335</v>
      </c>
      <c r="AM775" s="20">
        <v>41036</v>
      </c>
      <c r="AR775" s="39" t="s">
        <v>400</v>
      </c>
      <c r="AS775" s="39"/>
      <c r="AT775" s="39">
        <v>200</v>
      </c>
      <c r="AZ775" t="s">
        <v>108</v>
      </c>
      <c r="BC775" t="s">
        <v>163</v>
      </c>
      <c r="BD775" s="20">
        <v>41067</v>
      </c>
      <c r="BF775" s="21" t="s">
        <v>406</v>
      </c>
      <c r="BG775" s="38" t="s">
        <v>113</v>
      </c>
      <c r="BH775" s="1" t="s">
        <v>408</v>
      </c>
      <c r="BI775" s="1">
        <v>46.514783999999999</v>
      </c>
      <c r="BJ775" s="1">
        <v>-84.346945000000005</v>
      </c>
      <c r="BK775" s="1" t="s">
        <v>404</v>
      </c>
      <c r="BL775" s="1" t="s">
        <v>163</v>
      </c>
      <c r="BM775" s="1" t="s">
        <v>163</v>
      </c>
      <c r="BN775" s="1" t="s">
        <v>420</v>
      </c>
      <c r="BO775" s="39">
        <v>18599</v>
      </c>
      <c r="BP775" s="39">
        <v>18600</v>
      </c>
      <c r="BQ775" s="39" t="s">
        <v>337</v>
      </c>
      <c r="BR775" s="39">
        <v>536</v>
      </c>
      <c r="BS775" s="39">
        <v>318</v>
      </c>
    </row>
    <row r="776" spans="1:71" x14ac:dyDescent="0.25">
      <c r="A776" t="str">
        <f t="shared" si="12"/>
        <v>A69-1601-4881</v>
      </c>
      <c r="B776" t="s">
        <v>398</v>
      </c>
      <c r="C776" t="s">
        <v>324</v>
      </c>
      <c r="D776" t="s">
        <v>345</v>
      </c>
      <c r="F776">
        <v>4881</v>
      </c>
      <c r="G776" t="s">
        <v>346</v>
      </c>
      <c r="H776" t="s">
        <v>327</v>
      </c>
      <c r="I776" s="20">
        <v>41036</v>
      </c>
      <c r="J776">
        <v>101</v>
      </c>
      <c r="L776" t="s">
        <v>109</v>
      </c>
      <c r="M776" t="s">
        <v>328</v>
      </c>
      <c r="N776" t="s">
        <v>329</v>
      </c>
      <c r="O776" t="s">
        <v>330</v>
      </c>
      <c r="P776" t="s">
        <v>331</v>
      </c>
      <c r="U776">
        <v>0.51</v>
      </c>
      <c r="V776">
        <v>0.28200000000000003</v>
      </c>
      <c r="W776" t="s">
        <v>399</v>
      </c>
      <c r="Y776" t="s">
        <v>337</v>
      </c>
      <c r="AB776" s="39" t="s">
        <v>333</v>
      </c>
      <c r="AC776" s="39" t="s">
        <v>334</v>
      </c>
      <c r="AD776" s="39">
        <v>46.171439999999997</v>
      </c>
      <c r="AE776" s="39">
        <v>-84.079989999999995</v>
      </c>
      <c r="AF776" s="18">
        <v>41038.896527777775</v>
      </c>
      <c r="AG776" s="19">
        <v>41038.763888888891</v>
      </c>
      <c r="AH776" t="s">
        <v>161</v>
      </c>
      <c r="AL776" t="s">
        <v>335</v>
      </c>
      <c r="AM776" s="20">
        <v>41036</v>
      </c>
      <c r="AR776" s="39" t="s">
        <v>400</v>
      </c>
      <c r="AS776" s="39"/>
      <c r="AT776" s="39">
        <v>200</v>
      </c>
      <c r="AZ776" t="s">
        <v>108</v>
      </c>
      <c r="BC776" t="s">
        <v>336</v>
      </c>
    </row>
    <row r="777" spans="1:71" x14ac:dyDescent="0.25">
      <c r="A777" t="str">
        <f t="shared" si="12"/>
        <v>A69-1601-4887</v>
      </c>
      <c r="B777" t="s">
        <v>398</v>
      </c>
      <c r="C777" t="s">
        <v>324</v>
      </c>
      <c r="D777" t="s">
        <v>345</v>
      </c>
      <c r="F777">
        <v>4887</v>
      </c>
      <c r="G777" t="s">
        <v>346</v>
      </c>
      <c r="H777" t="s">
        <v>327</v>
      </c>
      <c r="I777" s="20">
        <v>41036</v>
      </c>
      <c r="J777">
        <v>101</v>
      </c>
      <c r="L777" t="s">
        <v>109</v>
      </c>
      <c r="M777" t="s">
        <v>328</v>
      </c>
      <c r="N777" t="s">
        <v>329</v>
      </c>
      <c r="O777" t="s">
        <v>330</v>
      </c>
      <c r="P777" t="s">
        <v>331</v>
      </c>
      <c r="U777">
        <v>0.47000000000000003</v>
      </c>
      <c r="V777">
        <v>0.23100000000000001</v>
      </c>
      <c r="W777" t="s">
        <v>399</v>
      </c>
      <c r="Y777" t="s">
        <v>337</v>
      </c>
      <c r="AB777" s="39" t="s">
        <v>333</v>
      </c>
      <c r="AC777" s="39" t="s">
        <v>334</v>
      </c>
      <c r="AD777" s="39">
        <v>46.171439999999997</v>
      </c>
      <c r="AE777" s="39">
        <v>-84.079989999999995</v>
      </c>
      <c r="AF777" s="18">
        <v>41038.896527777775</v>
      </c>
      <c r="AG777" s="19">
        <v>41038.763888888891</v>
      </c>
      <c r="AH777" t="s">
        <v>161</v>
      </c>
      <c r="AL777" t="s">
        <v>335</v>
      </c>
      <c r="AM777" s="20">
        <v>41036</v>
      </c>
      <c r="AR777" s="39" t="s">
        <v>400</v>
      </c>
      <c r="AS777" s="39"/>
      <c r="AT777" s="39">
        <v>200</v>
      </c>
      <c r="AZ777" t="s">
        <v>108</v>
      </c>
      <c r="BC777" t="s">
        <v>336</v>
      </c>
    </row>
    <row r="778" spans="1:71" x14ac:dyDescent="0.25">
      <c r="A778" t="str">
        <f t="shared" si="12"/>
        <v>A69-1601-4893</v>
      </c>
      <c r="B778" t="s">
        <v>398</v>
      </c>
      <c r="C778" t="s">
        <v>324</v>
      </c>
      <c r="D778" t="s">
        <v>345</v>
      </c>
      <c r="F778">
        <v>4893</v>
      </c>
      <c r="G778" t="s">
        <v>346</v>
      </c>
      <c r="H778" t="s">
        <v>327</v>
      </c>
      <c r="I778" s="20">
        <v>41036</v>
      </c>
      <c r="J778">
        <v>101</v>
      </c>
      <c r="L778" t="s">
        <v>109</v>
      </c>
      <c r="M778" t="s">
        <v>328</v>
      </c>
      <c r="N778" t="s">
        <v>329</v>
      </c>
      <c r="O778" t="s">
        <v>330</v>
      </c>
      <c r="P778" t="s">
        <v>331</v>
      </c>
      <c r="U778">
        <v>0.51</v>
      </c>
      <c r="V778">
        <v>0.33300000000000002</v>
      </c>
      <c r="W778" t="s">
        <v>399</v>
      </c>
      <c r="Y778" t="s">
        <v>337</v>
      </c>
      <c r="AB778" s="39" t="s">
        <v>333</v>
      </c>
      <c r="AC778" s="39" t="s">
        <v>334</v>
      </c>
      <c r="AD778" s="39">
        <v>46.171439999999997</v>
      </c>
      <c r="AE778" s="39">
        <v>-84.079989999999995</v>
      </c>
      <c r="AF778" s="18">
        <v>41038.896527777775</v>
      </c>
      <c r="AG778" s="19">
        <v>41038.763888888891</v>
      </c>
      <c r="AH778" t="s">
        <v>161</v>
      </c>
      <c r="AL778" t="s">
        <v>335</v>
      </c>
      <c r="AM778" s="20">
        <v>41036</v>
      </c>
      <c r="AR778" s="39" t="s">
        <v>400</v>
      </c>
      <c r="AS778" s="39"/>
      <c r="AT778" s="39">
        <v>200</v>
      </c>
      <c r="AZ778" t="s">
        <v>108</v>
      </c>
      <c r="BC778" t="s">
        <v>336</v>
      </c>
    </row>
    <row r="779" spans="1:71" x14ac:dyDescent="0.25">
      <c r="A779" t="str">
        <f t="shared" si="12"/>
        <v>A69-1601-4899</v>
      </c>
      <c r="B779" t="s">
        <v>398</v>
      </c>
      <c r="C779" t="s">
        <v>324</v>
      </c>
      <c r="D779" t="s">
        <v>345</v>
      </c>
      <c r="F779">
        <v>4899</v>
      </c>
      <c r="G779" t="s">
        <v>346</v>
      </c>
      <c r="H779" t="s">
        <v>327</v>
      </c>
      <c r="I779" s="20">
        <v>41036</v>
      </c>
      <c r="J779">
        <v>101</v>
      </c>
      <c r="L779" t="s">
        <v>109</v>
      </c>
      <c r="M779" t="s">
        <v>328</v>
      </c>
      <c r="N779" t="s">
        <v>329</v>
      </c>
      <c r="O779" t="s">
        <v>330</v>
      </c>
      <c r="P779" t="s">
        <v>331</v>
      </c>
      <c r="U779">
        <v>0.47000000000000003</v>
      </c>
      <c r="V779">
        <v>0.24399999999999999</v>
      </c>
      <c r="W779" t="s">
        <v>399</v>
      </c>
      <c r="Y779" t="s">
        <v>337</v>
      </c>
      <c r="AB779" s="39" t="s">
        <v>333</v>
      </c>
      <c r="AC779" s="39" t="s">
        <v>334</v>
      </c>
      <c r="AD779" s="39">
        <v>46.171439999999997</v>
      </c>
      <c r="AE779" s="39">
        <v>-84.079989999999995</v>
      </c>
      <c r="AF779" s="18">
        <v>41038.896527777775</v>
      </c>
      <c r="AG779" s="19">
        <v>41038.763888888891</v>
      </c>
      <c r="AH779" t="s">
        <v>161</v>
      </c>
      <c r="AL779" t="s">
        <v>335</v>
      </c>
      <c r="AM779" s="20">
        <v>41036</v>
      </c>
      <c r="AR779" s="39" t="s">
        <v>400</v>
      </c>
      <c r="AS779" s="39"/>
      <c r="AT779" s="39">
        <v>200</v>
      </c>
      <c r="AZ779" t="s">
        <v>108</v>
      </c>
      <c r="BC779" t="s">
        <v>336</v>
      </c>
    </row>
    <row r="780" spans="1:71" x14ac:dyDescent="0.25">
      <c r="A780" t="str">
        <f t="shared" si="12"/>
        <v>A69-1601-4905</v>
      </c>
      <c r="B780" t="s">
        <v>398</v>
      </c>
      <c r="C780" t="s">
        <v>324</v>
      </c>
      <c r="D780" t="s">
        <v>345</v>
      </c>
      <c r="F780">
        <v>4905</v>
      </c>
      <c r="G780" t="s">
        <v>346</v>
      </c>
      <c r="H780" t="s">
        <v>327</v>
      </c>
      <c r="I780" s="20">
        <v>41036</v>
      </c>
      <c r="J780">
        <v>101</v>
      </c>
      <c r="L780" t="s">
        <v>109</v>
      </c>
      <c r="M780" t="s">
        <v>328</v>
      </c>
      <c r="N780" t="s">
        <v>329</v>
      </c>
      <c r="O780" t="s">
        <v>330</v>
      </c>
      <c r="P780" t="s">
        <v>331</v>
      </c>
      <c r="U780">
        <v>0.48</v>
      </c>
      <c r="V780">
        <v>0.23300000000000001</v>
      </c>
      <c r="W780" t="s">
        <v>399</v>
      </c>
      <c r="Y780" t="s">
        <v>337</v>
      </c>
      <c r="AB780" s="39" t="s">
        <v>333</v>
      </c>
      <c r="AC780" s="39" t="s">
        <v>334</v>
      </c>
      <c r="AD780" s="39">
        <v>46.171439999999997</v>
      </c>
      <c r="AE780" s="39">
        <v>-84.079989999999995</v>
      </c>
      <c r="AF780" s="18">
        <v>41038.896527777775</v>
      </c>
      <c r="AG780" s="19">
        <v>41038.763888888891</v>
      </c>
      <c r="AH780" t="s">
        <v>161</v>
      </c>
      <c r="AL780" t="s">
        <v>335</v>
      </c>
      <c r="AM780" s="20">
        <v>41036</v>
      </c>
      <c r="AR780" s="39" t="s">
        <v>400</v>
      </c>
      <c r="AS780" s="39"/>
      <c r="AT780" s="39">
        <v>200</v>
      </c>
      <c r="AZ780" t="s">
        <v>108</v>
      </c>
      <c r="BC780" t="s">
        <v>336</v>
      </c>
    </row>
    <row r="781" spans="1:71" x14ac:dyDescent="0.25">
      <c r="A781" t="str">
        <f t="shared" si="12"/>
        <v>A69-1601-4911</v>
      </c>
      <c r="B781" t="s">
        <v>398</v>
      </c>
      <c r="C781" t="s">
        <v>324</v>
      </c>
      <c r="D781" t="s">
        <v>345</v>
      </c>
      <c r="F781">
        <v>4911</v>
      </c>
      <c r="G781" t="s">
        <v>346</v>
      </c>
      <c r="H781" t="s">
        <v>327</v>
      </c>
      <c r="I781" s="20">
        <v>41036</v>
      </c>
      <c r="J781">
        <v>101</v>
      </c>
      <c r="L781" t="s">
        <v>109</v>
      </c>
      <c r="M781" t="s">
        <v>328</v>
      </c>
      <c r="N781" t="s">
        <v>329</v>
      </c>
      <c r="O781" t="s">
        <v>330</v>
      </c>
      <c r="P781" t="s">
        <v>331</v>
      </c>
      <c r="U781">
        <v>0.46</v>
      </c>
      <c r="V781">
        <v>0.21099999999999999</v>
      </c>
      <c r="W781" t="s">
        <v>399</v>
      </c>
      <c r="Y781" t="s">
        <v>337</v>
      </c>
      <c r="AB781" s="39" t="s">
        <v>333</v>
      </c>
      <c r="AC781" s="39" t="s">
        <v>334</v>
      </c>
      <c r="AD781" s="39">
        <v>46.171439999999997</v>
      </c>
      <c r="AE781" s="39">
        <v>-84.079989999999995</v>
      </c>
      <c r="AF781" s="18">
        <v>41038.896527777775</v>
      </c>
      <c r="AG781" s="19">
        <v>41038.763888888891</v>
      </c>
      <c r="AH781" t="s">
        <v>161</v>
      </c>
      <c r="AL781" t="s">
        <v>335</v>
      </c>
      <c r="AM781" s="20">
        <v>41036</v>
      </c>
      <c r="AR781" s="39" t="s">
        <v>400</v>
      </c>
      <c r="AS781" s="39"/>
      <c r="AT781" s="39">
        <v>200</v>
      </c>
      <c r="AZ781" t="s">
        <v>108</v>
      </c>
      <c r="BC781" t="s">
        <v>336</v>
      </c>
    </row>
    <row r="782" spans="1:71" x14ac:dyDescent="0.25">
      <c r="A782" t="str">
        <f t="shared" si="12"/>
        <v>A69-1601-4870</v>
      </c>
      <c r="B782" t="s">
        <v>398</v>
      </c>
      <c r="C782" t="s">
        <v>324</v>
      </c>
      <c r="D782" t="s">
        <v>345</v>
      </c>
      <c r="F782">
        <v>4870</v>
      </c>
      <c r="G782" t="s">
        <v>346</v>
      </c>
      <c r="H782" t="s">
        <v>327</v>
      </c>
      <c r="I782" s="20">
        <v>41036</v>
      </c>
      <c r="J782">
        <v>101</v>
      </c>
      <c r="L782" t="s">
        <v>109</v>
      </c>
      <c r="M782" t="s">
        <v>328</v>
      </c>
      <c r="N782" t="s">
        <v>329</v>
      </c>
      <c r="O782" t="s">
        <v>330</v>
      </c>
      <c r="P782" t="s">
        <v>331</v>
      </c>
      <c r="U782">
        <v>0.52</v>
      </c>
      <c r="V782">
        <v>0.29399999999999998</v>
      </c>
      <c r="W782" t="s">
        <v>399</v>
      </c>
      <c r="Y782" t="s">
        <v>337</v>
      </c>
      <c r="AB782" s="39" t="s">
        <v>333</v>
      </c>
      <c r="AC782" s="39" t="s">
        <v>334</v>
      </c>
      <c r="AD782" s="39">
        <v>46.171439999999997</v>
      </c>
      <c r="AE782" s="39">
        <v>-84.079989999999995</v>
      </c>
      <c r="AF782" s="18">
        <v>41038.896527777775</v>
      </c>
      <c r="AG782" s="19">
        <v>41038.763888888891</v>
      </c>
      <c r="AH782" t="s">
        <v>161</v>
      </c>
      <c r="AL782" t="s">
        <v>335</v>
      </c>
      <c r="AM782" s="20">
        <v>41036</v>
      </c>
      <c r="AR782" s="39" t="s">
        <v>400</v>
      </c>
      <c r="AS782" s="39"/>
      <c r="AT782" s="39">
        <v>200</v>
      </c>
      <c r="AZ782" t="s">
        <v>108</v>
      </c>
      <c r="BC782" t="s">
        <v>336</v>
      </c>
    </row>
    <row r="783" spans="1:71" x14ac:dyDescent="0.25">
      <c r="A783" t="str">
        <f t="shared" si="12"/>
        <v>A69-1601-4876</v>
      </c>
      <c r="B783" t="s">
        <v>398</v>
      </c>
      <c r="C783" t="s">
        <v>324</v>
      </c>
      <c r="D783" t="s">
        <v>345</v>
      </c>
      <c r="F783">
        <v>4876</v>
      </c>
      <c r="G783" t="s">
        <v>346</v>
      </c>
      <c r="H783" t="s">
        <v>327</v>
      </c>
      <c r="I783" s="20">
        <v>41036</v>
      </c>
      <c r="J783">
        <v>101</v>
      </c>
      <c r="L783" t="s">
        <v>109</v>
      </c>
      <c r="M783" t="s">
        <v>328</v>
      </c>
      <c r="N783" t="s">
        <v>329</v>
      </c>
      <c r="O783" t="s">
        <v>330</v>
      </c>
      <c r="P783" t="s">
        <v>331</v>
      </c>
      <c r="U783">
        <v>0.53</v>
      </c>
      <c r="V783">
        <v>0.29599999999999999</v>
      </c>
      <c r="W783" t="s">
        <v>399</v>
      </c>
      <c r="Y783" t="s">
        <v>337</v>
      </c>
      <c r="AB783" s="39" t="s">
        <v>333</v>
      </c>
      <c r="AC783" s="39" t="s">
        <v>334</v>
      </c>
      <c r="AD783" s="39">
        <v>46.171439999999997</v>
      </c>
      <c r="AE783" s="39">
        <v>-84.079989999999995</v>
      </c>
      <c r="AF783" s="18">
        <v>41038.896527777775</v>
      </c>
      <c r="AG783" s="19">
        <v>41038.763888888891</v>
      </c>
      <c r="AH783" t="s">
        <v>161</v>
      </c>
      <c r="AL783" t="s">
        <v>335</v>
      </c>
      <c r="AM783" s="20">
        <v>41036</v>
      </c>
      <c r="AR783" s="39" t="s">
        <v>400</v>
      </c>
      <c r="AS783" s="39"/>
      <c r="AT783" s="39">
        <v>200</v>
      </c>
      <c r="AZ783" t="s">
        <v>108</v>
      </c>
      <c r="BC783" t="s">
        <v>163</v>
      </c>
      <c r="BD783" s="20">
        <v>41098</v>
      </c>
      <c r="BF783" s="21" t="s">
        <v>406</v>
      </c>
      <c r="BG783" s="38" t="s">
        <v>113</v>
      </c>
      <c r="BH783" s="1" t="s">
        <v>425</v>
      </c>
      <c r="BI783" s="39">
        <v>46.504829000000001</v>
      </c>
      <c r="BJ783" s="39">
        <v>-84.354651000000004</v>
      </c>
      <c r="BK783" s="1" t="s">
        <v>405</v>
      </c>
      <c r="BL783" s="1" t="s">
        <v>163</v>
      </c>
      <c r="BM783" s="1" t="s">
        <v>163</v>
      </c>
      <c r="BN783" s="1" t="s">
        <v>420</v>
      </c>
      <c r="BO783" s="39">
        <v>18638</v>
      </c>
      <c r="BP783" s="39">
        <v>18638</v>
      </c>
      <c r="BQ783" s="39" t="s">
        <v>337</v>
      </c>
      <c r="BR783" s="39">
        <v>465</v>
      </c>
      <c r="BS783" s="39">
        <v>268</v>
      </c>
    </row>
    <row r="784" spans="1:71" x14ac:dyDescent="0.25">
      <c r="A784" t="str">
        <f t="shared" si="12"/>
        <v>A69-1601-4882</v>
      </c>
      <c r="B784" t="s">
        <v>398</v>
      </c>
      <c r="C784" t="s">
        <v>324</v>
      </c>
      <c r="D784" t="s">
        <v>345</v>
      </c>
      <c r="F784">
        <v>4882</v>
      </c>
      <c r="G784" t="s">
        <v>346</v>
      </c>
      <c r="H784" t="s">
        <v>327</v>
      </c>
      <c r="I784" s="20">
        <v>41036</v>
      </c>
      <c r="J784">
        <v>101</v>
      </c>
      <c r="L784" t="s">
        <v>109</v>
      </c>
      <c r="M784" t="s">
        <v>328</v>
      </c>
      <c r="N784" t="s">
        <v>329</v>
      </c>
      <c r="O784" t="s">
        <v>330</v>
      </c>
      <c r="P784" t="s">
        <v>331</v>
      </c>
      <c r="U784">
        <v>0.45</v>
      </c>
      <c r="V784">
        <v>0.191</v>
      </c>
      <c r="W784" t="s">
        <v>399</v>
      </c>
      <c r="Y784" t="s">
        <v>337</v>
      </c>
      <c r="AB784" s="39" t="s">
        <v>333</v>
      </c>
      <c r="AC784" s="39" t="s">
        <v>334</v>
      </c>
      <c r="AD784" s="39">
        <v>46.171439999999997</v>
      </c>
      <c r="AE784" s="39">
        <v>-84.079989999999995</v>
      </c>
      <c r="AF784" s="18">
        <v>41038.896527777775</v>
      </c>
      <c r="AG784" s="19">
        <v>41038.763888888891</v>
      </c>
      <c r="AH784" t="s">
        <v>161</v>
      </c>
      <c r="AL784" t="s">
        <v>335</v>
      </c>
      <c r="AM784" s="20">
        <v>41036</v>
      </c>
      <c r="AR784" s="39" t="s">
        <v>400</v>
      </c>
      <c r="AS784" s="39"/>
      <c r="AT784" s="39">
        <v>200</v>
      </c>
      <c r="AZ784" t="s">
        <v>108</v>
      </c>
      <c r="BC784" t="s">
        <v>336</v>
      </c>
    </row>
    <row r="785" spans="1:71" x14ac:dyDescent="0.25">
      <c r="A785" t="str">
        <f t="shared" si="12"/>
        <v>A69-1601-4894</v>
      </c>
      <c r="B785" t="s">
        <v>398</v>
      </c>
      <c r="C785" t="s">
        <v>324</v>
      </c>
      <c r="D785" t="s">
        <v>345</v>
      </c>
      <c r="F785">
        <v>4894</v>
      </c>
      <c r="G785" t="s">
        <v>346</v>
      </c>
      <c r="H785" t="s">
        <v>327</v>
      </c>
      <c r="I785" s="20">
        <v>41036</v>
      </c>
      <c r="J785">
        <v>101</v>
      </c>
      <c r="L785" t="s">
        <v>109</v>
      </c>
      <c r="M785" t="s">
        <v>328</v>
      </c>
      <c r="N785" t="s">
        <v>329</v>
      </c>
      <c r="O785" t="s">
        <v>330</v>
      </c>
      <c r="P785" t="s">
        <v>331</v>
      </c>
      <c r="U785">
        <v>0.55000000000000004</v>
      </c>
      <c r="V785">
        <v>0.34900000000000003</v>
      </c>
      <c r="W785" t="s">
        <v>399</v>
      </c>
      <c r="Y785" t="s">
        <v>337</v>
      </c>
      <c r="AB785" s="39" t="s">
        <v>333</v>
      </c>
      <c r="AC785" s="39" t="s">
        <v>334</v>
      </c>
      <c r="AD785" s="39">
        <v>46.171439999999997</v>
      </c>
      <c r="AE785" s="39">
        <v>-84.079989999999995</v>
      </c>
      <c r="AF785" s="18">
        <v>41038.896527777775</v>
      </c>
      <c r="AG785" s="19">
        <v>41038.763888888891</v>
      </c>
      <c r="AH785" t="s">
        <v>161</v>
      </c>
      <c r="AL785" t="s">
        <v>335</v>
      </c>
      <c r="AM785" s="20">
        <v>41036</v>
      </c>
      <c r="AR785" s="39" t="s">
        <v>400</v>
      </c>
      <c r="AS785" s="39"/>
      <c r="AT785" s="39">
        <v>200</v>
      </c>
      <c r="AZ785" t="s">
        <v>108</v>
      </c>
      <c r="BC785" t="s">
        <v>336</v>
      </c>
    </row>
    <row r="786" spans="1:71" x14ac:dyDescent="0.25">
      <c r="A786" t="str">
        <f t="shared" si="12"/>
        <v>A69-1601-4900</v>
      </c>
      <c r="B786" t="s">
        <v>398</v>
      </c>
      <c r="C786" t="s">
        <v>324</v>
      </c>
      <c r="D786" t="s">
        <v>345</v>
      </c>
      <c r="F786">
        <v>4900</v>
      </c>
      <c r="G786" t="s">
        <v>346</v>
      </c>
      <c r="H786" t="s">
        <v>327</v>
      </c>
      <c r="I786" s="20">
        <v>41036</v>
      </c>
      <c r="J786">
        <v>101</v>
      </c>
      <c r="L786" t="s">
        <v>109</v>
      </c>
      <c r="M786" t="s">
        <v>328</v>
      </c>
      <c r="N786" t="s">
        <v>329</v>
      </c>
      <c r="O786" t="s">
        <v>330</v>
      </c>
      <c r="P786" t="s">
        <v>331</v>
      </c>
      <c r="U786">
        <v>0.52</v>
      </c>
      <c r="V786">
        <v>0.26300000000000001</v>
      </c>
      <c r="W786" t="s">
        <v>399</v>
      </c>
      <c r="Y786" t="s">
        <v>337</v>
      </c>
      <c r="AB786" s="39" t="s">
        <v>333</v>
      </c>
      <c r="AC786" s="39" t="s">
        <v>334</v>
      </c>
      <c r="AD786" s="39">
        <v>46.171439999999997</v>
      </c>
      <c r="AE786" s="39">
        <v>-84.079989999999995</v>
      </c>
      <c r="AF786" s="18">
        <v>41038.896527777775</v>
      </c>
      <c r="AG786" s="19">
        <v>41038.763888888891</v>
      </c>
      <c r="AH786" t="s">
        <v>161</v>
      </c>
      <c r="AL786" t="s">
        <v>335</v>
      </c>
      <c r="AM786" s="20">
        <v>41036</v>
      </c>
      <c r="AR786" s="39" t="s">
        <v>400</v>
      </c>
      <c r="AS786" s="39"/>
      <c r="AT786" s="39">
        <v>200</v>
      </c>
      <c r="AZ786" t="s">
        <v>108</v>
      </c>
      <c r="BC786" t="s">
        <v>163</v>
      </c>
      <c r="BD786" s="20">
        <v>41070</v>
      </c>
      <c r="BF786" s="21" t="s">
        <v>406</v>
      </c>
      <c r="BG786" s="38" t="s">
        <v>113</v>
      </c>
      <c r="BH786" s="1" t="s">
        <v>408</v>
      </c>
      <c r="BI786" s="1">
        <v>46.514783999999999</v>
      </c>
      <c r="BJ786" s="1">
        <v>-84.346945000000005</v>
      </c>
      <c r="BK786" s="1" t="s">
        <v>404</v>
      </c>
      <c r="BL786" s="1" t="s">
        <v>163</v>
      </c>
      <c r="BM786" s="1" t="s">
        <v>163</v>
      </c>
      <c r="BN786" s="1" t="s">
        <v>420</v>
      </c>
      <c r="BO786" s="39">
        <v>18650</v>
      </c>
      <c r="BP786" s="39">
        <v>18650</v>
      </c>
      <c r="BQ786" s="39" t="s">
        <v>337</v>
      </c>
      <c r="BR786" s="39">
        <v>490</v>
      </c>
      <c r="BS786" s="39">
        <v>248</v>
      </c>
    </row>
    <row r="787" spans="1:71" x14ac:dyDescent="0.25">
      <c r="A787" t="str">
        <f t="shared" si="12"/>
        <v>A69-1601-4906</v>
      </c>
      <c r="B787" t="s">
        <v>398</v>
      </c>
      <c r="C787" t="s">
        <v>324</v>
      </c>
      <c r="D787" t="s">
        <v>345</v>
      </c>
      <c r="F787">
        <v>4906</v>
      </c>
      <c r="G787" t="s">
        <v>346</v>
      </c>
      <c r="H787" t="s">
        <v>327</v>
      </c>
      <c r="I787" s="20">
        <v>41036</v>
      </c>
      <c r="J787">
        <v>101</v>
      </c>
      <c r="L787" t="s">
        <v>109</v>
      </c>
      <c r="M787" t="s">
        <v>328</v>
      </c>
      <c r="N787" t="s">
        <v>329</v>
      </c>
      <c r="O787" t="s">
        <v>330</v>
      </c>
      <c r="P787" t="s">
        <v>331</v>
      </c>
      <c r="U787">
        <v>0.51</v>
      </c>
      <c r="V787">
        <v>0.28100000000000003</v>
      </c>
      <c r="W787" t="s">
        <v>399</v>
      </c>
      <c r="Y787" t="s">
        <v>337</v>
      </c>
      <c r="AB787" s="39" t="s">
        <v>333</v>
      </c>
      <c r="AC787" s="39" t="s">
        <v>334</v>
      </c>
      <c r="AD787" s="39">
        <v>46.171439999999997</v>
      </c>
      <c r="AE787" s="39">
        <v>-84.079989999999995</v>
      </c>
      <c r="AF787" s="18">
        <v>41038.896527777775</v>
      </c>
      <c r="AG787" s="19">
        <v>41038.763888888891</v>
      </c>
      <c r="AH787" t="s">
        <v>161</v>
      </c>
      <c r="AL787" t="s">
        <v>335</v>
      </c>
      <c r="AM787" s="20">
        <v>41036</v>
      </c>
      <c r="AR787" s="39" t="s">
        <v>400</v>
      </c>
      <c r="AS787" s="39"/>
      <c r="AT787" s="39">
        <v>200</v>
      </c>
      <c r="AZ787" t="s">
        <v>108</v>
      </c>
      <c r="BC787" t="s">
        <v>336</v>
      </c>
    </row>
    <row r="788" spans="1:71" x14ac:dyDescent="0.25">
      <c r="A788" t="str">
        <f t="shared" si="12"/>
        <v>A69-1601-4912</v>
      </c>
      <c r="B788" t="s">
        <v>398</v>
      </c>
      <c r="C788" t="s">
        <v>324</v>
      </c>
      <c r="D788" t="s">
        <v>345</v>
      </c>
      <c r="F788">
        <v>4912</v>
      </c>
      <c r="G788" t="s">
        <v>346</v>
      </c>
      <c r="H788" t="s">
        <v>327</v>
      </c>
      <c r="I788" s="20">
        <v>41036</v>
      </c>
      <c r="J788">
        <v>101</v>
      </c>
      <c r="L788" t="s">
        <v>109</v>
      </c>
      <c r="M788" t="s">
        <v>328</v>
      </c>
      <c r="N788" t="s">
        <v>329</v>
      </c>
      <c r="O788" t="s">
        <v>330</v>
      </c>
      <c r="P788" t="s">
        <v>331</v>
      </c>
      <c r="U788">
        <v>0.52</v>
      </c>
      <c r="V788">
        <v>0.28500000000000003</v>
      </c>
      <c r="W788" t="s">
        <v>399</v>
      </c>
      <c r="Y788" t="s">
        <v>332</v>
      </c>
      <c r="AB788" s="39" t="s">
        <v>333</v>
      </c>
      <c r="AC788" s="39" t="s">
        <v>334</v>
      </c>
      <c r="AD788" s="39">
        <v>46.171439999999997</v>
      </c>
      <c r="AE788" s="39">
        <v>-84.079989999999995</v>
      </c>
      <c r="AF788" s="18">
        <v>41038.896527777775</v>
      </c>
      <c r="AG788" s="19">
        <v>41038.763888888891</v>
      </c>
      <c r="AH788" t="s">
        <v>161</v>
      </c>
      <c r="AL788" t="s">
        <v>335</v>
      </c>
      <c r="AM788" s="20">
        <v>41036</v>
      </c>
      <c r="AR788" s="39" t="s">
        <v>400</v>
      </c>
      <c r="AS788" s="39"/>
      <c r="AT788" s="39">
        <v>200</v>
      </c>
      <c r="AZ788" t="s">
        <v>108</v>
      </c>
      <c r="BC788" t="s">
        <v>336</v>
      </c>
    </row>
    <row r="789" spans="1:71" x14ac:dyDescent="0.25">
      <c r="A789" t="str">
        <f t="shared" si="12"/>
        <v>A69-1601-4913</v>
      </c>
      <c r="B789" t="s">
        <v>398</v>
      </c>
      <c r="C789" t="s">
        <v>324</v>
      </c>
      <c r="D789" t="s">
        <v>345</v>
      </c>
      <c r="F789">
        <v>4913</v>
      </c>
      <c r="G789" t="s">
        <v>346</v>
      </c>
      <c r="H789" t="s">
        <v>327</v>
      </c>
      <c r="I789" s="20">
        <v>41036</v>
      </c>
      <c r="J789">
        <v>101</v>
      </c>
      <c r="L789" t="s">
        <v>109</v>
      </c>
      <c r="M789" t="s">
        <v>328</v>
      </c>
      <c r="N789" t="s">
        <v>329</v>
      </c>
      <c r="O789" t="s">
        <v>330</v>
      </c>
      <c r="P789" t="s">
        <v>331</v>
      </c>
      <c r="U789">
        <v>0.46</v>
      </c>
      <c r="V789">
        <v>0.20899999999999999</v>
      </c>
      <c r="W789" t="s">
        <v>399</v>
      </c>
      <c r="Y789" t="s">
        <v>332</v>
      </c>
      <c r="AB789" s="39" t="s">
        <v>333</v>
      </c>
      <c r="AC789" s="39" t="s">
        <v>334</v>
      </c>
      <c r="AD789" s="39">
        <v>46.171439999999997</v>
      </c>
      <c r="AE789" s="39">
        <v>-84.079989999999995</v>
      </c>
      <c r="AF789" s="18">
        <v>41038.896527777775</v>
      </c>
      <c r="AG789" s="19">
        <v>41038.763888888891</v>
      </c>
      <c r="AH789" t="s">
        <v>161</v>
      </c>
      <c r="AL789" t="s">
        <v>335</v>
      </c>
      <c r="AM789" s="20">
        <v>41036</v>
      </c>
      <c r="AR789" s="39" t="s">
        <v>400</v>
      </c>
      <c r="AS789" s="39"/>
      <c r="AT789" s="39">
        <v>200</v>
      </c>
      <c r="AZ789" t="s">
        <v>108</v>
      </c>
      <c r="BC789" t="s">
        <v>163</v>
      </c>
      <c r="BD789" s="20">
        <v>41070</v>
      </c>
      <c r="BF789" s="21" t="s">
        <v>406</v>
      </c>
      <c r="BG789" s="38" t="s">
        <v>113</v>
      </c>
      <c r="BH789" s="1" t="s">
        <v>408</v>
      </c>
      <c r="BI789" s="1">
        <v>46.514783999999999</v>
      </c>
      <c r="BJ789" s="1">
        <v>-84.346945000000005</v>
      </c>
      <c r="BK789" s="1" t="s">
        <v>404</v>
      </c>
      <c r="BL789" s="1" t="s">
        <v>163</v>
      </c>
      <c r="BM789" s="1" t="s">
        <v>163</v>
      </c>
      <c r="BN789" s="1" t="s">
        <v>420</v>
      </c>
      <c r="BO789" s="39">
        <v>18672</v>
      </c>
      <c r="BP789" s="39">
        <v>18672</v>
      </c>
      <c r="BQ789" s="39" t="s">
        <v>332</v>
      </c>
      <c r="BR789" s="39">
        <v>442</v>
      </c>
      <c r="BS789" s="39">
        <v>196</v>
      </c>
    </row>
    <row r="790" spans="1:71" x14ac:dyDescent="0.25">
      <c r="A790" t="str">
        <f t="shared" si="12"/>
        <v>A69-1601-4907</v>
      </c>
      <c r="B790" t="s">
        <v>398</v>
      </c>
      <c r="C790" t="s">
        <v>324</v>
      </c>
      <c r="D790" t="s">
        <v>345</v>
      </c>
      <c r="F790">
        <v>4907</v>
      </c>
      <c r="G790" t="s">
        <v>346</v>
      </c>
      <c r="H790" t="s">
        <v>327</v>
      </c>
      <c r="I790" s="20">
        <v>41036</v>
      </c>
      <c r="J790">
        <v>101</v>
      </c>
      <c r="L790" t="s">
        <v>109</v>
      </c>
      <c r="M790" t="s">
        <v>328</v>
      </c>
      <c r="N790" t="s">
        <v>329</v>
      </c>
      <c r="O790" t="s">
        <v>330</v>
      </c>
      <c r="P790" t="s">
        <v>331</v>
      </c>
      <c r="U790">
        <v>0.49</v>
      </c>
      <c r="V790">
        <v>0.26700000000000002</v>
      </c>
      <c r="W790" t="s">
        <v>399</v>
      </c>
      <c r="Y790" t="s">
        <v>332</v>
      </c>
      <c r="AB790" s="39" t="s">
        <v>333</v>
      </c>
      <c r="AC790" s="39" t="s">
        <v>334</v>
      </c>
      <c r="AD790" s="39">
        <v>46.171439999999997</v>
      </c>
      <c r="AE790" s="39">
        <v>-84.079989999999995</v>
      </c>
      <c r="AF790" s="18">
        <v>41038.896527777775</v>
      </c>
      <c r="AG790" s="19">
        <v>41038.763888888891</v>
      </c>
      <c r="AH790" t="s">
        <v>161</v>
      </c>
      <c r="AL790" t="s">
        <v>335</v>
      </c>
      <c r="AM790" s="20">
        <v>41036</v>
      </c>
      <c r="AR790" s="39" t="s">
        <v>400</v>
      </c>
      <c r="AS790" s="39"/>
      <c r="AT790" s="39">
        <v>200</v>
      </c>
      <c r="AZ790" t="s">
        <v>108</v>
      </c>
      <c r="BC790" t="s">
        <v>336</v>
      </c>
    </row>
    <row r="791" spans="1:71" x14ac:dyDescent="0.25">
      <c r="A791" t="str">
        <f t="shared" si="12"/>
        <v>A69-1601-4901</v>
      </c>
      <c r="B791" t="s">
        <v>398</v>
      </c>
      <c r="C791" t="s">
        <v>324</v>
      </c>
      <c r="D791" t="s">
        <v>345</v>
      </c>
      <c r="F791">
        <v>4901</v>
      </c>
      <c r="G791" t="s">
        <v>346</v>
      </c>
      <c r="H791" t="s">
        <v>327</v>
      </c>
      <c r="I791" s="20">
        <v>41036</v>
      </c>
      <c r="J791">
        <v>101</v>
      </c>
      <c r="L791" t="s">
        <v>109</v>
      </c>
      <c r="M791" t="s">
        <v>328</v>
      </c>
      <c r="N791" t="s">
        <v>329</v>
      </c>
      <c r="O791" t="s">
        <v>330</v>
      </c>
      <c r="P791" t="s">
        <v>331</v>
      </c>
      <c r="U791">
        <v>0.51</v>
      </c>
      <c r="V791">
        <v>0.245</v>
      </c>
      <c r="W791" t="s">
        <v>399</v>
      </c>
      <c r="Y791" t="s">
        <v>332</v>
      </c>
      <c r="AB791" s="39" t="s">
        <v>333</v>
      </c>
      <c r="AC791" s="39" t="s">
        <v>334</v>
      </c>
      <c r="AD791" s="39">
        <v>46.171439999999997</v>
      </c>
      <c r="AE791" s="39">
        <v>-84.079989999999995</v>
      </c>
      <c r="AF791" s="18">
        <v>41038.896527777775</v>
      </c>
      <c r="AG791" s="19">
        <v>41038.763888888891</v>
      </c>
      <c r="AH791" t="s">
        <v>161</v>
      </c>
      <c r="AL791" t="s">
        <v>335</v>
      </c>
      <c r="AM791" s="20">
        <v>41036</v>
      </c>
      <c r="AR791" s="39" t="s">
        <v>400</v>
      </c>
      <c r="AS791" s="39"/>
      <c r="AT791" s="39">
        <v>200</v>
      </c>
      <c r="AZ791" t="s">
        <v>108</v>
      </c>
      <c r="BC791" t="s">
        <v>336</v>
      </c>
    </row>
    <row r="792" spans="1:71" x14ac:dyDescent="0.25">
      <c r="A792" t="str">
        <f t="shared" si="12"/>
        <v>A69-1601-4895</v>
      </c>
      <c r="B792" t="s">
        <v>398</v>
      </c>
      <c r="C792" t="s">
        <v>324</v>
      </c>
      <c r="D792" t="s">
        <v>345</v>
      </c>
      <c r="F792">
        <v>4895</v>
      </c>
      <c r="G792" t="s">
        <v>346</v>
      </c>
      <c r="H792" t="s">
        <v>327</v>
      </c>
      <c r="I792" s="20">
        <v>41036</v>
      </c>
      <c r="J792">
        <v>101</v>
      </c>
      <c r="L792" t="s">
        <v>109</v>
      </c>
      <c r="M792" t="s">
        <v>328</v>
      </c>
      <c r="N792" t="s">
        <v>329</v>
      </c>
      <c r="O792" t="s">
        <v>330</v>
      </c>
      <c r="P792" t="s">
        <v>331</v>
      </c>
      <c r="U792">
        <v>0.51</v>
      </c>
      <c r="V792">
        <v>0.251</v>
      </c>
      <c r="W792" t="s">
        <v>399</v>
      </c>
      <c r="Y792" t="s">
        <v>332</v>
      </c>
      <c r="AB792" s="39" t="s">
        <v>333</v>
      </c>
      <c r="AC792" s="39" t="s">
        <v>334</v>
      </c>
      <c r="AD792" s="39">
        <v>46.171439999999997</v>
      </c>
      <c r="AE792" s="39">
        <v>-84.079989999999995</v>
      </c>
      <c r="AF792" s="18">
        <v>41038.896527777775</v>
      </c>
      <c r="AG792" s="19">
        <v>41038.763888888891</v>
      </c>
      <c r="AH792" t="s">
        <v>161</v>
      </c>
      <c r="AL792" t="s">
        <v>335</v>
      </c>
      <c r="AM792" s="20">
        <v>41036</v>
      </c>
      <c r="AR792" s="39" t="s">
        <v>400</v>
      </c>
      <c r="AS792" s="39"/>
      <c r="AT792" s="39">
        <v>200</v>
      </c>
      <c r="AZ792" t="s">
        <v>108</v>
      </c>
      <c r="BC792" t="s">
        <v>336</v>
      </c>
    </row>
    <row r="793" spans="1:71" x14ac:dyDescent="0.25">
      <c r="A793" t="str">
        <f t="shared" si="12"/>
        <v>A69-1601-4889</v>
      </c>
      <c r="B793" t="s">
        <v>398</v>
      </c>
      <c r="C793" t="s">
        <v>324</v>
      </c>
      <c r="D793" t="s">
        <v>345</v>
      </c>
      <c r="F793">
        <v>4889</v>
      </c>
      <c r="G793" t="s">
        <v>346</v>
      </c>
      <c r="H793" t="s">
        <v>327</v>
      </c>
      <c r="I793" s="20">
        <v>41036</v>
      </c>
      <c r="J793">
        <v>101</v>
      </c>
      <c r="L793" t="s">
        <v>109</v>
      </c>
      <c r="M793" t="s">
        <v>328</v>
      </c>
      <c r="N793" t="s">
        <v>329</v>
      </c>
      <c r="O793" t="s">
        <v>330</v>
      </c>
      <c r="P793" t="s">
        <v>331</v>
      </c>
      <c r="U793">
        <v>0.55000000000000004</v>
      </c>
      <c r="V793">
        <v>0.33700000000000002</v>
      </c>
      <c r="W793" t="s">
        <v>399</v>
      </c>
      <c r="Y793" t="s">
        <v>332</v>
      </c>
      <c r="AB793" s="39" t="s">
        <v>333</v>
      </c>
      <c r="AC793" s="39" t="s">
        <v>334</v>
      </c>
      <c r="AD793" s="39">
        <v>46.171439999999997</v>
      </c>
      <c r="AE793" s="39">
        <v>-84.079989999999995</v>
      </c>
      <c r="AF793" s="18">
        <v>41038.896527777775</v>
      </c>
      <c r="AG793" s="19">
        <v>41038.763888888891</v>
      </c>
      <c r="AH793" t="s">
        <v>161</v>
      </c>
      <c r="AL793" t="s">
        <v>335</v>
      </c>
      <c r="AM793" s="20">
        <v>41036</v>
      </c>
      <c r="AR793" s="39" t="s">
        <v>400</v>
      </c>
      <c r="AS793" s="39"/>
      <c r="AT793" s="39">
        <v>200</v>
      </c>
      <c r="AZ793" t="s">
        <v>108</v>
      </c>
      <c r="BC793" t="s">
        <v>336</v>
      </c>
    </row>
    <row r="794" spans="1:71" x14ac:dyDescent="0.25">
      <c r="A794" t="str">
        <f t="shared" si="12"/>
        <v>A69-1601-4883</v>
      </c>
      <c r="B794" t="s">
        <v>398</v>
      </c>
      <c r="C794" t="s">
        <v>324</v>
      </c>
      <c r="D794" t="s">
        <v>345</v>
      </c>
      <c r="F794">
        <v>4883</v>
      </c>
      <c r="G794" t="s">
        <v>346</v>
      </c>
      <c r="H794" t="s">
        <v>327</v>
      </c>
      <c r="I794" s="20">
        <v>41036</v>
      </c>
      <c r="J794">
        <v>101</v>
      </c>
      <c r="L794" t="s">
        <v>109</v>
      </c>
      <c r="M794" t="s">
        <v>328</v>
      </c>
      <c r="N794" t="s">
        <v>329</v>
      </c>
      <c r="O794" t="s">
        <v>330</v>
      </c>
      <c r="P794" t="s">
        <v>331</v>
      </c>
      <c r="U794">
        <v>0.52</v>
      </c>
      <c r="V794">
        <v>0.26900000000000002</v>
      </c>
      <c r="W794" t="s">
        <v>399</v>
      </c>
      <c r="Y794" t="s">
        <v>332</v>
      </c>
      <c r="AB794" s="39" t="s">
        <v>333</v>
      </c>
      <c r="AC794" s="39" t="s">
        <v>334</v>
      </c>
      <c r="AD794" s="39">
        <v>46.171439999999997</v>
      </c>
      <c r="AE794" s="39">
        <v>-84.079989999999995</v>
      </c>
      <c r="AF794" s="18">
        <v>41038.896527777775</v>
      </c>
      <c r="AG794" s="19">
        <v>41038.763888888891</v>
      </c>
      <c r="AH794" t="s">
        <v>161</v>
      </c>
      <c r="AL794" t="s">
        <v>335</v>
      </c>
      <c r="AM794" s="20">
        <v>41036</v>
      </c>
      <c r="AR794" s="39" t="s">
        <v>400</v>
      </c>
      <c r="AS794" s="39"/>
      <c r="AT794" s="39">
        <v>200</v>
      </c>
      <c r="AZ794" t="s">
        <v>108</v>
      </c>
      <c r="BC794" t="s">
        <v>336</v>
      </c>
    </row>
    <row r="795" spans="1:71" x14ac:dyDescent="0.25">
      <c r="A795" t="str">
        <f t="shared" si="12"/>
        <v>A69-1601-4877</v>
      </c>
      <c r="B795" t="s">
        <v>398</v>
      </c>
      <c r="C795" t="s">
        <v>324</v>
      </c>
      <c r="D795" t="s">
        <v>345</v>
      </c>
      <c r="F795">
        <v>4877</v>
      </c>
      <c r="G795" t="s">
        <v>346</v>
      </c>
      <c r="H795" t="s">
        <v>327</v>
      </c>
      <c r="I795" s="20">
        <v>41036</v>
      </c>
      <c r="J795">
        <v>101</v>
      </c>
      <c r="L795" t="s">
        <v>109</v>
      </c>
      <c r="M795" t="s">
        <v>328</v>
      </c>
      <c r="N795" t="s">
        <v>329</v>
      </c>
      <c r="O795" t="s">
        <v>330</v>
      </c>
      <c r="P795" t="s">
        <v>331</v>
      </c>
      <c r="U795">
        <v>0.48</v>
      </c>
      <c r="V795">
        <v>0.22900000000000001</v>
      </c>
      <c r="W795" t="s">
        <v>399</v>
      </c>
      <c r="Y795" t="s">
        <v>332</v>
      </c>
      <c r="AB795" s="39" t="s">
        <v>333</v>
      </c>
      <c r="AC795" s="39" t="s">
        <v>334</v>
      </c>
      <c r="AD795" s="39">
        <v>46.171439999999997</v>
      </c>
      <c r="AE795" s="39">
        <v>-84.079989999999995</v>
      </c>
      <c r="AF795" s="18">
        <v>41038.896527777775</v>
      </c>
      <c r="AG795" s="19">
        <v>41038.763888888891</v>
      </c>
      <c r="AH795" t="s">
        <v>161</v>
      </c>
      <c r="AL795" t="s">
        <v>335</v>
      </c>
      <c r="AM795" s="20">
        <v>41036</v>
      </c>
      <c r="AR795" s="39" t="s">
        <v>400</v>
      </c>
      <c r="AS795" s="39"/>
      <c r="AT795" s="39">
        <v>200</v>
      </c>
      <c r="AZ795" t="s">
        <v>108</v>
      </c>
      <c r="BC795" t="s">
        <v>336</v>
      </c>
    </row>
    <row r="796" spans="1:71" x14ac:dyDescent="0.25">
      <c r="A796" t="str">
        <f t="shared" si="12"/>
        <v>A69-1601-4871</v>
      </c>
      <c r="B796" t="s">
        <v>398</v>
      </c>
      <c r="C796" t="s">
        <v>324</v>
      </c>
      <c r="D796" t="s">
        <v>345</v>
      </c>
      <c r="F796">
        <v>4871</v>
      </c>
      <c r="G796" t="s">
        <v>346</v>
      </c>
      <c r="H796" t="s">
        <v>327</v>
      </c>
      <c r="I796" s="20">
        <v>41036</v>
      </c>
      <c r="J796">
        <v>101</v>
      </c>
      <c r="L796" t="s">
        <v>109</v>
      </c>
      <c r="M796" t="s">
        <v>328</v>
      </c>
      <c r="N796" t="s">
        <v>329</v>
      </c>
      <c r="O796" t="s">
        <v>330</v>
      </c>
      <c r="P796" t="s">
        <v>331</v>
      </c>
      <c r="U796">
        <v>0.47000000000000003</v>
      </c>
      <c r="V796">
        <v>0.218</v>
      </c>
      <c r="W796" t="s">
        <v>399</v>
      </c>
      <c r="Y796" t="s">
        <v>332</v>
      </c>
      <c r="AB796" s="39" t="s">
        <v>333</v>
      </c>
      <c r="AC796" s="39" t="s">
        <v>334</v>
      </c>
      <c r="AD796" s="39">
        <v>46.171439999999997</v>
      </c>
      <c r="AE796" s="39">
        <v>-84.079989999999995</v>
      </c>
      <c r="AF796" s="18">
        <v>41038.896527777775</v>
      </c>
      <c r="AG796" s="19">
        <v>41038.763888888891</v>
      </c>
      <c r="AH796" t="s">
        <v>161</v>
      </c>
      <c r="AL796" t="s">
        <v>335</v>
      </c>
      <c r="AM796" s="20">
        <v>41036</v>
      </c>
      <c r="AR796" s="39" t="s">
        <v>400</v>
      </c>
      <c r="AS796" s="39"/>
      <c r="AT796" s="39">
        <v>200</v>
      </c>
      <c r="AZ796" t="s">
        <v>108</v>
      </c>
      <c r="BC796" t="s">
        <v>336</v>
      </c>
    </row>
    <row r="797" spans="1:71" x14ac:dyDescent="0.25">
      <c r="A797" t="str">
        <f t="shared" si="12"/>
        <v>A69-1601-4872</v>
      </c>
      <c r="B797" t="s">
        <v>398</v>
      </c>
      <c r="C797" t="s">
        <v>324</v>
      </c>
      <c r="D797" t="s">
        <v>345</v>
      </c>
      <c r="F797">
        <v>4872</v>
      </c>
      <c r="G797" t="s">
        <v>346</v>
      </c>
      <c r="H797" t="s">
        <v>327</v>
      </c>
      <c r="I797" s="20">
        <v>41036</v>
      </c>
      <c r="J797">
        <v>101</v>
      </c>
      <c r="L797" t="s">
        <v>109</v>
      </c>
      <c r="M797" t="s">
        <v>328</v>
      </c>
      <c r="N797" t="s">
        <v>329</v>
      </c>
      <c r="O797" t="s">
        <v>330</v>
      </c>
      <c r="P797" t="s">
        <v>331</v>
      </c>
      <c r="U797">
        <v>0.44</v>
      </c>
      <c r="V797">
        <v>0.19500000000000001</v>
      </c>
      <c r="W797" t="s">
        <v>399</v>
      </c>
      <c r="Y797" t="s">
        <v>332</v>
      </c>
      <c r="AB797" s="39" t="s">
        <v>333</v>
      </c>
      <c r="AC797" s="39" t="s">
        <v>334</v>
      </c>
      <c r="AD797" s="39">
        <v>46.171439999999997</v>
      </c>
      <c r="AE797" s="39">
        <v>-84.079989999999995</v>
      </c>
      <c r="AF797" s="18">
        <v>41038.896527777775</v>
      </c>
      <c r="AG797" s="19">
        <v>41038.763888888891</v>
      </c>
      <c r="AH797" t="s">
        <v>161</v>
      </c>
      <c r="AL797" t="s">
        <v>335</v>
      </c>
      <c r="AM797" s="20">
        <v>41036</v>
      </c>
      <c r="AR797" s="39" t="s">
        <v>400</v>
      </c>
      <c r="AS797" s="39"/>
      <c r="AT797" s="39">
        <v>200</v>
      </c>
      <c r="AZ797" t="s">
        <v>108</v>
      </c>
      <c r="BC797" t="s">
        <v>336</v>
      </c>
    </row>
    <row r="798" spans="1:71" x14ac:dyDescent="0.25">
      <c r="A798" t="str">
        <f t="shared" si="12"/>
        <v>A69-1601-4878</v>
      </c>
      <c r="B798" t="s">
        <v>398</v>
      </c>
      <c r="C798" t="s">
        <v>324</v>
      </c>
      <c r="D798" t="s">
        <v>345</v>
      </c>
      <c r="F798">
        <v>4878</v>
      </c>
      <c r="G798" t="s">
        <v>346</v>
      </c>
      <c r="H798" t="s">
        <v>327</v>
      </c>
      <c r="I798" s="20">
        <v>41036</v>
      </c>
      <c r="J798">
        <v>101</v>
      </c>
      <c r="L798" t="s">
        <v>109</v>
      </c>
      <c r="M798" t="s">
        <v>328</v>
      </c>
      <c r="N798" t="s">
        <v>329</v>
      </c>
      <c r="O798" t="s">
        <v>330</v>
      </c>
      <c r="P798" t="s">
        <v>331</v>
      </c>
      <c r="U798">
        <v>0.5</v>
      </c>
      <c r="V798">
        <v>0.23100000000000001</v>
      </c>
      <c r="W798" t="s">
        <v>399</v>
      </c>
      <c r="Y798" t="s">
        <v>332</v>
      </c>
      <c r="AB798" s="39" t="s">
        <v>333</v>
      </c>
      <c r="AC798" s="39" t="s">
        <v>334</v>
      </c>
      <c r="AD798" s="39">
        <v>46.171439999999997</v>
      </c>
      <c r="AE798" s="39">
        <v>-84.079989999999995</v>
      </c>
      <c r="AF798" s="18">
        <v>41038.896527777775</v>
      </c>
      <c r="AG798" s="19">
        <v>41038.763888888891</v>
      </c>
      <c r="AH798" t="s">
        <v>161</v>
      </c>
      <c r="AL798" t="s">
        <v>335</v>
      </c>
      <c r="AM798" s="20">
        <v>41036</v>
      </c>
      <c r="AR798" s="39" t="s">
        <v>400</v>
      </c>
      <c r="AS798" s="39"/>
      <c r="AT798" s="39">
        <v>200</v>
      </c>
      <c r="AZ798" t="s">
        <v>108</v>
      </c>
      <c r="BC798" t="s">
        <v>336</v>
      </c>
    </row>
    <row r="799" spans="1:71" x14ac:dyDescent="0.25">
      <c r="A799" t="str">
        <f t="shared" si="12"/>
        <v>A69-1601-4884</v>
      </c>
      <c r="B799" t="s">
        <v>398</v>
      </c>
      <c r="C799" t="s">
        <v>324</v>
      </c>
      <c r="D799" t="s">
        <v>345</v>
      </c>
      <c r="F799">
        <v>4884</v>
      </c>
      <c r="G799" t="s">
        <v>346</v>
      </c>
      <c r="H799" t="s">
        <v>327</v>
      </c>
      <c r="I799" s="20">
        <v>41036</v>
      </c>
      <c r="J799">
        <v>101</v>
      </c>
      <c r="L799" t="s">
        <v>109</v>
      </c>
      <c r="M799" t="s">
        <v>328</v>
      </c>
      <c r="N799" t="s">
        <v>329</v>
      </c>
      <c r="O799" t="s">
        <v>330</v>
      </c>
      <c r="P799" t="s">
        <v>331</v>
      </c>
      <c r="U799">
        <v>0.5</v>
      </c>
      <c r="V799">
        <v>0.28400000000000003</v>
      </c>
      <c r="W799" t="s">
        <v>399</v>
      </c>
      <c r="Y799">
        <v>0</v>
      </c>
      <c r="AB799" s="39" t="s">
        <v>333</v>
      </c>
      <c r="AC799" s="39" t="s">
        <v>334</v>
      </c>
      <c r="AD799" s="39">
        <v>46.171439999999997</v>
      </c>
      <c r="AE799" s="39">
        <v>-84.079989999999995</v>
      </c>
      <c r="AF799" s="18">
        <v>41038.896527777775</v>
      </c>
      <c r="AG799" s="19">
        <v>41038.763888888891</v>
      </c>
      <c r="AH799" t="s">
        <v>161</v>
      </c>
      <c r="AL799" t="s">
        <v>335</v>
      </c>
      <c r="AM799" s="20">
        <v>41036</v>
      </c>
      <c r="AR799" s="39" t="s">
        <v>400</v>
      </c>
      <c r="AS799" s="39"/>
      <c r="AT799" s="39">
        <v>200</v>
      </c>
      <c r="AZ799" t="s">
        <v>108</v>
      </c>
      <c r="BC799" t="s">
        <v>336</v>
      </c>
    </row>
    <row r="800" spans="1:71" x14ac:dyDescent="0.25">
      <c r="A800" t="str">
        <f t="shared" si="12"/>
        <v>A69-1601-4890</v>
      </c>
      <c r="B800" t="s">
        <v>398</v>
      </c>
      <c r="C800" t="s">
        <v>324</v>
      </c>
      <c r="D800" t="s">
        <v>345</v>
      </c>
      <c r="F800">
        <v>4890</v>
      </c>
      <c r="G800" t="s">
        <v>346</v>
      </c>
      <c r="H800" t="s">
        <v>327</v>
      </c>
      <c r="I800" s="20">
        <v>41036</v>
      </c>
      <c r="J800">
        <v>101</v>
      </c>
      <c r="L800" t="s">
        <v>109</v>
      </c>
      <c r="M800" t="s">
        <v>328</v>
      </c>
      <c r="N800" t="s">
        <v>329</v>
      </c>
      <c r="O800" t="s">
        <v>330</v>
      </c>
      <c r="P800" t="s">
        <v>331</v>
      </c>
      <c r="U800">
        <v>0.45</v>
      </c>
      <c r="V800">
        <v>0.24</v>
      </c>
      <c r="W800" t="s">
        <v>399</v>
      </c>
      <c r="Y800">
        <v>0</v>
      </c>
      <c r="AB800" s="39" t="s">
        <v>333</v>
      </c>
      <c r="AC800" s="39" t="s">
        <v>334</v>
      </c>
      <c r="AD800" s="39">
        <v>46.171439999999997</v>
      </c>
      <c r="AE800" s="39">
        <v>-84.079989999999995</v>
      </c>
      <c r="AF800" s="18">
        <v>41038.896527777775</v>
      </c>
      <c r="AG800" s="19">
        <v>41038.763888888891</v>
      </c>
      <c r="AH800" t="s">
        <v>161</v>
      </c>
      <c r="AL800" t="s">
        <v>335</v>
      </c>
      <c r="AM800" s="20">
        <v>41036</v>
      </c>
      <c r="AR800" s="39" t="s">
        <v>400</v>
      </c>
      <c r="AS800" s="39"/>
      <c r="AT800" s="39">
        <v>200</v>
      </c>
      <c r="AZ800" t="s">
        <v>108</v>
      </c>
      <c r="BC800" t="s">
        <v>336</v>
      </c>
    </row>
    <row r="801" spans="1:71" x14ac:dyDescent="0.25">
      <c r="A801" t="str">
        <f t="shared" si="12"/>
        <v>A69-1601-4902</v>
      </c>
      <c r="B801" t="s">
        <v>398</v>
      </c>
      <c r="C801" t="s">
        <v>324</v>
      </c>
      <c r="D801" t="s">
        <v>345</v>
      </c>
      <c r="F801">
        <v>4902</v>
      </c>
      <c r="G801" t="s">
        <v>346</v>
      </c>
      <c r="H801" t="s">
        <v>327</v>
      </c>
      <c r="I801" s="20">
        <v>41036</v>
      </c>
      <c r="J801">
        <v>101</v>
      </c>
      <c r="L801" t="s">
        <v>109</v>
      </c>
      <c r="M801" t="s">
        <v>328</v>
      </c>
      <c r="N801" t="s">
        <v>329</v>
      </c>
      <c r="O801" t="s">
        <v>330</v>
      </c>
      <c r="P801" t="s">
        <v>331</v>
      </c>
      <c r="U801">
        <v>0.51</v>
      </c>
      <c r="V801">
        <v>0.29099999999999998</v>
      </c>
      <c r="W801" t="s">
        <v>399</v>
      </c>
      <c r="Y801" t="s">
        <v>332</v>
      </c>
      <c r="AB801" s="39" t="s">
        <v>333</v>
      </c>
      <c r="AC801" s="39" t="s">
        <v>334</v>
      </c>
      <c r="AD801" s="39">
        <v>46.171439999999997</v>
      </c>
      <c r="AE801" s="39">
        <v>-84.079989999999995</v>
      </c>
      <c r="AF801" s="18">
        <v>41038.896527777775</v>
      </c>
      <c r="AG801" s="19">
        <v>41038.763888888891</v>
      </c>
      <c r="AH801" t="s">
        <v>161</v>
      </c>
      <c r="AL801" t="s">
        <v>335</v>
      </c>
      <c r="AM801" s="20">
        <v>41036</v>
      </c>
      <c r="AR801" s="39" t="s">
        <v>400</v>
      </c>
      <c r="AS801" s="39"/>
      <c r="AT801" s="39">
        <v>200</v>
      </c>
      <c r="AZ801" t="s">
        <v>108</v>
      </c>
      <c r="BC801" t="s">
        <v>163</v>
      </c>
      <c r="BD801" s="20">
        <v>41084</v>
      </c>
      <c r="BF801" s="21" t="s">
        <v>406</v>
      </c>
      <c r="BG801" s="38" t="s">
        <v>113</v>
      </c>
      <c r="BH801" s="1" t="s">
        <v>408</v>
      </c>
      <c r="BI801" s="1">
        <v>46.514783999999999</v>
      </c>
      <c r="BJ801" s="1">
        <v>-84.346945000000005</v>
      </c>
      <c r="BK801" s="1" t="s">
        <v>404</v>
      </c>
      <c r="BL801" s="1" t="s">
        <v>163</v>
      </c>
      <c r="BM801" s="1" t="s">
        <v>163</v>
      </c>
      <c r="BN801" s="1" t="s">
        <v>420</v>
      </c>
      <c r="BO801" s="39">
        <v>18748</v>
      </c>
      <c r="BP801" s="39">
        <v>18748</v>
      </c>
      <c r="BQ801" s="39" t="s">
        <v>332</v>
      </c>
      <c r="BR801" s="39">
        <v>505</v>
      </c>
      <c r="BS801" s="39">
        <v>264</v>
      </c>
    </row>
    <row r="802" spans="1:71" x14ac:dyDescent="0.25">
      <c r="A802" t="str">
        <f t="shared" si="12"/>
        <v>A69-1601-4896</v>
      </c>
      <c r="B802" t="s">
        <v>398</v>
      </c>
      <c r="C802" t="s">
        <v>324</v>
      </c>
      <c r="D802" t="s">
        <v>345</v>
      </c>
      <c r="F802">
        <v>4896</v>
      </c>
      <c r="G802" t="s">
        <v>346</v>
      </c>
      <c r="H802" t="s">
        <v>327</v>
      </c>
      <c r="I802" s="20">
        <v>41036</v>
      </c>
      <c r="J802">
        <v>101</v>
      </c>
      <c r="L802" t="s">
        <v>109</v>
      </c>
      <c r="M802" t="s">
        <v>328</v>
      </c>
      <c r="N802" t="s">
        <v>329</v>
      </c>
      <c r="O802" t="s">
        <v>330</v>
      </c>
      <c r="P802" t="s">
        <v>331</v>
      </c>
      <c r="U802">
        <v>0.43</v>
      </c>
      <c r="V802">
        <v>0.21299999999999999</v>
      </c>
      <c r="W802" t="s">
        <v>399</v>
      </c>
      <c r="Y802" t="s">
        <v>332</v>
      </c>
      <c r="AB802" s="39" t="s">
        <v>333</v>
      </c>
      <c r="AC802" s="39" t="s">
        <v>334</v>
      </c>
      <c r="AD802" s="39">
        <v>46.171439999999997</v>
      </c>
      <c r="AE802" s="39">
        <v>-84.079989999999995</v>
      </c>
      <c r="AF802" s="18">
        <v>41038.896527777775</v>
      </c>
      <c r="AG802" s="19">
        <v>41038.763888888891</v>
      </c>
      <c r="AH802" t="s">
        <v>161</v>
      </c>
      <c r="AL802" t="s">
        <v>335</v>
      </c>
      <c r="AM802" s="20">
        <v>41036</v>
      </c>
      <c r="AR802" s="39" t="s">
        <v>400</v>
      </c>
      <c r="AS802" s="39"/>
      <c r="AT802" s="39">
        <v>200</v>
      </c>
      <c r="AZ802" t="s">
        <v>108</v>
      </c>
      <c r="BC802" t="s">
        <v>336</v>
      </c>
    </row>
    <row r="803" spans="1:71" x14ac:dyDescent="0.25">
      <c r="A803" t="str">
        <f t="shared" si="12"/>
        <v>A69-1601-4908</v>
      </c>
      <c r="B803" t="s">
        <v>398</v>
      </c>
      <c r="C803" t="s">
        <v>324</v>
      </c>
      <c r="D803" t="s">
        <v>345</v>
      </c>
      <c r="F803">
        <v>4908</v>
      </c>
      <c r="G803" t="s">
        <v>346</v>
      </c>
      <c r="H803" t="s">
        <v>327</v>
      </c>
      <c r="I803" s="20">
        <v>41036</v>
      </c>
      <c r="J803">
        <v>101</v>
      </c>
      <c r="L803" t="s">
        <v>109</v>
      </c>
      <c r="M803" t="s">
        <v>328</v>
      </c>
      <c r="N803" t="s">
        <v>329</v>
      </c>
      <c r="O803" t="s">
        <v>330</v>
      </c>
      <c r="P803" t="s">
        <v>331</v>
      </c>
      <c r="U803">
        <v>0.5</v>
      </c>
      <c r="V803">
        <v>0.26100000000000001</v>
      </c>
      <c r="W803" t="s">
        <v>399</v>
      </c>
      <c r="Y803" t="s">
        <v>332</v>
      </c>
      <c r="AB803" s="39" t="s">
        <v>333</v>
      </c>
      <c r="AC803" s="39" t="s">
        <v>334</v>
      </c>
      <c r="AD803" s="39">
        <v>46.171439999999997</v>
      </c>
      <c r="AE803" s="39">
        <v>-84.079989999999995</v>
      </c>
      <c r="AF803" s="18">
        <v>41038.896527777775</v>
      </c>
      <c r="AG803" s="19">
        <v>41038.763888888891</v>
      </c>
      <c r="AH803" t="s">
        <v>161</v>
      </c>
      <c r="AL803" t="s">
        <v>335</v>
      </c>
      <c r="AM803" s="20">
        <v>41036</v>
      </c>
      <c r="AR803" s="39" t="s">
        <v>400</v>
      </c>
      <c r="AS803" s="39"/>
      <c r="AT803" s="39">
        <v>200</v>
      </c>
      <c r="AZ803" t="s">
        <v>108</v>
      </c>
      <c r="BC803" t="s">
        <v>336</v>
      </c>
    </row>
    <row r="804" spans="1:71" x14ac:dyDescent="0.25">
      <c r="A804" t="str">
        <f t="shared" si="12"/>
        <v>A69-1601-4914</v>
      </c>
      <c r="B804" t="s">
        <v>398</v>
      </c>
      <c r="C804" t="s">
        <v>324</v>
      </c>
      <c r="D804" t="s">
        <v>345</v>
      </c>
      <c r="F804">
        <v>4914</v>
      </c>
      <c r="G804" t="s">
        <v>346</v>
      </c>
      <c r="H804" t="s">
        <v>327</v>
      </c>
      <c r="I804" s="20">
        <v>41036</v>
      </c>
      <c r="J804">
        <v>101</v>
      </c>
      <c r="L804" t="s">
        <v>109</v>
      </c>
      <c r="M804" t="s">
        <v>328</v>
      </c>
      <c r="N804" t="s">
        <v>329</v>
      </c>
      <c r="O804" t="s">
        <v>330</v>
      </c>
      <c r="P804" t="s">
        <v>331</v>
      </c>
      <c r="U804">
        <v>0.48</v>
      </c>
      <c r="V804">
        <v>0.28800000000000003</v>
      </c>
      <c r="W804" t="s">
        <v>399</v>
      </c>
      <c r="Y804" t="s">
        <v>332</v>
      </c>
      <c r="AB804" s="39" t="s">
        <v>333</v>
      </c>
      <c r="AC804" s="39" t="s">
        <v>334</v>
      </c>
      <c r="AD804" s="39">
        <v>46.171439999999997</v>
      </c>
      <c r="AE804" s="39">
        <v>-84.079989999999995</v>
      </c>
      <c r="AF804" s="18">
        <v>41038.896527777775</v>
      </c>
      <c r="AG804" s="19">
        <v>41038.763888888891</v>
      </c>
      <c r="AH804" t="s">
        <v>161</v>
      </c>
      <c r="AL804" t="s">
        <v>335</v>
      </c>
      <c r="AM804" s="20">
        <v>41036</v>
      </c>
      <c r="AR804" s="39" t="s">
        <v>400</v>
      </c>
      <c r="AS804" s="39"/>
      <c r="AT804" s="39">
        <v>200</v>
      </c>
      <c r="AZ804" t="s">
        <v>108</v>
      </c>
      <c r="BC804" t="s">
        <v>163</v>
      </c>
      <c r="BD804" s="20">
        <v>41072</v>
      </c>
      <c r="BF804" s="21" t="s">
        <v>406</v>
      </c>
      <c r="BG804" s="38" t="s">
        <v>113</v>
      </c>
      <c r="BH804" s="1" t="s">
        <v>408</v>
      </c>
      <c r="BI804" s="1">
        <v>46.514783999999999</v>
      </c>
      <c r="BJ804" s="1">
        <v>-84.346945000000005</v>
      </c>
      <c r="BK804" s="1" t="s">
        <v>404</v>
      </c>
      <c r="BL804" s="1" t="s">
        <v>163</v>
      </c>
      <c r="BM804" s="1" t="s">
        <v>163</v>
      </c>
      <c r="BN804" s="1" t="s">
        <v>420</v>
      </c>
      <c r="BO804" s="39">
        <v>18760</v>
      </c>
      <c r="BP804" s="39">
        <v>18760</v>
      </c>
      <c r="BQ804" s="39" t="s">
        <v>332</v>
      </c>
      <c r="BR804" s="39">
        <v>475</v>
      </c>
      <c r="BS804" s="39">
        <v>264</v>
      </c>
    </row>
    <row r="805" spans="1:71" x14ac:dyDescent="0.25">
      <c r="A805" t="str">
        <f t="shared" si="12"/>
        <v>A69-1601-4873</v>
      </c>
      <c r="B805" t="s">
        <v>398</v>
      </c>
      <c r="C805" t="s">
        <v>324</v>
      </c>
      <c r="D805" t="s">
        <v>345</v>
      </c>
      <c r="F805">
        <v>4873</v>
      </c>
      <c r="G805" t="s">
        <v>346</v>
      </c>
      <c r="H805" t="s">
        <v>327</v>
      </c>
      <c r="I805" s="20">
        <v>41036</v>
      </c>
      <c r="J805">
        <v>101</v>
      </c>
      <c r="L805" t="s">
        <v>109</v>
      </c>
      <c r="M805" t="s">
        <v>328</v>
      </c>
      <c r="N805" t="s">
        <v>329</v>
      </c>
      <c r="O805" t="s">
        <v>330</v>
      </c>
      <c r="P805" t="s">
        <v>331</v>
      </c>
      <c r="U805">
        <v>0.51</v>
      </c>
      <c r="V805">
        <v>0.309</v>
      </c>
      <c r="W805" t="s">
        <v>399</v>
      </c>
      <c r="Y805" t="s">
        <v>332</v>
      </c>
      <c r="AB805" s="39" t="s">
        <v>333</v>
      </c>
      <c r="AC805" s="39" t="s">
        <v>334</v>
      </c>
      <c r="AD805" s="39">
        <v>46.171439999999997</v>
      </c>
      <c r="AE805" s="39">
        <v>-84.079989999999995</v>
      </c>
      <c r="AF805" s="18">
        <v>41038.896527777775</v>
      </c>
      <c r="AG805" s="19">
        <v>41038.763888888891</v>
      </c>
      <c r="AH805" t="s">
        <v>161</v>
      </c>
      <c r="AL805" t="s">
        <v>335</v>
      </c>
      <c r="AM805" s="20">
        <v>41036</v>
      </c>
      <c r="AR805" s="39" t="s">
        <v>400</v>
      </c>
      <c r="AS805" s="39"/>
      <c r="AT805" s="39">
        <v>200</v>
      </c>
      <c r="AZ805" t="s">
        <v>108</v>
      </c>
      <c r="BC805" t="s">
        <v>336</v>
      </c>
    </row>
    <row r="806" spans="1:71" x14ac:dyDescent="0.25">
      <c r="A806" t="str">
        <f t="shared" si="12"/>
        <v>A69-1601-4879</v>
      </c>
      <c r="B806" t="s">
        <v>398</v>
      </c>
      <c r="C806" t="s">
        <v>324</v>
      </c>
      <c r="D806" t="s">
        <v>345</v>
      </c>
      <c r="F806">
        <v>4879</v>
      </c>
      <c r="G806" t="s">
        <v>346</v>
      </c>
      <c r="H806" t="s">
        <v>327</v>
      </c>
      <c r="I806" s="20">
        <v>41036</v>
      </c>
      <c r="J806">
        <v>101</v>
      </c>
      <c r="L806" t="s">
        <v>109</v>
      </c>
      <c r="M806" t="s">
        <v>328</v>
      </c>
      <c r="N806" t="s">
        <v>329</v>
      </c>
      <c r="O806" t="s">
        <v>330</v>
      </c>
      <c r="P806" t="s">
        <v>331</v>
      </c>
      <c r="U806">
        <v>0.52</v>
      </c>
      <c r="V806">
        <v>0.28200000000000003</v>
      </c>
      <c r="W806" t="s">
        <v>399</v>
      </c>
      <c r="Y806" t="s">
        <v>332</v>
      </c>
      <c r="AB806" s="39" t="s">
        <v>333</v>
      </c>
      <c r="AC806" s="39" t="s">
        <v>334</v>
      </c>
      <c r="AD806" s="39">
        <v>46.171439999999997</v>
      </c>
      <c r="AE806" s="39">
        <v>-84.079989999999995</v>
      </c>
      <c r="AF806" s="18">
        <v>41038.896527777775</v>
      </c>
      <c r="AG806" s="19">
        <v>41038.763888888891</v>
      </c>
      <c r="AH806" t="s">
        <v>161</v>
      </c>
      <c r="AL806" t="s">
        <v>335</v>
      </c>
      <c r="AM806" s="20">
        <v>41036</v>
      </c>
      <c r="AR806" s="39" t="s">
        <v>400</v>
      </c>
      <c r="AS806" s="39"/>
      <c r="AT806" s="39">
        <v>200</v>
      </c>
      <c r="AZ806" t="s">
        <v>108</v>
      </c>
      <c r="BC806" t="s">
        <v>336</v>
      </c>
    </row>
    <row r="807" spans="1:71" x14ac:dyDescent="0.25">
      <c r="A807" t="str">
        <f t="shared" si="12"/>
        <v>A69-1601-4885</v>
      </c>
      <c r="B807" t="s">
        <v>398</v>
      </c>
      <c r="C807" t="s">
        <v>324</v>
      </c>
      <c r="D807" t="s">
        <v>345</v>
      </c>
      <c r="F807">
        <v>4885</v>
      </c>
      <c r="G807" t="s">
        <v>346</v>
      </c>
      <c r="H807" t="s">
        <v>327</v>
      </c>
      <c r="I807" s="20">
        <v>41036</v>
      </c>
      <c r="J807">
        <v>101</v>
      </c>
      <c r="L807" t="s">
        <v>109</v>
      </c>
      <c r="M807" t="s">
        <v>328</v>
      </c>
      <c r="N807" t="s">
        <v>329</v>
      </c>
      <c r="O807" t="s">
        <v>330</v>
      </c>
      <c r="P807" t="s">
        <v>331</v>
      </c>
      <c r="U807">
        <v>0.5</v>
      </c>
      <c r="V807">
        <v>0.30299999999999999</v>
      </c>
      <c r="W807" t="s">
        <v>399</v>
      </c>
      <c r="Y807" t="s">
        <v>332</v>
      </c>
      <c r="AB807" s="39" t="s">
        <v>333</v>
      </c>
      <c r="AC807" s="39" t="s">
        <v>334</v>
      </c>
      <c r="AD807" s="39">
        <v>46.171439999999997</v>
      </c>
      <c r="AE807" s="39">
        <v>-84.079989999999995</v>
      </c>
      <c r="AF807" s="18">
        <v>41038.896527777775</v>
      </c>
      <c r="AG807" s="19">
        <v>41038.763888888891</v>
      </c>
      <c r="AH807" t="s">
        <v>161</v>
      </c>
      <c r="AL807" t="s">
        <v>335</v>
      </c>
      <c r="AM807" s="20">
        <v>41036</v>
      </c>
      <c r="AR807" s="39" t="s">
        <v>400</v>
      </c>
      <c r="AS807" s="39"/>
      <c r="AT807" s="39">
        <v>200</v>
      </c>
      <c r="AZ807" t="s">
        <v>108</v>
      </c>
      <c r="BC807" t="s">
        <v>336</v>
      </c>
    </row>
    <row r="808" spans="1:71" x14ac:dyDescent="0.25">
      <c r="A808" t="str">
        <f t="shared" si="12"/>
        <v>A69-1601-4891</v>
      </c>
      <c r="B808" t="s">
        <v>398</v>
      </c>
      <c r="C808" t="s">
        <v>324</v>
      </c>
      <c r="D808" t="s">
        <v>345</v>
      </c>
      <c r="F808">
        <v>4891</v>
      </c>
      <c r="G808" t="s">
        <v>346</v>
      </c>
      <c r="H808" t="s">
        <v>327</v>
      </c>
      <c r="I808" s="20">
        <v>41036</v>
      </c>
      <c r="J808">
        <v>101</v>
      </c>
      <c r="L808" t="s">
        <v>109</v>
      </c>
      <c r="M808" t="s">
        <v>328</v>
      </c>
      <c r="N808" t="s">
        <v>329</v>
      </c>
      <c r="O808" t="s">
        <v>330</v>
      </c>
      <c r="P808" t="s">
        <v>331</v>
      </c>
      <c r="U808">
        <v>0.43</v>
      </c>
      <c r="V808">
        <v>0.17799999999999999</v>
      </c>
      <c r="W808" t="s">
        <v>399</v>
      </c>
      <c r="Y808" t="s">
        <v>332</v>
      </c>
      <c r="AB808" s="39" t="s">
        <v>333</v>
      </c>
      <c r="AC808" s="39" t="s">
        <v>334</v>
      </c>
      <c r="AD808" s="39">
        <v>46.171439999999997</v>
      </c>
      <c r="AE808" s="39">
        <v>-84.079989999999995</v>
      </c>
      <c r="AF808" s="18">
        <v>41038.896527777775</v>
      </c>
      <c r="AG808" s="19">
        <v>41038.763888888891</v>
      </c>
      <c r="AH808" t="s">
        <v>161</v>
      </c>
      <c r="AL808" t="s">
        <v>335</v>
      </c>
      <c r="AM808" s="20">
        <v>41036</v>
      </c>
      <c r="AR808" s="39" t="s">
        <v>400</v>
      </c>
      <c r="AS808" s="39"/>
      <c r="AT808" s="39">
        <v>200</v>
      </c>
      <c r="AZ808" t="s">
        <v>108</v>
      </c>
      <c r="BC808" t="s">
        <v>336</v>
      </c>
    </row>
    <row r="809" spans="1:71" x14ac:dyDescent="0.25">
      <c r="A809" t="str">
        <f t="shared" si="12"/>
        <v>A69-1601-4897</v>
      </c>
      <c r="B809" t="s">
        <v>398</v>
      </c>
      <c r="C809" t="s">
        <v>324</v>
      </c>
      <c r="D809" t="s">
        <v>345</v>
      </c>
      <c r="F809">
        <v>4897</v>
      </c>
      <c r="G809" t="s">
        <v>346</v>
      </c>
      <c r="H809" t="s">
        <v>327</v>
      </c>
      <c r="I809" s="20">
        <v>41036</v>
      </c>
      <c r="J809">
        <v>101</v>
      </c>
      <c r="L809" t="s">
        <v>109</v>
      </c>
      <c r="M809" t="s">
        <v>328</v>
      </c>
      <c r="N809" t="s">
        <v>329</v>
      </c>
      <c r="O809" t="s">
        <v>330</v>
      </c>
      <c r="P809" t="s">
        <v>331</v>
      </c>
      <c r="U809">
        <v>0.49</v>
      </c>
      <c r="V809">
        <v>0.25700000000000001</v>
      </c>
      <c r="W809" t="s">
        <v>399</v>
      </c>
      <c r="Y809" t="s">
        <v>332</v>
      </c>
      <c r="AB809" s="39" t="s">
        <v>333</v>
      </c>
      <c r="AC809" s="39" t="s">
        <v>334</v>
      </c>
      <c r="AD809" s="39">
        <v>46.171439999999997</v>
      </c>
      <c r="AE809" s="39">
        <v>-84.079989999999995</v>
      </c>
      <c r="AF809" s="18">
        <v>41038.896527777775</v>
      </c>
      <c r="AG809" s="19">
        <v>41038.763888888891</v>
      </c>
      <c r="AH809" t="s">
        <v>161</v>
      </c>
      <c r="AL809" t="s">
        <v>335</v>
      </c>
      <c r="AM809" s="20">
        <v>41036</v>
      </c>
      <c r="AR809" s="39" t="s">
        <v>400</v>
      </c>
      <c r="AS809" s="39"/>
      <c r="AT809" s="39">
        <v>200</v>
      </c>
      <c r="AZ809" t="s">
        <v>108</v>
      </c>
      <c r="BC809" t="s">
        <v>336</v>
      </c>
    </row>
    <row r="810" spans="1:71" x14ac:dyDescent="0.25">
      <c r="A810" t="str">
        <f t="shared" si="12"/>
        <v>A69-1601-4903</v>
      </c>
      <c r="B810" t="s">
        <v>398</v>
      </c>
      <c r="C810" t="s">
        <v>324</v>
      </c>
      <c r="D810" t="s">
        <v>345</v>
      </c>
      <c r="F810">
        <v>4903</v>
      </c>
      <c r="G810" t="s">
        <v>346</v>
      </c>
      <c r="H810" t="s">
        <v>327</v>
      </c>
      <c r="I810" s="20">
        <v>41036</v>
      </c>
      <c r="J810">
        <v>101</v>
      </c>
      <c r="L810" t="s">
        <v>109</v>
      </c>
      <c r="M810" t="s">
        <v>328</v>
      </c>
      <c r="N810" t="s">
        <v>329</v>
      </c>
      <c r="O810" t="s">
        <v>330</v>
      </c>
      <c r="P810" t="s">
        <v>331</v>
      </c>
      <c r="U810">
        <v>0.51</v>
      </c>
      <c r="V810">
        <v>0.25700000000000001</v>
      </c>
      <c r="W810" t="s">
        <v>399</v>
      </c>
      <c r="Y810" t="s">
        <v>332</v>
      </c>
      <c r="AB810" s="39" t="s">
        <v>333</v>
      </c>
      <c r="AC810" s="39" t="s">
        <v>334</v>
      </c>
      <c r="AD810" s="39">
        <v>46.171439999999997</v>
      </c>
      <c r="AE810" s="39">
        <v>-84.079989999999995</v>
      </c>
      <c r="AF810" s="18">
        <v>41038.896527777775</v>
      </c>
      <c r="AG810" s="19">
        <v>41038.763888888891</v>
      </c>
      <c r="AH810" t="s">
        <v>161</v>
      </c>
      <c r="AL810" t="s">
        <v>335</v>
      </c>
      <c r="AM810" s="20">
        <v>41036</v>
      </c>
      <c r="AR810" s="39" t="s">
        <v>400</v>
      </c>
      <c r="AS810" s="39"/>
      <c r="AT810" s="39">
        <v>200</v>
      </c>
      <c r="AZ810" t="s">
        <v>108</v>
      </c>
      <c r="BC810" t="s">
        <v>336</v>
      </c>
    </row>
    <row r="811" spans="1:71" x14ac:dyDescent="0.25">
      <c r="A811" t="str">
        <f t="shared" si="12"/>
        <v>A69-1601-4909</v>
      </c>
      <c r="B811" t="s">
        <v>398</v>
      </c>
      <c r="C811" t="s">
        <v>324</v>
      </c>
      <c r="D811" t="s">
        <v>345</v>
      </c>
      <c r="F811">
        <v>4909</v>
      </c>
      <c r="G811" t="s">
        <v>346</v>
      </c>
      <c r="H811" t="s">
        <v>327</v>
      </c>
      <c r="I811" s="20">
        <v>41036</v>
      </c>
      <c r="J811">
        <v>101</v>
      </c>
      <c r="L811" t="s">
        <v>109</v>
      </c>
      <c r="M811" t="s">
        <v>328</v>
      </c>
      <c r="N811" t="s">
        <v>329</v>
      </c>
      <c r="O811" t="s">
        <v>330</v>
      </c>
      <c r="P811" t="s">
        <v>331</v>
      </c>
      <c r="U811">
        <v>0.55000000000000004</v>
      </c>
      <c r="V811">
        <v>0.36499999999999999</v>
      </c>
      <c r="W811" t="s">
        <v>399</v>
      </c>
      <c r="Y811" t="s">
        <v>332</v>
      </c>
      <c r="AB811" s="39" t="s">
        <v>333</v>
      </c>
      <c r="AC811" s="39" t="s">
        <v>334</v>
      </c>
      <c r="AD811" s="39">
        <v>46.171439999999997</v>
      </c>
      <c r="AE811" s="39">
        <v>-84.079989999999995</v>
      </c>
      <c r="AF811" s="18">
        <v>41038.896527777775</v>
      </c>
      <c r="AG811" s="19">
        <v>41038.763888888891</v>
      </c>
      <c r="AH811" t="s">
        <v>161</v>
      </c>
      <c r="AL811" t="s">
        <v>335</v>
      </c>
      <c r="AM811" s="20">
        <v>41036</v>
      </c>
      <c r="AR811" s="39" t="s">
        <v>400</v>
      </c>
      <c r="AS811" s="39"/>
      <c r="AT811" s="39">
        <v>200</v>
      </c>
      <c r="AZ811" t="s">
        <v>108</v>
      </c>
      <c r="BC811" t="s">
        <v>336</v>
      </c>
    </row>
    <row r="812" spans="1:71" x14ac:dyDescent="0.25">
      <c r="A812" t="str">
        <f t="shared" si="12"/>
        <v>A69-9002-7223</v>
      </c>
      <c r="B812" t="s">
        <v>398</v>
      </c>
      <c r="C812" t="s">
        <v>324</v>
      </c>
      <c r="D812" t="s">
        <v>325</v>
      </c>
      <c r="F812">
        <v>7223</v>
      </c>
      <c r="G812" t="s">
        <v>326</v>
      </c>
      <c r="H812" t="s">
        <v>327</v>
      </c>
      <c r="I812" s="20">
        <v>41036</v>
      </c>
      <c r="J812">
        <v>77</v>
      </c>
      <c r="L812" t="s">
        <v>109</v>
      </c>
      <c r="M812" t="s">
        <v>328</v>
      </c>
      <c r="N812" t="s">
        <v>329</v>
      </c>
      <c r="O812" t="s">
        <v>330</v>
      </c>
      <c r="P812" t="s">
        <v>331</v>
      </c>
      <c r="U812">
        <v>0.53</v>
      </c>
      <c r="V812">
        <v>0.36</v>
      </c>
      <c r="W812" t="s">
        <v>399</v>
      </c>
      <c r="Y812" t="s">
        <v>337</v>
      </c>
      <c r="AB812" s="39" t="s">
        <v>333</v>
      </c>
      <c r="AC812" s="39" t="s">
        <v>334</v>
      </c>
      <c r="AD812" s="39">
        <v>46.171439999999997</v>
      </c>
      <c r="AE812" s="39">
        <v>-84.079989999999995</v>
      </c>
      <c r="AF812" s="18">
        <v>41038.896527777775</v>
      </c>
      <c r="AG812" s="19">
        <v>41038.763888888891</v>
      </c>
      <c r="AH812" t="s">
        <v>161</v>
      </c>
      <c r="AL812" t="s">
        <v>335</v>
      </c>
      <c r="AM812" s="20">
        <v>41036</v>
      </c>
      <c r="AR812" s="39" t="s">
        <v>400</v>
      </c>
      <c r="AS812" s="39"/>
      <c r="AT812" s="39">
        <v>200</v>
      </c>
      <c r="AZ812" t="s">
        <v>108</v>
      </c>
      <c r="BC812" t="s">
        <v>336</v>
      </c>
    </row>
    <row r="813" spans="1:71" x14ac:dyDescent="0.25">
      <c r="A813" t="str">
        <f t="shared" si="12"/>
        <v>A69-9002-7232</v>
      </c>
      <c r="B813" t="s">
        <v>398</v>
      </c>
      <c r="C813" t="s">
        <v>324</v>
      </c>
      <c r="D813" t="s">
        <v>325</v>
      </c>
      <c r="F813">
        <v>7232</v>
      </c>
      <c r="G813" t="s">
        <v>326</v>
      </c>
      <c r="H813" t="s">
        <v>327</v>
      </c>
      <c r="I813" s="20">
        <v>41036</v>
      </c>
      <c r="J813">
        <v>77</v>
      </c>
      <c r="L813" t="s">
        <v>109</v>
      </c>
      <c r="M813" t="s">
        <v>328</v>
      </c>
      <c r="N813" t="s">
        <v>329</v>
      </c>
      <c r="O813" t="s">
        <v>330</v>
      </c>
      <c r="P813" t="s">
        <v>331</v>
      </c>
      <c r="U813">
        <v>0.49</v>
      </c>
      <c r="V813">
        <v>0.26300000000000001</v>
      </c>
      <c r="W813" t="s">
        <v>399</v>
      </c>
      <c r="Y813" t="s">
        <v>337</v>
      </c>
      <c r="AB813" s="39" t="s">
        <v>333</v>
      </c>
      <c r="AC813" s="39" t="s">
        <v>334</v>
      </c>
      <c r="AD813" s="39">
        <v>46.171439999999997</v>
      </c>
      <c r="AE813" s="39">
        <v>-84.079989999999995</v>
      </c>
      <c r="AF813" s="18">
        <v>41038.896527777775</v>
      </c>
      <c r="AG813" s="19">
        <v>41038.763888888891</v>
      </c>
      <c r="AH813" t="s">
        <v>161</v>
      </c>
      <c r="AL813" t="s">
        <v>335</v>
      </c>
      <c r="AM813" s="20">
        <v>41036</v>
      </c>
      <c r="AR813" s="39" t="s">
        <v>400</v>
      </c>
      <c r="AS813" s="39"/>
      <c r="AT813" s="39">
        <v>200</v>
      </c>
      <c r="AZ813" t="s">
        <v>108</v>
      </c>
      <c r="BC813" t="s">
        <v>336</v>
      </c>
    </row>
    <row r="814" spans="1:71" x14ac:dyDescent="0.25">
      <c r="A814" t="str">
        <f t="shared" si="12"/>
        <v>A69-9002-7213</v>
      </c>
      <c r="B814" t="s">
        <v>398</v>
      </c>
      <c r="C814" t="s">
        <v>324</v>
      </c>
      <c r="D814" t="s">
        <v>325</v>
      </c>
      <c r="F814">
        <v>7213</v>
      </c>
      <c r="G814" t="s">
        <v>326</v>
      </c>
      <c r="H814" t="s">
        <v>327</v>
      </c>
      <c r="I814" s="20">
        <v>41036</v>
      </c>
      <c r="J814">
        <v>77</v>
      </c>
      <c r="L814" t="s">
        <v>109</v>
      </c>
      <c r="M814" t="s">
        <v>328</v>
      </c>
      <c r="N814" t="s">
        <v>329</v>
      </c>
      <c r="O814" t="s">
        <v>330</v>
      </c>
      <c r="P814" t="s">
        <v>331</v>
      </c>
      <c r="U814">
        <v>0.5</v>
      </c>
      <c r="V814">
        <v>0.28899999999999998</v>
      </c>
      <c r="W814" t="s">
        <v>399</v>
      </c>
      <c r="Y814" t="s">
        <v>337</v>
      </c>
      <c r="AB814" s="39" t="s">
        <v>333</v>
      </c>
      <c r="AC814" s="39" t="s">
        <v>334</v>
      </c>
      <c r="AD814" s="39">
        <v>46.171439999999997</v>
      </c>
      <c r="AE814" s="39">
        <v>-84.079989999999995</v>
      </c>
      <c r="AF814" s="18">
        <v>41038.896527777775</v>
      </c>
      <c r="AG814" s="19">
        <v>41038.763888888891</v>
      </c>
      <c r="AH814" t="s">
        <v>161</v>
      </c>
      <c r="AL814" t="s">
        <v>335</v>
      </c>
      <c r="AM814" s="20">
        <v>41036</v>
      </c>
      <c r="AR814" s="39" t="s">
        <v>400</v>
      </c>
      <c r="AS814" s="39"/>
      <c r="AT814" s="39">
        <v>200</v>
      </c>
      <c r="AZ814" t="s">
        <v>108</v>
      </c>
      <c r="BC814" t="s">
        <v>336</v>
      </c>
    </row>
    <row r="815" spans="1:71" x14ac:dyDescent="0.25">
      <c r="A815" t="str">
        <f t="shared" si="12"/>
        <v>A69-9002-7218</v>
      </c>
      <c r="B815" t="s">
        <v>398</v>
      </c>
      <c r="C815" t="s">
        <v>324</v>
      </c>
      <c r="D815" t="s">
        <v>325</v>
      </c>
      <c r="F815">
        <v>7218</v>
      </c>
      <c r="G815" t="s">
        <v>326</v>
      </c>
      <c r="H815" t="s">
        <v>327</v>
      </c>
      <c r="I815" s="20">
        <v>41036</v>
      </c>
      <c r="J815">
        <v>77</v>
      </c>
      <c r="L815" t="s">
        <v>109</v>
      </c>
      <c r="M815" t="s">
        <v>328</v>
      </c>
      <c r="N815" t="s">
        <v>329</v>
      </c>
      <c r="O815" t="s">
        <v>330</v>
      </c>
      <c r="P815" t="s">
        <v>331</v>
      </c>
      <c r="U815">
        <v>0.5</v>
      </c>
      <c r="V815">
        <v>0.28899999999999998</v>
      </c>
      <c r="W815" t="s">
        <v>399</v>
      </c>
      <c r="Y815" t="s">
        <v>337</v>
      </c>
      <c r="AB815" s="39" t="s">
        <v>333</v>
      </c>
      <c r="AC815" s="39" t="s">
        <v>334</v>
      </c>
      <c r="AD815" s="39">
        <v>46.171439999999997</v>
      </c>
      <c r="AE815" s="39">
        <v>-84.079989999999995</v>
      </c>
      <c r="AF815" s="18">
        <v>41038.896527777775</v>
      </c>
      <c r="AG815" s="19">
        <v>41038.763888888891</v>
      </c>
      <c r="AH815" t="s">
        <v>161</v>
      </c>
      <c r="AL815" t="s">
        <v>335</v>
      </c>
      <c r="AM815" s="20">
        <v>41036</v>
      </c>
      <c r="AR815" s="39" t="s">
        <v>400</v>
      </c>
      <c r="AS815" s="39"/>
      <c r="AT815" s="39">
        <v>200</v>
      </c>
      <c r="AZ815" t="s">
        <v>108</v>
      </c>
      <c r="BC815" t="s">
        <v>336</v>
      </c>
    </row>
    <row r="816" spans="1:71" x14ac:dyDescent="0.25">
      <c r="A816" t="str">
        <f t="shared" si="12"/>
        <v>A69-9002-7227</v>
      </c>
      <c r="B816" t="s">
        <v>398</v>
      </c>
      <c r="C816" t="s">
        <v>324</v>
      </c>
      <c r="D816" t="s">
        <v>325</v>
      </c>
      <c r="F816">
        <v>7227</v>
      </c>
      <c r="G816" t="s">
        <v>326</v>
      </c>
      <c r="H816" t="s">
        <v>327</v>
      </c>
      <c r="I816" s="20">
        <v>41036</v>
      </c>
      <c r="J816">
        <v>77</v>
      </c>
      <c r="L816" t="s">
        <v>109</v>
      </c>
      <c r="M816" t="s">
        <v>328</v>
      </c>
      <c r="N816" t="s">
        <v>329</v>
      </c>
      <c r="O816" t="s">
        <v>330</v>
      </c>
      <c r="P816" t="s">
        <v>331</v>
      </c>
      <c r="U816">
        <v>0.47000000000000003</v>
      </c>
      <c r="V816">
        <v>0.26100000000000001</v>
      </c>
      <c r="W816" t="s">
        <v>399</v>
      </c>
      <c r="Y816" t="s">
        <v>337</v>
      </c>
      <c r="AB816" s="39" t="s">
        <v>333</v>
      </c>
      <c r="AC816" s="39" t="s">
        <v>334</v>
      </c>
      <c r="AD816" s="39">
        <v>46.171439999999997</v>
      </c>
      <c r="AE816" s="39">
        <v>-84.079989999999995</v>
      </c>
      <c r="AF816" s="18">
        <v>41038.896527777775</v>
      </c>
      <c r="AG816" s="19">
        <v>41038.763888888891</v>
      </c>
      <c r="AH816" t="s">
        <v>161</v>
      </c>
      <c r="AL816" t="s">
        <v>335</v>
      </c>
      <c r="AM816" s="20">
        <v>41036</v>
      </c>
      <c r="AR816" s="39" t="s">
        <v>400</v>
      </c>
      <c r="AS816" s="39"/>
      <c r="AT816" s="39">
        <v>200</v>
      </c>
      <c r="AZ816" t="s">
        <v>108</v>
      </c>
      <c r="BC816" t="s">
        <v>336</v>
      </c>
    </row>
    <row r="817" spans="1:71" x14ac:dyDescent="0.25">
      <c r="A817" t="str">
        <f t="shared" si="12"/>
        <v>A69-9002-7222</v>
      </c>
      <c r="B817" t="s">
        <v>398</v>
      </c>
      <c r="C817" t="s">
        <v>324</v>
      </c>
      <c r="D817" t="s">
        <v>325</v>
      </c>
      <c r="F817">
        <v>7222</v>
      </c>
      <c r="G817" t="s">
        <v>326</v>
      </c>
      <c r="H817" t="s">
        <v>327</v>
      </c>
      <c r="I817" s="20">
        <v>41036</v>
      </c>
      <c r="J817">
        <v>77</v>
      </c>
      <c r="L817" t="s">
        <v>109</v>
      </c>
      <c r="M817" t="s">
        <v>328</v>
      </c>
      <c r="N817" t="s">
        <v>329</v>
      </c>
      <c r="O817" t="s">
        <v>330</v>
      </c>
      <c r="P817" t="s">
        <v>331</v>
      </c>
      <c r="U817">
        <v>0.53</v>
      </c>
      <c r="V817">
        <v>0.33</v>
      </c>
      <c r="W817" t="s">
        <v>399</v>
      </c>
      <c r="Y817" t="s">
        <v>337</v>
      </c>
      <c r="AB817" s="39" t="s">
        <v>333</v>
      </c>
      <c r="AC817" s="39" t="s">
        <v>334</v>
      </c>
      <c r="AD817" s="39">
        <v>46.171439999999997</v>
      </c>
      <c r="AE817" s="39">
        <v>-84.079989999999995</v>
      </c>
      <c r="AF817" s="18">
        <v>41038.896527777775</v>
      </c>
      <c r="AG817" s="19">
        <v>41038.763888888891</v>
      </c>
      <c r="AH817" t="s">
        <v>161</v>
      </c>
      <c r="AL817" t="s">
        <v>335</v>
      </c>
      <c r="AM817" s="20">
        <v>41036</v>
      </c>
      <c r="AR817" s="39" t="s">
        <v>400</v>
      </c>
      <c r="AS817" s="39"/>
      <c r="AT817" s="39">
        <v>200</v>
      </c>
      <c r="AZ817" t="s">
        <v>108</v>
      </c>
      <c r="BC817" t="s">
        <v>163</v>
      </c>
      <c r="BD817" s="20">
        <v>41069</v>
      </c>
      <c r="BF817" s="21" t="s">
        <v>406</v>
      </c>
      <c r="BG817" s="38" t="s">
        <v>113</v>
      </c>
      <c r="BH817" s="1" t="s">
        <v>408</v>
      </c>
      <c r="BI817" s="1">
        <v>46.514783999999999</v>
      </c>
      <c r="BJ817" s="1">
        <v>-84.346945000000005</v>
      </c>
      <c r="BK817" s="1" t="s">
        <v>404</v>
      </c>
      <c r="BL817" s="1" t="s">
        <v>163</v>
      </c>
      <c r="BM817" s="1" t="s">
        <v>163</v>
      </c>
      <c r="BN817" s="1" t="s">
        <v>420</v>
      </c>
      <c r="BO817" s="39">
        <v>18745</v>
      </c>
      <c r="BP817" s="39">
        <v>18745</v>
      </c>
      <c r="BQ817" s="39" t="s">
        <v>337</v>
      </c>
      <c r="BR817" s="39">
        <v>522</v>
      </c>
      <c r="BS817" s="39">
        <v>316</v>
      </c>
    </row>
    <row r="818" spans="1:71" x14ac:dyDescent="0.25">
      <c r="A818" t="str">
        <f t="shared" si="12"/>
        <v>A69-9002-7217</v>
      </c>
      <c r="B818" t="s">
        <v>398</v>
      </c>
      <c r="C818" t="s">
        <v>324</v>
      </c>
      <c r="D818" t="s">
        <v>325</v>
      </c>
      <c r="F818">
        <v>7217</v>
      </c>
      <c r="G818" t="s">
        <v>326</v>
      </c>
      <c r="H818" t="s">
        <v>327</v>
      </c>
      <c r="I818" s="20">
        <v>41036</v>
      </c>
      <c r="J818">
        <v>77</v>
      </c>
      <c r="L818" t="s">
        <v>109</v>
      </c>
      <c r="M818" t="s">
        <v>328</v>
      </c>
      <c r="N818" t="s">
        <v>329</v>
      </c>
      <c r="O818" t="s">
        <v>330</v>
      </c>
      <c r="P818" t="s">
        <v>331</v>
      </c>
      <c r="U818">
        <v>0.51</v>
      </c>
      <c r="V818">
        <v>0.29399999999999998</v>
      </c>
      <c r="W818" t="s">
        <v>399</v>
      </c>
      <c r="Y818" t="s">
        <v>337</v>
      </c>
      <c r="AB818" s="39" t="s">
        <v>333</v>
      </c>
      <c r="AC818" s="39" t="s">
        <v>334</v>
      </c>
      <c r="AD818" s="39">
        <v>46.171439999999997</v>
      </c>
      <c r="AE818" s="39">
        <v>-84.079989999999995</v>
      </c>
      <c r="AF818" s="18">
        <v>41038.896527777775</v>
      </c>
      <c r="AG818" s="19">
        <v>41038.763888888891</v>
      </c>
      <c r="AH818" t="s">
        <v>161</v>
      </c>
      <c r="AL818" t="s">
        <v>335</v>
      </c>
      <c r="AM818" s="20">
        <v>41036</v>
      </c>
      <c r="AR818" s="39" t="s">
        <v>400</v>
      </c>
      <c r="AS818" s="39"/>
      <c r="AT818" s="39">
        <v>200</v>
      </c>
      <c r="AZ818" t="s">
        <v>108</v>
      </c>
      <c r="BC818" t="s">
        <v>336</v>
      </c>
    </row>
    <row r="819" spans="1:71" x14ac:dyDescent="0.25">
      <c r="A819" t="str">
        <f t="shared" si="12"/>
        <v>A69-9002-7212</v>
      </c>
      <c r="B819" t="s">
        <v>398</v>
      </c>
      <c r="C819" t="s">
        <v>324</v>
      </c>
      <c r="D819" t="s">
        <v>325</v>
      </c>
      <c r="F819">
        <v>7212</v>
      </c>
      <c r="G819" t="s">
        <v>326</v>
      </c>
      <c r="H819" t="s">
        <v>327</v>
      </c>
      <c r="I819" s="20">
        <v>41036</v>
      </c>
      <c r="J819">
        <v>77</v>
      </c>
      <c r="L819" t="s">
        <v>109</v>
      </c>
      <c r="M819" t="s">
        <v>328</v>
      </c>
      <c r="N819" t="s">
        <v>329</v>
      </c>
      <c r="O819" t="s">
        <v>330</v>
      </c>
      <c r="P819" t="s">
        <v>331</v>
      </c>
      <c r="U819">
        <v>0.53</v>
      </c>
      <c r="V819">
        <v>0.307</v>
      </c>
      <c r="W819" t="s">
        <v>399</v>
      </c>
      <c r="Y819" t="s">
        <v>337</v>
      </c>
      <c r="AB819" s="39" t="s">
        <v>333</v>
      </c>
      <c r="AC819" s="39" t="s">
        <v>334</v>
      </c>
      <c r="AD819" s="39">
        <v>46.171439999999997</v>
      </c>
      <c r="AE819" s="39">
        <v>-84.079989999999995</v>
      </c>
      <c r="AF819" s="18">
        <v>41038.896527777775</v>
      </c>
      <c r="AG819" s="19">
        <v>41038.763888888891</v>
      </c>
      <c r="AH819" t="s">
        <v>161</v>
      </c>
      <c r="AL819" t="s">
        <v>335</v>
      </c>
      <c r="AM819" s="20">
        <v>41036</v>
      </c>
      <c r="AR819" s="39" t="s">
        <v>400</v>
      </c>
      <c r="AS819" s="39"/>
      <c r="AT819" s="39">
        <v>200</v>
      </c>
      <c r="AZ819" t="s">
        <v>108</v>
      </c>
      <c r="BC819" t="s">
        <v>336</v>
      </c>
    </row>
    <row r="820" spans="1:71" x14ac:dyDescent="0.25">
      <c r="A820" t="str">
        <f t="shared" si="12"/>
        <v>A69-9002-7164</v>
      </c>
      <c r="B820" t="s">
        <v>398</v>
      </c>
      <c r="C820" t="s">
        <v>324</v>
      </c>
      <c r="D820" t="s">
        <v>325</v>
      </c>
      <c r="F820">
        <v>7164</v>
      </c>
      <c r="G820" t="s">
        <v>326</v>
      </c>
      <c r="H820" t="s">
        <v>327</v>
      </c>
      <c r="I820" s="20">
        <v>41036</v>
      </c>
      <c r="J820">
        <v>77</v>
      </c>
      <c r="L820" t="s">
        <v>109</v>
      </c>
      <c r="M820" t="s">
        <v>328</v>
      </c>
      <c r="N820" t="s">
        <v>329</v>
      </c>
      <c r="O820" t="s">
        <v>330</v>
      </c>
      <c r="P820" t="s">
        <v>331</v>
      </c>
      <c r="U820">
        <v>0.52</v>
      </c>
      <c r="V820">
        <v>0.28600000000000003</v>
      </c>
      <c r="W820" t="s">
        <v>399</v>
      </c>
      <c r="Y820" t="s">
        <v>337</v>
      </c>
      <c r="AB820" s="39" t="s">
        <v>333</v>
      </c>
      <c r="AC820" s="39" t="s">
        <v>334</v>
      </c>
      <c r="AD820" s="39">
        <v>46.171439999999997</v>
      </c>
      <c r="AE820" s="39">
        <v>-84.079989999999995</v>
      </c>
      <c r="AF820" s="18">
        <v>41038.896527777775</v>
      </c>
      <c r="AG820" s="19">
        <v>41038.763888888891</v>
      </c>
      <c r="AH820" t="s">
        <v>161</v>
      </c>
      <c r="AL820" t="s">
        <v>335</v>
      </c>
      <c r="AM820" s="20">
        <v>41036</v>
      </c>
      <c r="AR820" s="39" t="s">
        <v>400</v>
      </c>
      <c r="AS820" s="39"/>
      <c r="AT820" s="39">
        <v>200</v>
      </c>
      <c r="AZ820" t="s">
        <v>108</v>
      </c>
      <c r="BC820" t="s">
        <v>336</v>
      </c>
    </row>
    <row r="821" spans="1:71" x14ac:dyDescent="0.25">
      <c r="A821" t="str">
        <f t="shared" si="12"/>
        <v>A69-9002-7181</v>
      </c>
      <c r="B821" t="s">
        <v>398</v>
      </c>
      <c r="C821" t="s">
        <v>324</v>
      </c>
      <c r="D821" t="s">
        <v>325</v>
      </c>
      <c r="F821">
        <v>7181</v>
      </c>
      <c r="G821" t="s">
        <v>326</v>
      </c>
      <c r="H821" t="s">
        <v>327</v>
      </c>
      <c r="I821" s="20">
        <v>41036</v>
      </c>
      <c r="J821">
        <v>77</v>
      </c>
      <c r="L821" t="s">
        <v>109</v>
      </c>
      <c r="M821" t="s">
        <v>328</v>
      </c>
      <c r="N821" t="s">
        <v>329</v>
      </c>
      <c r="O821" t="s">
        <v>330</v>
      </c>
      <c r="P821" t="s">
        <v>331</v>
      </c>
      <c r="U821">
        <v>0.49</v>
      </c>
      <c r="V821">
        <v>0.25600000000000001</v>
      </c>
      <c r="W821" t="s">
        <v>399</v>
      </c>
      <c r="Y821" t="s">
        <v>332</v>
      </c>
      <c r="AB821" s="39" t="s">
        <v>333</v>
      </c>
      <c r="AC821" s="39" t="s">
        <v>334</v>
      </c>
      <c r="AD821" s="39">
        <v>46.171439999999997</v>
      </c>
      <c r="AE821" s="39">
        <v>-84.079989999999995</v>
      </c>
      <c r="AF821" s="18">
        <v>41038.896527777775</v>
      </c>
      <c r="AG821" s="19">
        <v>41038.763888888891</v>
      </c>
      <c r="AH821" t="s">
        <v>161</v>
      </c>
      <c r="AL821" t="s">
        <v>335</v>
      </c>
      <c r="AM821" s="20">
        <v>41036</v>
      </c>
      <c r="AR821" s="39" t="s">
        <v>400</v>
      </c>
      <c r="AS821" s="39"/>
      <c r="AT821" s="39">
        <v>200</v>
      </c>
      <c r="AZ821" t="s">
        <v>108</v>
      </c>
      <c r="BC821" t="s">
        <v>336</v>
      </c>
    </row>
    <row r="822" spans="1:71" x14ac:dyDescent="0.25">
      <c r="A822" t="str">
        <f t="shared" si="12"/>
        <v>A69-9002-7176</v>
      </c>
      <c r="B822" t="s">
        <v>398</v>
      </c>
      <c r="C822" t="s">
        <v>324</v>
      </c>
      <c r="D822" t="s">
        <v>325</v>
      </c>
      <c r="F822">
        <v>7176</v>
      </c>
      <c r="G822" t="s">
        <v>326</v>
      </c>
      <c r="H822" t="s">
        <v>327</v>
      </c>
      <c r="I822" s="20">
        <v>41036</v>
      </c>
      <c r="J822">
        <v>77</v>
      </c>
      <c r="L822" t="s">
        <v>109</v>
      </c>
      <c r="M822" t="s">
        <v>328</v>
      </c>
      <c r="N822" t="s">
        <v>329</v>
      </c>
      <c r="O822" t="s">
        <v>330</v>
      </c>
      <c r="P822" t="s">
        <v>331</v>
      </c>
      <c r="U822">
        <v>0.5</v>
      </c>
      <c r="V822">
        <v>0.222</v>
      </c>
      <c r="W822" t="s">
        <v>399</v>
      </c>
      <c r="Y822" t="s">
        <v>332</v>
      </c>
      <c r="AB822" s="39" t="s">
        <v>333</v>
      </c>
      <c r="AC822" s="39" t="s">
        <v>334</v>
      </c>
      <c r="AD822" s="39">
        <v>46.171439999999997</v>
      </c>
      <c r="AE822" s="39">
        <v>-84.079989999999995</v>
      </c>
      <c r="AF822" s="18">
        <v>41038.896527777775</v>
      </c>
      <c r="AG822" s="19">
        <v>41038.763888888891</v>
      </c>
      <c r="AH822" t="s">
        <v>161</v>
      </c>
      <c r="AL822" t="s">
        <v>335</v>
      </c>
      <c r="AM822" s="20">
        <v>41036</v>
      </c>
      <c r="AR822" s="39" t="s">
        <v>400</v>
      </c>
      <c r="AS822" s="39"/>
      <c r="AT822" s="39">
        <v>200</v>
      </c>
      <c r="AZ822" t="s">
        <v>108</v>
      </c>
      <c r="BC822" t="s">
        <v>336</v>
      </c>
    </row>
    <row r="823" spans="1:71" x14ac:dyDescent="0.25">
      <c r="A823" t="str">
        <f t="shared" si="12"/>
        <v>A69-9002-7171</v>
      </c>
      <c r="B823" t="s">
        <v>398</v>
      </c>
      <c r="C823" t="s">
        <v>324</v>
      </c>
      <c r="D823" t="s">
        <v>325</v>
      </c>
      <c r="F823">
        <v>7171</v>
      </c>
      <c r="G823" t="s">
        <v>326</v>
      </c>
      <c r="H823" t="s">
        <v>327</v>
      </c>
      <c r="I823" s="20">
        <v>41036</v>
      </c>
      <c r="J823">
        <v>77</v>
      </c>
      <c r="L823" t="s">
        <v>109</v>
      </c>
      <c r="M823" t="s">
        <v>328</v>
      </c>
      <c r="N823" t="s">
        <v>329</v>
      </c>
      <c r="O823" t="s">
        <v>330</v>
      </c>
      <c r="P823" t="s">
        <v>331</v>
      </c>
      <c r="U823">
        <v>0.47000000000000003</v>
      </c>
      <c r="V823">
        <v>0.23200000000000001</v>
      </c>
      <c r="W823" t="s">
        <v>399</v>
      </c>
      <c r="Y823" t="s">
        <v>332</v>
      </c>
      <c r="AB823" s="39" t="s">
        <v>333</v>
      </c>
      <c r="AC823" s="39" t="s">
        <v>334</v>
      </c>
      <c r="AD823" s="39">
        <v>46.171439999999997</v>
      </c>
      <c r="AE823" s="39">
        <v>-84.079989999999995</v>
      </c>
      <c r="AF823" s="18">
        <v>41038.896527777775</v>
      </c>
      <c r="AG823" s="19">
        <v>41038.763888888891</v>
      </c>
      <c r="AH823" t="s">
        <v>161</v>
      </c>
      <c r="AL823" t="s">
        <v>335</v>
      </c>
      <c r="AM823" s="20">
        <v>41036</v>
      </c>
      <c r="AR823" s="39" t="s">
        <v>400</v>
      </c>
      <c r="AS823" s="39"/>
      <c r="AT823" s="39">
        <v>200</v>
      </c>
      <c r="AZ823" t="s">
        <v>108</v>
      </c>
      <c r="BC823" t="s">
        <v>336</v>
      </c>
    </row>
    <row r="824" spans="1:71" x14ac:dyDescent="0.25">
      <c r="A824" t="str">
        <f t="shared" si="12"/>
        <v>A69-9002-7166</v>
      </c>
      <c r="B824" t="s">
        <v>398</v>
      </c>
      <c r="C824" t="s">
        <v>324</v>
      </c>
      <c r="D824" t="s">
        <v>325</v>
      </c>
      <c r="F824">
        <v>7166</v>
      </c>
      <c r="G824" t="s">
        <v>326</v>
      </c>
      <c r="H824" t="s">
        <v>327</v>
      </c>
      <c r="I824" s="20">
        <v>41036</v>
      </c>
      <c r="J824">
        <v>77</v>
      </c>
      <c r="L824" t="s">
        <v>109</v>
      </c>
      <c r="M824" t="s">
        <v>328</v>
      </c>
      <c r="N824" t="s">
        <v>329</v>
      </c>
      <c r="O824" t="s">
        <v>330</v>
      </c>
      <c r="P824" t="s">
        <v>331</v>
      </c>
      <c r="U824">
        <v>0.48</v>
      </c>
      <c r="V824">
        <v>0.27500000000000002</v>
      </c>
      <c r="W824" t="s">
        <v>399</v>
      </c>
      <c r="Y824" t="s">
        <v>332</v>
      </c>
      <c r="AB824" s="39" t="s">
        <v>333</v>
      </c>
      <c r="AC824" s="39" t="s">
        <v>334</v>
      </c>
      <c r="AD824" s="39">
        <v>46.171439999999997</v>
      </c>
      <c r="AE824" s="39">
        <v>-84.079989999999995</v>
      </c>
      <c r="AF824" s="18">
        <v>41038.896527777775</v>
      </c>
      <c r="AG824" s="19">
        <v>41038.763888888891</v>
      </c>
      <c r="AH824" t="s">
        <v>161</v>
      </c>
      <c r="AL824" t="s">
        <v>335</v>
      </c>
      <c r="AM824" s="20">
        <v>41036</v>
      </c>
      <c r="AR824" s="39" t="s">
        <v>400</v>
      </c>
      <c r="AS824" s="39"/>
      <c r="AT824" s="39">
        <v>200</v>
      </c>
      <c r="AZ824" t="s">
        <v>108</v>
      </c>
      <c r="BC824" t="s">
        <v>336</v>
      </c>
    </row>
    <row r="825" spans="1:71" x14ac:dyDescent="0.25">
      <c r="A825" t="str">
        <f t="shared" si="12"/>
        <v>A69-9002-7165</v>
      </c>
      <c r="B825" t="s">
        <v>398</v>
      </c>
      <c r="C825" t="s">
        <v>324</v>
      </c>
      <c r="D825" t="s">
        <v>325</v>
      </c>
      <c r="F825">
        <v>7165</v>
      </c>
      <c r="G825" t="s">
        <v>326</v>
      </c>
      <c r="H825" t="s">
        <v>327</v>
      </c>
      <c r="I825" s="20">
        <v>41036</v>
      </c>
      <c r="J825">
        <v>77</v>
      </c>
      <c r="L825" t="s">
        <v>109</v>
      </c>
      <c r="M825" t="s">
        <v>328</v>
      </c>
      <c r="N825" t="s">
        <v>329</v>
      </c>
      <c r="O825" t="s">
        <v>330</v>
      </c>
      <c r="P825" t="s">
        <v>331</v>
      </c>
      <c r="U825">
        <v>0.5</v>
      </c>
      <c r="V825">
        <v>0.26400000000000001</v>
      </c>
      <c r="W825" t="s">
        <v>399</v>
      </c>
      <c r="Y825" t="s">
        <v>332</v>
      </c>
      <c r="AB825" s="39" t="s">
        <v>333</v>
      </c>
      <c r="AC825" s="39" t="s">
        <v>334</v>
      </c>
      <c r="AD825" s="39">
        <v>46.171439999999997</v>
      </c>
      <c r="AE825" s="39">
        <v>-84.079989999999995</v>
      </c>
      <c r="AF825" s="18">
        <v>41038.896527777775</v>
      </c>
      <c r="AG825" s="19">
        <v>41038.763888888891</v>
      </c>
      <c r="AH825" t="s">
        <v>161</v>
      </c>
      <c r="AL825" t="s">
        <v>335</v>
      </c>
      <c r="AM825" s="20">
        <v>41036</v>
      </c>
      <c r="AR825" s="39" t="s">
        <v>400</v>
      </c>
      <c r="AS825" s="39"/>
      <c r="AT825" s="39">
        <v>200</v>
      </c>
      <c r="AZ825" t="s">
        <v>108</v>
      </c>
      <c r="BC825" t="s">
        <v>336</v>
      </c>
    </row>
    <row r="826" spans="1:71" x14ac:dyDescent="0.25">
      <c r="A826" t="str">
        <f t="shared" si="12"/>
        <v>A69-9002-7170</v>
      </c>
      <c r="B826" t="s">
        <v>398</v>
      </c>
      <c r="C826" t="s">
        <v>324</v>
      </c>
      <c r="D826" t="s">
        <v>325</v>
      </c>
      <c r="F826">
        <v>7170</v>
      </c>
      <c r="G826" t="s">
        <v>326</v>
      </c>
      <c r="H826" t="s">
        <v>327</v>
      </c>
      <c r="I826" s="20">
        <v>41036</v>
      </c>
      <c r="J826">
        <v>77</v>
      </c>
      <c r="L826" t="s">
        <v>109</v>
      </c>
      <c r="M826" t="s">
        <v>328</v>
      </c>
      <c r="N826" t="s">
        <v>329</v>
      </c>
      <c r="O826" t="s">
        <v>330</v>
      </c>
      <c r="P826" t="s">
        <v>331</v>
      </c>
      <c r="U826">
        <v>0.48</v>
      </c>
      <c r="V826">
        <v>0.253</v>
      </c>
      <c r="W826" t="s">
        <v>399</v>
      </c>
      <c r="Y826" t="s">
        <v>332</v>
      </c>
      <c r="AB826" s="39" t="s">
        <v>333</v>
      </c>
      <c r="AC826" s="39" t="s">
        <v>334</v>
      </c>
      <c r="AD826" s="39">
        <v>46.171439999999997</v>
      </c>
      <c r="AE826" s="39">
        <v>-84.079989999999995</v>
      </c>
      <c r="AF826" s="18">
        <v>41038.896527777775</v>
      </c>
      <c r="AG826" s="19">
        <v>41038.763888888891</v>
      </c>
      <c r="AH826" t="s">
        <v>161</v>
      </c>
      <c r="AL826" t="s">
        <v>335</v>
      </c>
      <c r="AM826" s="20">
        <v>41036</v>
      </c>
      <c r="AR826" s="39" t="s">
        <v>400</v>
      </c>
      <c r="AS826" s="39"/>
      <c r="AT826" s="39">
        <v>200</v>
      </c>
      <c r="AZ826" t="s">
        <v>108</v>
      </c>
      <c r="BC826" t="s">
        <v>336</v>
      </c>
    </row>
    <row r="827" spans="1:71" x14ac:dyDescent="0.25">
      <c r="A827" t="str">
        <f t="shared" si="12"/>
        <v>A69-9002-7175</v>
      </c>
      <c r="B827" t="s">
        <v>398</v>
      </c>
      <c r="C827" t="s">
        <v>324</v>
      </c>
      <c r="D827" t="s">
        <v>325</v>
      </c>
      <c r="F827">
        <v>7175</v>
      </c>
      <c r="G827" t="s">
        <v>326</v>
      </c>
      <c r="H827" t="s">
        <v>327</v>
      </c>
      <c r="I827" s="20">
        <v>41036</v>
      </c>
      <c r="J827">
        <v>77</v>
      </c>
      <c r="L827" t="s">
        <v>109</v>
      </c>
      <c r="M827" t="s">
        <v>328</v>
      </c>
      <c r="N827" t="s">
        <v>329</v>
      </c>
      <c r="O827" t="s">
        <v>330</v>
      </c>
      <c r="P827" t="s">
        <v>331</v>
      </c>
      <c r="U827">
        <v>0.52</v>
      </c>
      <c r="V827">
        <v>0.25700000000000001</v>
      </c>
      <c r="W827" t="s">
        <v>399</v>
      </c>
      <c r="Y827" t="s">
        <v>332</v>
      </c>
      <c r="AB827" s="39" t="s">
        <v>333</v>
      </c>
      <c r="AC827" s="39" t="s">
        <v>334</v>
      </c>
      <c r="AD827" s="39">
        <v>46.171439999999997</v>
      </c>
      <c r="AE827" s="39">
        <v>-84.079989999999995</v>
      </c>
      <c r="AF827" s="18">
        <v>41038.896527777775</v>
      </c>
      <c r="AG827" s="19">
        <v>41038.763888888891</v>
      </c>
      <c r="AH827" t="s">
        <v>161</v>
      </c>
      <c r="AL827" t="s">
        <v>335</v>
      </c>
      <c r="AM827" s="20">
        <v>41036</v>
      </c>
      <c r="AR827" s="39" t="s">
        <v>400</v>
      </c>
      <c r="AS827" s="39"/>
      <c r="AT827" s="39">
        <v>200</v>
      </c>
      <c r="AZ827" t="s">
        <v>108</v>
      </c>
      <c r="BC827" t="s">
        <v>336</v>
      </c>
    </row>
    <row r="828" spans="1:71" x14ac:dyDescent="0.25">
      <c r="A828" t="str">
        <f t="shared" si="12"/>
        <v>A69-1601-4915</v>
      </c>
      <c r="B828" t="s">
        <v>398</v>
      </c>
      <c r="C828" t="s">
        <v>324</v>
      </c>
      <c r="D828" t="s">
        <v>345</v>
      </c>
      <c r="F828">
        <v>4915</v>
      </c>
      <c r="G828" t="s">
        <v>346</v>
      </c>
      <c r="H828" t="s">
        <v>327</v>
      </c>
      <c r="I828" s="20">
        <v>41043</v>
      </c>
      <c r="J828">
        <v>101</v>
      </c>
      <c r="L828" t="s">
        <v>109</v>
      </c>
      <c r="M828" t="s">
        <v>328</v>
      </c>
      <c r="N828" t="s">
        <v>329</v>
      </c>
      <c r="O828" t="s">
        <v>330</v>
      </c>
      <c r="P828" t="s">
        <v>429</v>
      </c>
      <c r="U828">
        <v>0.51</v>
      </c>
      <c r="V828">
        <v>0.28600000000000003</v>
      </c>
      <c r="W828" t="s">
        <v>399</v>
      </c>
      <c r="Y828" t="s">
        <v>337</v>
      </c>
      <c r="AB828" t="s">
        <v>343</v>
      </c>
      <c r="AC828" t="s">
        <v>342</v>
      </c>
      <c r="AD828" s="35">
        <v>46.306283333333297</v>
      </c>
      <c r="AE828" s="35">
        <v>-84.061216666666695</v>
      </c>
      <c r="AF828" s="18">
        <v>41046.958333333336</v>
      </c>
      <c r="AG828" s="19">
        <v>41038.763888888891</v>
      </c>
      <c r="AH828" t="s">
        <v>161</v>
      </c>
      <c r="AL828" t="s">
        <v>335</v>
      </c>
      <c r="AM828" s="20">
        <v>41043</v>
      </c>
      <c r="AR828" s="39" t="s">
        <v>400</v>
      </c>
      <c r="AS828" s="39"/>
      <c r="AT828" s="39">
        <v>200</v>
      </c>
      <c r="AZ828" t="s">
        <v>108</v>
      </c>
      <c r="BC828" t="s">
        <v>336</v>
      </c>
    </row>
    <row r="829" spans="1:71" x14ac:dyDescent="0.25">
      <c r="A829" t="str">
        <f t="shared" si="12"/>
        <v>A69-1601-4916</v>
      </c>
      <c r="B829" t="s">
        <v>398</v>
      </c>
      <c r="C829" t="s">
        <v>324</v>
      </c>
      <c r="D829" t="s">
        <v>345</v>
      </c>
      <c r="F829">
        <v>4916</v>
      </c>
      <c r="G829" t="s">
        <v>346</v>
      </c>
      <c r="H829" t="s">
        <v>327</v>
      </c>
      <c r="I829" s="20">
        <v>41043</v>
      </c>
      <c r="J829">
        <v>101</v>
      </c>
      <c r="L829" t="s">
        <v>109</v>
      </c>
      <c r="M829" t="s">
        <v>328</v>
      </c>
      <c r="N829" t="s">
        <v>329</v>
      </c>
      <c r="O829" t="s">
        <v>330</v>
      </c>
      <c r="P829" s="39" t="s">
        <v>429</v>
      </c>
      <c r="U829">
        <v>0.51</v>
      </c>
      <c r="V829">
        <v>0.30499999999999999</v>
      </c>
      <c r="W829" t="s">
        <v>399</v>
      </c>
      <c r="Y829" t="s">
        <v>337</v>
      </c>
      <c r="AB829" t="s">
        <v>343</v>
      </c>
      <c r="AC829" t="s">
        <v>342</v>
      </c>
      <c r="AD829" s="35">
        <v>46.306283333333297</v>
      </c>
      <c r="AE829" s="35">
        <v>-84.061216666666695</v>
      </c>
      <c r="AF829" s="18">
        <v>41046.958333333336</v>
      </c>
      <c r="AG829" s="19">
        <v>41038.763888888891</v>
      </c>
      <c r="AH829" t="s">
        <v>161</v>
      </c>
      <c r="AL829" t="s">
        <v>335</v>
      </c>
      <c r="AM829" s="20">
        <v>41043</v>
      </c>
      <c r="AR829" s="39" t="s">
        <v>400</v>
      </c>
      <c r="AS829" s="39"/>
      <c r="AT829" s="39">
        <v>200</v>
      </c>
      <c r="AZ829" t="s">
        <v>108</v>
      </c>
      <c r="BC829" t="s">
        <v>336</v>
      </c>
    </row>
    <row r="830" spans="1:71" x14ac:dyDescent="0.25">
      <c r="A830" t="str">
        <f t="shared" si="12"/>
        <v>A69-1601-4910</v>
      </c>
      <c r="B830" t="s">
        <v>398</v>
      </c>
      <c r="C830" t="s">
        <v>324</v>
      </c>
      <c r="D830" t="s">
        <v>345</v>
      </c>
      <c r="F830">
        <v>4910</v>
      </c>
      <c r="G830" t="s">
        <v>346</v>
      </c>
      <c r="H830" t="s">
        <v>327</v>
      </c>
      <c r="I830" s="20">
        <v>41043</v>
      </c>
      <c r="J830">
        <v>101</v>
      </c>
      <c r="L830" t="s">
        <v>109</v>
      </c>
      <c r="M830" t="s">
        <v>328</v>
      </c>
      <c r="N830" t="s">
        <v>329</v>
      </c>
      <c r="O830" t="s">
        <v>330</v>
      </c>
      <c r="P830" s="39" t="s">
        <v>429</v>
      </c>
      <c r="U830">
        <v>0.53</v>
      </c>
      <c r="V830">
        <v>0.3</v>
      </c>
      <c r="W830" t="s">
        <v>399</v>
      </c>
      <c r="Y830" t="s">
        <v>337</v>
      </c>
      <c r="AB830" t="s">
        <v>343</v>
      </c>
      <c r="AC830" t="s">
        <v>342</v>
      </c>
      <c r="AD830" s="35">
        <v>46.306283333333297</v>
      </c>
      <c r="AE830" s="35">
        <v>-84.061216666666695</v>
      </c>
      <c r="AF830" s="18">
        <v>41046.958333333336</v>
      </c>
      <c r="AG830" s="19">
        <v>41038.763888888891</v>
      </c>
      <c r="AH830" t="s">
        <v>161</v>
      </c>
      <c r="AL830" t="s">
        <v>335</v>
      </c>
      <c r="AM830" s="20">
        <v>41043</v>
      </c>
      <c r="AR830" s="39" t="s">
        <v>400</v>
      </c>
      <c r="AS830" s="39"/>
      <c r="AT830" s="39">
        <v>200</v>
      </c>
      <c r="AZ830" t="s">
        <v>108</v>
      </c>
      <c r="BC830" t="s">
        <v>336</v>
      </c>
    </row>
    <row r="831" spans="1:71" x14ac:dyDescent="0.25">
      <c r="A831" t="str">
        <f t="shared" si="12"/>
        <v>A69-1601-4904</v>
      </c>
      <c r="B831" t="s">
        <v>398</v>
      </c>
      <c r="C831" t="s">
        <v>324</v>
      </c>
      <c r="D831" t="s">
        <v>345</v>
      </c>
      <c r="F831">
        <v>4904</v>
      </c>
      <c r="G831" t="s">
        <v>346</v>
      </c>
      <c r="H831" t="s">
        <v>327</v>
      </c>
      <c r="I831" s="20">
        <v>41043</v>
      </c>
      <c r="J831">
        <v>101</v>
      </c>
      <c r="L831" t="s">
        <v>109</v>
      </c>
      <c r="M831" t="s">
        <v>328</v>
      </c>
      <c r="N831" t="s">
        <v>329</v>
      </c>
      <c r="O831" t="s">
        <v>330</v>
      </c>
      <c r="P831" s="39" t="s">
        <v>429</v>
      </c>
      <c r="U831">
        <v>0.45</v>
      </c>
      <c r="V831">
        <v>0.21199999999999999</v>
      </c>
      <c r="W831" t="s">
        <v>399</v>
      </c>
      <c r="Y831" t="s">
        <v>337</v>
      </c>
      <c r="AB831" t="s">
        <v>343</v>
      </c>
      <c r="AC831" t="s">
        <v>342</v>
      </c>
      <c r="AD831" s="35">
        <v>46.306283333333297</v>
      </c>
      <c r="AE831" s="35">
        <v>-84.061216666666695</v>
      </c>
      <c r="AF831" s="18">
        <v>41046.958333333336</v>
      </c>
      <c r="AG831" s="19">
        <v>41038.763888888891</v>
      </c>
      <c r="AH831" t="s">
        <v>161</v>
      </c>
      <c r="AL831" t="s">
        <v>335</v>
      </c>
      <c r="AM831" s="20">
        <v>41043</v>
      </c>
      <c r="AR831" s="39" t="s">
        <v>400</v>
      </c>
      <c r="AS831" s="39"/>
      <c r="AT831" s="39">
        <v>200</v>
      </c>
      <c r="AZ831" t="s">
        <v>108</v>
      </c>
      <c r="BC831" t="s">
        <v>336</v>
      </c>
    </row>
    <row r="832" spans="1:71" x14ac:dyDescent="0.25">
      <c r="A832" t="str">
        <f t="shared" si="12"/>
        <v>A69-1601-4898</v>
      </c>
      <c r="B832" t="s">
        <v>398</v>
      </c>
      <c r="C832" t="s">
        <v>324</v>
      </c>
      <c r="D832" t="s">
        <v>345</v>
      </c>
      <c r="F832">
        <v>4898</v>
      </c>
      <c r="G832" t="s">
        <v>346</v>
      </c>
      <c r="H832" t="s">
        <v>327</v>
      </c>
      <c r="I832" s="20">
        <v>41043</v>
      </c>
      <c r="J832">
        <v>101</v>
      </c>
      <c r="L832" t="s">
        <v>109</v>
      </c>
      <c r="M832" t="s">
        <v>328</v>
      </c>
      <c r="N832" t="s">
        <v>329</v>
      </c>
      <c r="O832" t="s">
        <v>330</v>
      </c>
      <c r="P832" s="39" t="s">
        <v>429</v>
      </c>
      <c r="U832">
        <v>0.49</v>
      </c>
      <c r="V832">
        <v>0.25700000000000001</v>
      </c>
      <c r="W832" t="s">
        <v>399</v>
      </c>
      <c r="Y832" t="s">
        <v>337</v>
      </c>
      <c r="AB832" t="s">
        <v>343</v>
      </c>
      <c r="AC832" t="s">
        <v>342</v>
      </c>
      <c r="AD832" s="35">
        <v>46.306283333333297</v>
      </c>
      <c r="AE832" s="35">
        <v>-84.061216666666695</v>
      </c>
      <c r="AF832" s="18">
        <v>41046.958333333336</v>
      </c>
      <c r="AG832" s="19">
        <v>41038.763888888891</v>
      </c>
      <c r="AH832" t="s">
        <v>161</v>
      </c>
      <c r="AL832" t="s">
        <v>335</v>
      </c>
      <c r="AM832" s="20">
        <v>41043</v>
      </c>
      <c r="AR832" s="39" t="s">
        <v>400</v>
      </c>
      <c r="AS832" s="39"/>
      <c r="AT832" s="39">
        <v>200</v>
      </c>
      <c r="AZ832" t="s">
        <v>108</v>
      </c>
      <c r="BC832" t="s">
        <v>336</v>
      </c>
    </row>
    <row r="833" spans="1:71" x14ac:dyDescent="0.25">
      <c r="A833" t="str">
        <f t="shared" si="12"/>
        <v>A69-1601-4892</v>
      </c>
      <c r="B833" t="s">
        <v>398</v>
      </c>
      <c r="C833" t="s">
        <v>324</v>
      </c>
      <c r="D833" t="s">
        <v>345</v>
      </c>
      <c r="F833">
        <v>4892</v>
      </c>
      <c r="G833" t="s">
        <v>346</v>
      </c>
      <c r="H833" t="s">
        <v>327</v>
      </c>
      <c r="I833" s="20">
        <v>41043</v>
      </c>
      <c r="J833">
        <v>101</v>
      </c>
      <c r="L833" t="s">
        <v>109</v>
      </c>
      <c r="M833" t="s">
        <v>328</v>
      </c>
      <c r="N833" t="s">
        <v>329</v>
      </c>
      <c r="O833" t="s">
        <v>330</v>
      </c>
      <c r="P833" s="39" t="s">
        <v>429</v>
      </c>
      <c r="U833">
        <v>0.52</v>
      </c>
      <c r="V833">
        <v>0.312</v>
      </c>
      <c r="W833" t="s">
        <v>399</v>
      </c>
      <c r="Y833" t="s">
        <v>337</v>
      </c>
      <c r="AB833" t="s">
        <v>343</v>
      </c>
      <c r="AC833" t="s">
        <v>342</v>
      </c>
      <c r="AD833" s="35">
        <v>46.306283333333297</v>
      </c>
      <c r="AE833" s="35">
        <v>-84.061216666666695</v>
      </c>
      <c r="AF833" s="18">
        <v>41046.958333333336</v>
      </c>
      <c r="AG833" s="19">
        <v>41038.763888888891</v>
      </c>
      <c r="AH833" t="s">
        <v>161</v>
      </c>
      <c r="AL833" t="s">
        <v>335</v>
      </c>
      <c r="AM833" s="20">
        <v>41043</v>
      </c>
      <c r="AR833" s="39" t="s">
        <v>400</v>
      </c>
      <c r="AS833" s="39"/>
      <c r="AT833" s="39">
        <v>200</v>
      </c>
      <c r="AZ833" t="s">
        <v>108</v>
      </c>
      <c r="BC833" t="s">
        <v>336</v>
      </c>
    </row>
    <row r="834" spans="1:71" x14ac:dyDescent="0.25">
      <c r="A834" t="str">
        <f t="shared" si="12"/>
        <v>A69-1601-4886</v>
      </c>
      <c r="B834" t="s">
        <v>398</v>
      </c>
      <c r="C834" t="s">
        <v>324</v>
      </c>
      <c r="D834" t="s">
        <v>345</v>
      </c>
      <c r="F834">
        <v>4886</v>
      </c>
      <c r="G834" t="s">
        <v>346</v>
      </c>
      <c r="H834" t="s">
        <v>327</v>
      </c>
      <c r="I834" s="20">
        <v>41043</v>
      </c>
      <c r="J834">
        <v>101</v>
      </c>
      <c r="L834" t="s">
        <v>109</v>
      </c>
      <c r="M834" t="s">
        <v>328</v>
      </c>
      <c r="N834" t="s">
        <v>329</v>
      </c>
      <c r="O834" t="s">
        <v>330</v>
      </c>
      <c r="P834" s="39" t="s">
        <v>429</v>
      </c>
      <c r="U834">
        <v>0.5</v>
      </c>
      <c r="V834">
        <v>0.28000000000000003</v>
      </c>
      <c r="W834" t="s">
        <v>399</v>
      </c>
      <c r="Y834" t="s">
        <v>337</v>
      </c>
      <c r="AB834" t="s">
        <v>343</v>
      </c>
      <c r="AC834" t="s">
        <v>342</v>
      </c>
      <c r="AD834" s="35">
        <v>46.306283333333297</v>
      </c>
      <c r="AE834" s="35">
        <v>-84.061216666666695</v>
      </c>
      <c r="AF834" s="18">
        <v>41046.958333333336</v>
      </c>
      <c r="AG834" s="19">
        <v>41038.763888888891</v>
      </c>
      <c r="AH834" t="s">
        <v>161</v>
      </c>
      <c r="AL834" t="s">
        <v>335</v>
      </c>
      <c r="AM834" s="20">
        <v>41043</v>
      </c>
      <c r="AR834" s="39" t="s">
        <v>400</v>
      </c>
      <c r="AS834" s="39"/>
      <c r="AT834" s="39">
        <v>200</v>
      </c>
      <c r="AZ834" t="s">
        <v>108</v>
      </c>
      <c r="BC834" t="s">
        <v>336</v>
      </c>
    </row>
    <row r="835" spans="1:71" x14ac:dyDescent="0.25">
      <c r="A835" t="str">
        <f t="shared" si="12"/>
        <v>A69-1601-4880</v>
      </c>
      <c r="B835" t="s">
        <v>398</v>
      </c>
      <c r="C835" t="s">
        <v>324</v>
      </c>
      <c r="D835" t="s">
        <v>345</v>
      </c>
      <c r="F835">
        <v>4880</v>
      </c>
      <c r="G835" t="s">
        <v>346</v>
      </c>
      <c r="H835" t="s">
        <v>327</v>
      </c>
      <c r="I835" s="20">
        <v>41043</v>
      </c>
      <c r="J835">
        <v>101</v>
      </c>
      <c r="L835" t="s">
        <v>109</v>
      </c>
      <c r="M835" t="s">
        <v>328</v>
      </c>
      <c r="N835" t="s">
        <v>329</v>
      </c>
      <c r="O835" t="s">
        <v>330</v>
      </c>
      <c r="P835" s="39" t="s">
        <v>429</v>
      </c>
      <c r="U835">
        <v>0.49</v>
      </c>
      <c r="V835">
        <v>0.28100000000000003</v>
      </c>
      <c r="W835" t="s">
        <v>399</v>
      </c>
      <c r="Y835" t="s">
        <v>337</v>
      </c>
      <c r="AB835" t="s">
        <v>343</v>
      </c>
      <c r="AC835" t="s">
        <v>342</v>
      </c>
      <c r="AD835" s="35">
        <v>46.306283333333297</v>
      </c>
      <c r="AE835" s="35">
        <v>-84.061216666666695</v>
      </c>
      <c r="AF835" s="18">
        <v>41046.958333333336</v>
      </c>
      <c r="AG835" s="19">
        <v>41038.763888888891</v>
      </c>
      <c r="AH835" t="s">
        <v>161</v>
      </c>
      <c r="AL835" t="s">
        <v>335</v>
      </c>
      <c r="AM835" s="20">
        <v>41043</v>
      </c>
      <c r="AR835" s="39" t="s">
        <v>400</v>
      </c>
      <c r="AS835" s="39"/>
      <c r="AT835" s="39">
        <v>200</v>
      </c>
      <c r="AZ835" t="s">
        <v>108</v>
      </c>
      <c r="BC835" t="s">
        <v>336</v>
      </c>
    </row>
    <row r="836" spans="1:71" x14ac:dyDescent="0.25">
      <c r="A836" t="str">
        <f t="shared" ref="A836:A899" si="13">CONCATENATE(G836,"-",F836)</f>
        <v>A69-1601-4874</v>
      </c>
      <c r="B836" t="s">
        <v>398</v>
      </c>
      <c r="C836" t="s">
        <v>324</v>
      </c>
      <c r="D836" t="s">
        <v>345</v>
      </c>
      <c r="F836">
        <v>4874</v>
      </c>
      <c r="G836" t="s">
        <v>346</v>
      </c>
      <c r="H836" t="s">
        <v>327</v>
      </c>
      <c r="I836" s="20">
        <v>41043</v>
      </c>
      <c r="J836">
        <v>101</v>
      </c>
      <c r="L836" t="s">
        <v>109</v>
      </c>
      <c r="M836" t="s">
        <v>328</v>
      </c>
      <c r="N836" t="s">
        <v>329</v>
      </c>
      <c r="O836" t="s">
        <v>330</v>
      </c>
      <c r="P836" s="39" t="s">
        <v>429</v>
      </c>
      <c r="U836">
        <v>0.52</v>
      </c>
      <c r="V836">
        <v>0.33100000000000002</v>
      </c>
      <c r="W836" t="s">
        <v>399</v>
      </c>
      <c r="Y836" t="s">
        <v>337</v>
      </c>
      <c r="AB836" t="s">
        <v>343</v>
      </c>
      <c r="AC836" t="s">
        <v>342</v>
      </c>
      <c r="AD836" s="35">
        <v>46.306283333333297</v>
      </c>
      <c r="AE836" s="35">
        <v>-84.061216666666695</v>
      </c>
      <c r="AF836" s="18">
        <v>41046.958333333336</v>
      </c>
      <c r="AG836" s="19">
        <v>41038.763888888891</v>
      </c>
      <c r="AH836" t="s">
        <v>161</v>
      </c>
      <c r="AL836" t="s">
        <v>335</v>
      </c>
      <c r="AM836" s="20">
        <v>41043</v>
      </c>
      <c r="AR836" s="39" t="s">
        <v>400</v>
      </c>
      <c r="AS836" s="39"/>
      <c r="AT836" s="39">
        <v>200</v>
      </c>
      <c r="AZ836" t="s">
        <v>108</v>
      </c>
      <c r="BC836" t="s">
        <v>336</v>
      </c>
    </row>
    <row r="837" spans="1:71" x14ac:dyDescent="0.25">
      <c r="A837" t="str">
        <f t="shared" si="13"/>
        <v>A69-1601-5108</v>
      </c>
      <c r="B837" t="s">
        <v>398</v>
      </c>
      <c r="C837" t="s">
        <v>324</v>
      </c>
      <c r="D837" t="s">
        <v>345</v>
      </c>
      <c r="F837">
        <v>5108</v>
      </c>
      <c r="G837" t="s">
        <v>346</v>
      </c>
      <c r="H837" t="s">
        <v>327</v>
      </c>
      <c r="I837" s="20">
        <v>41043</v>
      </c>
      <c r="J837">
        <v>101</v>
      </c>
      <c r="L837" t="s">
        <v>109</v>
      </c>
      <c r="M837" t="s">
        <v>328</v>
      </c>
      <c r="N837" t="s">
        <v>329</v>
      </c>
      <c r="O837" t="s">
        <v>330</v>
      </c>
      <c r="P837" s="39" t="s">
        <v>429</v>
      </c>
      <c r="U837">
        <v>0.42</v>
      </c>
      <c r="V837">
        <v>0.14100000000000001</v>
      </c>
      <c r="W837" t="s">
        <v>399</v>
      </c>
      <c r="Y837" t="s">
        <v>337</v>
      </c>
      <c r="AB837" t="s">
        <v>343</v>
      </c>
      <c r="AC837" t="s">
        <v>342</v>
      </c>
      <c r="AD837" s="35">
        <v>46.306283333333297</v>
      </c>
      <c r="AE837" s="35">
        <v>-84.061216666666695</v>
      </c>
      <c r="AF837" s="18">
        <v>41046.958333333336</v>
      </c>
      <c r="AG837" s="19">
        <v>41038.763888888891</v>
      </c>
      <c r="AH837" t="s">
        <v>161</v>
      </c>
      <c r="AL837" t="s">
        <v>335</v>
      </c>
      <c r="AM837" s="20">
        <v>41043</v>
      </c>
      <c r="AR837" s="39" t="s">
        <v>400</v>
      </c>
      <c r="AS837" s="39"/>
      <c r="AT837" s="39">
        <v>200</v>
      </c>
      <c r="AZ837" t="s">
        <v>108</v>
      </c>
      <c r="BC837" t="s">
        <v>336</v>
      </c>
    </row>
    <row r="838" spans="1:71" x14ac:dyDescent="0.25">
      <c r="A838" t="str">
        <f t="shared" si="13"/>
        <v>A69-1601-5102</v>
      </c>
      <c r="B838" t="s">
        <v>398</v>
      </c>
      <c r="C838" t="s">
        <v>324</v>
      </c>
      <c r="D838" t="s">
        <v>345</v>
      </c>
      <c r="F838">
        <v>5102</v>
      </c>
      <c r="G838" t="s">
        <v>346</v>
      </c>
      <c r="H838" t="s">
        <v>327</v>
      </c>
      <c r="I838" s="20">
        <v>41043</v>
      </c>
      <c r="J838">
        <v>101</v>
      </c>
      <c r="L838" t="s">
        <v>109</v>
      </c>
      <c r="M838" t="s">
        <v>328</v>
      </c>
      <c r="N838" t="s">
        <v>329</v>
      </c>
      <c r="O838" t="s">
        <v>330</v>
      </c>
      <c r="P838" s="39" t="s">
        <v>429</v>
      </c>
      <c r="U838">
        <v>0.49</v>
      </c>
      <c r="V838">
        <v>0.248</v>
      </c>
      <c r="W838" t="s">
        <v>399</v>
      </c>
      <c r="Y838" t="s">
        <v>337</v>
      </c>
      <c r="AB838" t="s">
        <v>343</v>
      </c>
      <c r="AC838" t="s">
        <v>342</v>
      </c>
      <c r="AD838" s="35">
        <v>46.306283333333297</v>
      </c>
      <c r="AE838" s="35">
        <v>-84.061216666666695</v>
      </c>
      <c r="AF838" s="18">
        <v>41046.958333333336</v>
      </c>
      <c r="AG838" s="19">
        <v>41038.763888888891</v>
      </c>
      <c r="AH838" t="s">
        <v>161</v>
      </c>
      <c r="AL838" t="s">
        <v>335</v>
      </c>
      <c r="AM838" s="20">
        <v>41043</v>
      </c>
      <c r="AR838" s="39" t="s">
        <v>400</v>
      </c>
      <c r="AS838" s="39"/>
      <c r="AT838" s="39">
        <v>200</v>
      </c>
      <c r="AZ838" t="s">
        <v>108</v>
      </c>
      <c r="BC838" t="s">
        <v>336</v>
      </c>
    </row>
    <row r="839" spans="1:71" x14ac:dyDescent="0.25">
      <c r="A839" t="str">
        <f t="shared" si="13"/>
        <v>A69-1601-5096</v>
      </c>
      <c r="B839" t="s">
        <v>398</v>
      </c>
      <c r="C839" t="s">
        <v>324</v>
      </c>
      <c r="D839" t="s">
        <v>345</v>
      </c>
      <c r="F839">
        <v>5096</v>
      </c>
      <c r="G839" t="s">
        <v>346</v>
      </c>
      <c r="H839" t="s">
        <v>327</v>
      </c>
      <c r="I839" s="20">
        <v>41043</v>
      </c>
      <c r="J839">
        <v>101</v>
      </c>
      <c r="L839" t="s">
        <v>109</v>
      </c>
      <c r="M839" t="s">
        <v>328</v>
      </c>
      <c r="N839" t="s">
        <v>329</v>
      </c>
      <c r="O839" t="s">
        <v>330</v>
      </c>
      <c r="P839" s="39" t="s">
        <v>429</v>
      </c>
      <c r="U839">
        <v>0.54</v>
      </c>
      <c r="V839">
        <v>0.317</v>
      </c>
      <c r="W839" t="s">
        <v>399</v>
      </c>
      <c r="Y839" t="s">
        <v>337</v>
      </c>
      <c r="AB839" t="s">
        <v>343</v>
      </c>
      <c r="AC839" t="s">
        <v>342</v>
      </c>
      <c r="AD839" s="35">
        <v>46.306283333333297</v>
      </c>
      <c r="AE839" s="35">
        <v>-84.061216666666695</v>
      </c>
      <c r="AF839" s="18">
        <v>41046.958333333336</v>
      </c>
      <c r="AG839" s="19">
        <v>41038.763888888891</v>
      </c>
      <c r="AH839" t="s">
        <v>161</v>
      </c>
      <c r="AL839" t="s">
        <v>335</v>
      </c>
      <c r="AM839" s="20">
        <v>41043</v>
      </c>
      <c r="AR839" s="39" t="s">
        <v>400</v>
      </c>
      <c r="AS839" s="39"/>
      <c r="AT839" s="39">
        <v>200</v>
      </c>
      <c r="AZ839" t="s">
        <v>108</v>
      </c>
      <c r="BC839" t="s">
        <v>336</v>
      </c>
    </row>
    <row r="840" spans="1:71" x14ac:dyDescent="0.25">
      <c r="A840" t="str">
        <f t="shared" si="13"/>
        <v>A69-1601-5084</v>
      </c>
      <c r="B840" t="s">
        <v>398</v>
      </c>
      <c r="C840" t="s">
        <v>324</v>
      </c>
      <c r="D840" t="s">
        <v>345</v>
      </c>
      <c r="F840">
        <v>5084</v>
      </c>
      <c r="G840" t="s">
        <v>346</v>
      </c>
      <c r="H840" t="s">
        <v>327</v>
      </c>
      <c r="I840" s="20">
        <v>41043</v>
      </c>
      <c r="J840">
        <v>101</v>
      </c>
      <c r="L840" t="s">
        <v>109</v>
      </c>
      <c r="M840" t="s">
        <v>328</v>
      </c>
      <c r="N840" t="s">
        <v>329</v>
      </c>
      <c r="O840" t="s">
        <v>330</v>
      </c>
      <c r="P840" s="39" t="s">
        <v>429</v>
      </c>
      <c r="U840">
        <v>0.53</v>
      </c>
      <c r="V840">
        <v>0.30599999999999999</v>
      </c>
      <c r="W840" t="s">
        <v>399</v>
      </c>
      <c r="Y840" t="s">
        <v>337</v>
      </c>
      <c r="AB840" t="s">
        <v>343</v>
      </c>
      <c r="AC840" t="s">
        <v>342</v>
      </c>
      <c r="AD840" s="35">
        <v>46.306283333333297</v>
      </c>
      <c r="AE840" s="35">
        <v>-84.061216666666695</v>
      </c>
      <c r="AF840" s="18">
        <v>41046.958333333336</v>
      </c>
      <c r="AG840" s="19">
        <v>41038.763888888891</v>
      </c>
      <c r="AH840" t="s">
        <v>161</v>
      </c>
      <c r="AL840" t="s">
        <v>335</v>
      </c>
      <c r="AM840" s="20">
        <v>41043</v>
      </c>
      <c r="AR840" s="39" t="s">
        <v>400</v>
      </c>
      <c r="AS840" s="39"/>
      <c r="AT840" s="39">
        <v>200</v>
      </c>
      <c r="AZ840" t="s">
        <v>108</v>
      </c>
      <c r="BC840" t="s">
        <v>336</v>
      </c>
    </row>
    <row r="841" spans="1:71" x14ac:dyDescent="0.25">
      <c r="A841" t="str">
        <f t="shared" si="13"/>
        <v>A69-1601-5072</v>
      </c>
      <c r="B841" t="s">
        <v>398</v>
      </c>
      <c r="C841" t="s">
        <v>324</v>
      </c>
      <c r="D841" t="s">
        <v>345</v>
      </c>
      <c r="F841">
        <v>5072</v>
      </c>
      <c r="G841" t="s">
        <v>346</v>
      </c>
      <c r="H841" t="s">
        <v>327</v>
      </c>
      <c r="I841" s="20">
        <v>41043</v>
      </c>
      <c r="J841">
        <v>101</v>
      </c>
      <c r="L841" t="s">
        <v>109</v>
      </c>
      <c r="M841" t="s">
        <v>328</v>
      </c>
      <c r="N841" t="s">
        <v>329</v>
      </c>
      <c r="O841" t="s">
        <v>330</v>
      </c>
      <c r="P841" s="39" t="s">
        <v>429</v>
      </c>
      <c r="U841">
        <v>0.53</v>
      </c>
      <c r="V841">
        <v>0.33300000000000002</v>
      </c>
      <c r="W841" t="s">
        <v>399</v>
      </c>
      <c r="Y841" t="s">
        <v>337</v>
      </c>
      <c r="AB841" t="s">
        <v>343</v>
      </c>
      <c r="AC841" t="s">
        <v>342</v>
      </c>
      <c r="AD841" s="35">
        <v>46.306283333333297</v>
      </c>
      <c r="AE841" s="35">
        <v>-84.061216666666695</v>
      </c>
      <c r="AF841" s="18">
        <v>41046.958333333336</v>
      </c>
      <c r="AG841" s="19">
        <v>41038.763888888891</v>
      </c>
      <c r="AH841" t="s">
        <v>161</v>
      </c>
      <c r="AL841" t="s">
        <v>335</v>
      </c>
      <c r="AM841" s="20">
        <v>41043</v>
      </c>
      <c r="AR841" s="39" t="s">
        <v>400</v>
      </c>
      <c r="AS841" s="39"/>
      <c r="AT841" s="39">
        <v>200</v>
      </c>
      <c r="AZ841" t="s">
        <v>108</v>
      </c>
      <c r="BC841" t="s">
        <v>336</v>
      </c>
    </row>
    <row r="842" spans="1:71" x14ac:dyDescent="0.25">
      <c r="A842" t="str">
        <f t="shared" si="13"/>
        <v>A69-1601-5078</v>
      </c>
      <c r="B842" t="s">
        <v>398</v>
      </c>
      <c r="C842" t="s">
        <v>324</v>
      </c>
      <c r="D842" t="s">
        <v>345</v>
      </c>
      <c r="F842">
        <v>5078</v>
      </c>
      <c r="G842" t="s">
        <v>346</v>
      </c>
      <c r="H842" t="s">
        <v>327</v>
      </c>
      <c r="I842" s="20">
        <v>41043</v>
      </c>
      <c r="J842">
        <v>101</v>
      </c>
      <c r="L842" t="s">
        <v>109</v>
      </c>
      <c r="M842" t="s">
        <v>328</v>
      </c>
      <c r="N842" t="s">
        <v>329</v>
      </c>
      <c r="O842" t="s">
        <v>330</v>
      </c>
      <c r="P842" s="39" t="s">
        <v>429</v>
      </c>
      <c r="U842">
        <v>0.5</v>
      </c>
      <c r="V842">
        <v>0.29199999999999998</v>
      </c>
      <c r="W842" t="s">
        <v>399</v>
      </c>
      <c r="Y842" t="s">
        <v>337</v>
      </c>
      <c r="AB842" t="s">
        <v>343</v>
      </c>
      <c r="AC842" t="s">
        <v>342</v>
      </c>
      <c r="AD842" s="35">
        <v>46.306283333333297</v>
      </c>
      <c r="AE842" s="35">
        <v>-84.061216666666695</v>
      </c>
      <c r="AF842" s="18">
        <v>41046.958333333336</v>
      </c>
      <c r="AG842" s="19">
        <v>41038.763888888891</v>
      </c>
      <c r="AH842" t="s">
        <v>161</v>
      </c>
      <c r="AL842" t="s">
        <v>335</v>
      </c>
      <c r="AM842" s="20">
        <v>41043</v>
      </c>
      <c r="AR842" s="39" t="s">
        <v>400</v>
      </c>
      <c r="AS842" s="39"/>
      <c r="AT842" s="39">
        <v>200</v>
      </c>
      <c r="AZ842" t="s">
        <v>108</v>
      </c>
      <c r="BC842" t="s">
        <v>336</v>
      </c>
    </row>
    <row r="843" spans="1:71" x14ac:dyDescent="0.25">
      <c r="A843" t="str">
        <f t="shared" si="13"/>
        <v>A69-1601-5066</v>
      </c>
      <c r="B843" t="s">
        <v>398</v>
      </c>
      <c r="C843" t="s">
        <v>324</v>
      </c>
      <c r="D843" t="s">
        <v>345</v>
      </c>
      <c r="F843">
        <v>5066</v>
      </c>
      <c r="G843" t="s">
        <v>346</v>
      </c>
      <c r="H843" t="s">
        <v>327</v>
      </c>
      <c r="I843" s="20">
        <v>41043</v>
      </c>
      <c r="J843">
        <v>101</v>
      </c>
      <c r="L843" t="s">
        <v>109</v>
      </c>
      <c r="M843" t="s">
        <v>328</v>
      </c>
      <c r="N843" t="s">
        <v>329</v>
      </c>
      <c r="O843" t="s">
        <v>330</v>
      </c>
      <c r="P843" s="39" t="s">
        <v>429</v>
      </c>
      <c r="U843">
        <v>0.55000000000000004</v>
      </c>
      <c r="V843">
        <v>0.41400000000000003</v>
      </c>
      <c r="W843" t="s">
        <v>399</v>
      </c>
      <c r="Y843" t="s">
        <v>337</v>
      </c>
      <c r="AB843" t="s">
        <v>343</v>
      </c>
      <c r="AC843" t="s">
        <v>342</v>
      </c>
      <c r="AD843" s="35">
        <v>46.306283333333297</v>
      </c>
      <c r="AE843" s="35">
        <v>-84.061216666666695</v>
      </c>
      <c r="AF843" s="18">
        <v>41046.958333333336</v>
      </c>
      <c r="AG843" s="19">
        <v>41038.763888888891</v>
      </c>
      <c r="AH843" t="s">
        <v>161</v>
      </c>
      <c r="AL843" t="s">
        <v>335</v>
      </c>
      <c r="AM843" s="20">
        <v>41043</v>
      </c>
      <c r="AR843" s="39" t="s">
        <v>400</v>
      </c>
      <c r="AS843" s="39"/>
      <c r="AT843" s="39">
        <v>200</v>
      </c>
      <c r="AZ843" t="s">
        <v>108</v>
      </c>
      <c r="BC843" t="s">
        <v>336</v>
      </c>
    </row>
    <row r="844" spans="1:71" x14ac:dyDescent="0.25">
      <c r="A844" t="str">
        <f t="shared" si="13"/>
        <v>A69-1601-5107</v>
      </c>
      <c r="B844" t="s">
        <v>398</v>
      </c>
      <c r="C844" t="s">
        <v>324</v>
      </c>
      <c r="D844" t="s">
        <v>345</v>
      </c>
      <c r="F844">
        <v>5107</v>
      </c>
      <c r="G844" t="s">
        <v>346</v>
      </c>
      <c r="H844" t="s">
        <v>327</v>
      </c>
      <c r="I844" s="20">
        <v>41043</v>
      </c>
      <c r="J844">
        <v>101</v>
      </c>
      <c r="L844" t="s">
        <v>109</v>
      </c>
      <c r="M844" t="s">
        <v>328</v>
      </c>
      <c r="N844" t="s">
        <v>329</v>
      </c>
      <c r="O844" t="s">
        <v>330</v>
      </c>
      <c r="P844" s="39" t="s">
        <v>429</v>
      </c>
      <c r="U844">
        <v>0.49</v>
      </c>
      <c r="V844">
        <v>0.27900000000000003</v>
      </c>
      <c r="W844" t="s">
        <v>399</v>
      </c>
      <c r="Y844" t="s">
        <v>337</v>
      </c>
      <c r="AB844" t="s">
        <v>343</v>
      </c>
      <c r="AC844" t="s">
        <v>342</v>
      </c>
      <c r="AD844" s="35">
        <v>46.306283333333297</v>
      </c>
      <c r="AE844" s="35">
        <v>-84.061216666666695</v>
      </c>
      <c r="AF844" s="18">
        <v>41046.958333333336</v>
      </c>
      <c r="AG844" s="19">
        <v>41038.763888888891</v>
      </c>
      <c r="AH844" t="s">
        <v>161</v>
      </c>
      <c r="AL844" t="s">
        <v>335</v>
      </c>
      <c r="AM844" s="20">
        <v>41043</v>
      </c>
      <c r="AR844" s="39" t="s">
        <v>400</v>
      </c>
      <c r="AS844" s="39"/>
      <c r="AT844" s="39">
        <v>200</v>
      </c>
      <c r="AZ844" t="s">
        <v>108</v>
      </c>
      <c r="BC844" t="s">
        <v>336</v>
      </c>
    </row>
    <row r="845" spans="1:71" x14ac:dyDescent="0.25">
      <c r="A845" t="str">
        <f t="shared" si="13"/>
        <v>A69-1601-5101</v>
      </c>
      <c r="B845" t="s">
        <v>398</v>
      </c>
      <c r="C845" t="s">
        <v>324</v>
      </c>
      <c r="D845" t="s">
        <v>345</v>
      </c>
      <c r="F845">
        <v>5101</v>
      </c>
      <c r="G845" t="s">
        <v>346</v>
      </c>
      <c r="H845" t="s">
        <v>327</v>
      </c>
      <c r="I845" s="20">
        <v>41043</v>
      </c>
      <c r="J845">
        <v>101</v>
      </c>
      <c r="L845" t="s">
        <v>109</v>
      </c>
      <c r="M845" t="s">
        <v>328</v>
      </c>
      <c r="N845" t="s">
        <v>329</v>
      </c>
      <c r="O845" t="s">
        <v>330</v>
      </c>
      <c r="P845" s="39" t="s">
        <v>429</v>
      </c>
      <c r="U845">
        <v>0.47000000000000003</v>
      </c>
      <c r="V845">
        <v>0.217</v>
      </c>
      <c r="W845" t="s">
        <v>399</v>
      </c>
      <c r="Y845" t="s">
        <v>337</v>
      </c>
      <c r="AB845" t="s">
        <v>343</v>
      </c>
      <c r="AC845" t="s">
        <v>342</v>
      </c>
      <c r="AD845" s="35">
        <v>46.306283333333297</v>
      </c>
      <c r="AE845" s="35">
        <v>-84.061216666666695</v>
      </c>
      <c r="AF845" s="18">
        <v>41046.958333333336</v>
      </c>
      <c r="AG845" s="19">
        <v>41038.763888888891</v>
      </c>
      <c r="AH845" t="s">
        <v>161</v>
      </c>
      <c r="AL845" t="s">
        <v>335</v>
      </c>
      <c r="AM845" s="20">
        <v>41043</v>
      </c>
      <c r="AR845" s="39" t="s">
        <v>400</v>
      </c>
      <c r="AS845" s="39"/>
      <c r="AT845" s="39">
        <v>200</v>
      </c>
      <c r="AZ845" t="s">
        <v>108</v>
      </c>
      <c r="BC845" t="s">
        <v>336</v>
      </c>
    </row>
    <row r="846" spans="1:71" x14ac:dyDescent="0.25">
      <c r="A846" t="str">
        <f t="shared" si="13"/>
        <v>A69-1601-5095</v>
      </c>
      <c r="B846" t="s">
        <v>398</v>
      </c>
      <c r="C846" t="s">
        <v>324</v>
      </c>
      <c r="D846" t="s">
        <v>345</v>
      </c>
      <c r="F846">
        <v>5095</v>
      </c>
      <c r="G846" t="s">
        <v>346</v>
      </c>
      <c r="H846" t="s">
        <v>327</v>
      </c>
      <c r="I846" s="20">
        <v>41043</v>
      </c>
      <c r="J846">
        <v>101</v>
      </c>
      <c r="L846" t="s">
        <v>109</v>
      </c>
      <c r="M846" t="s">
        <v>328</v>
      </c>
      <c r="N846" t="s">
        <v>329</v>
      </c>
      <c r="O846" t="s">
        <v>330</v>
      </c>
      <c r="P846" s="39" t="s">
        <v>429</v>
      </c>
      <c r="U846">
        <v>0.48</v>
      </c>
      <c r="V846">
        <v>0.25700000000000001</v>
      </c>
      <c r="W846" t="s">
        <v>399</v>
      </c>
      <c r="Y846" t="s">
        <v>337</v>
      </c>
      <c r="AB846" t="s">
        <v>343</v>
      </c>
      <c r="AC846" t="s">
        <v>342</v>
      </c>
      <c r="AD846" s="35">
        <v>46.306283333333297</v>
      </c>
      <c r="AE846" s="35">
        <v>-84.061216666666695</v>
      </c>
      <c r="AF846" s="18">
        <v>41046.958333333336</v>
      </c>
      <c r="AG846" s="19">
        <v>41038.763888888891</v>
      </c>
      <c r="AH846" t="s">
        <v>161</v>
      </c>
      <c r="AL846" t="s">
        <v>335</v>
      </c>
      <c r="AM846" s="20">
        <v>41043</v>
      </c>
      <c r="AR846" s="39" t="s">
        <v>400</v>
      </c>
      <c r="AS846" s="39"/>
      <c r="AT846" s="39">
        <v>200</v>
      </c>
      <c r="AZ846" t="s">
        <v>108</v>
      </c>
      <c r="BC846" t="s">
        <v>336</v>
      </c>
    </row>
    <row r="847" spans="1:71" x14ac:dyDescent="0.25">
      <c r="A847" t="str">
        <f t="shared" si="13"/>
        <v>A69-1601-5089</v>
      </c>
      <c r="B847" t="s">
        <v>398</v>
      </c>
      <c r="C847" t="s">
        <v>324</v>
      </c>
      <c r="D847" t="s">
        <v>345</v>
      </c>
      <c r="F847">
        <v>5089</v>
      </c>
      <c r="G847" t="s">
        <v>346</v>
      </c>
      <c r="H847" t="s">
        <v>327</v>
      </c>
      <c r="I847" s="20">
        <v>41043</v>
      </c>
      <c r="J847">
        <v>101</v>
      </c>
      <c r="L847" t="s">
        <v>109</v>
      </c>
      <c r="M847" t="s">
        <v>328</v>
      </c>
      <c r="N847" t="s">
        <v>329</v>
      </c>
      <c r="O847" t="s">
        <v>330</v>
      </c>
      <c r="P847" s="39" t="s">
        <v>429</v>
      </c>
      <c r="U847">
        <v>0.49</v>
      </c>
      <c r="V847">
        <v>0.26200000000000001</v>
      </c>
      <c r="W847" t="s">
        <v>399</v>
      </c>
      <c r="Y847" t="s">
        <v>337</v>
      </c>
      <c r="AB847" t="s">
        <v>343</v>
      </c>
      <c r="AC847" t="s">
        <v>342</v>
      </c>
      <c r="AD847" s="35">
        <v>46.306283333333297</v>
      </c>
      <c r="AE847" s="35">
        <v>-84.061216666666695</v>
      </c>
      <c r="AF847" s="18">
        <v>41046.958333333336</v>
      </c>
      <c r="AG847" s="19">
        <v>41038.763888888891</v>
      </c>
      <c r="AH847" t="s">
        <v>161</v>
      </c>
      <c r="AL847" t="s">
        <v>335</v>
      </c>
      <c r="AM847" s="20">
        <v>41043</v>
      </c>
      <c r="AR847" s="39" t="s">
        <v>400</v>
      </c>
      <c r="AS847" s="39"/>
      <c r="AT847" s="39">
        <v>200</v>
      </c>
      <c r="AZ847" t="s">
        <v>108</v>
      </c>
      <c r="BC847" t="s">
        <v>336</v>
      </c>
    </row>
    <row r="848" spans="1:71" x14ac:dyDescent="0.25">
      <c r="A848" t="str">
        <f t="shared" si="13"/>
        <v>A69-1601-5083</v>
      </c>
      <c r="B848" t="s">
        <v>398</v>
      </c>
      <c r="C848" t="s">
        <v>324</v>
      </c>
      <c r="D848" t="s">
        <v>345</v>
      </c>
      <c r="F848">
        <v>5083</v>
      </c>
      <c r="G848" t="s">
        <v>346</v>
      </c>
      <c r="H848" t="s">
        <v>327</v>
      </c>
      <c r="I848" s="20">
        <v>41043</v>
      </c>
      <c r="J848">
        <v>101</v>
      </c>
      <c r="L848" t="s">
        <v>109</v>
      </c>
      <c r="M848" t="s">
        <v>328</v>
      </c>
      <c r="N848" t="s">
        <v>329</v>
      </c>
      <c r="O848" t="s">
        <v>330</v>
      </c>
      <c r="P848" s="39" t="s">
        <v>429</v>
      </c>
      <c r="U848">
        <v>0.48</v>
      </c>
      <c r="V848">
        <v>0.23600000000000002</v>
      </c>
      <c r="W848" t="s">
        <v>399</v>
      </c>
      <c r="Y848" t="s">
        <v>337</v>
      </c>
      <c r="AB848" t="s">
        <v>343</v>
      </c>
      <c r="AC848" t="s">
        <v>342</v>
      </c>
      <c r="AD848" s="35">
        <v>46.306283333333297</v>
      </c>
      <c r="AE848" s="35">
        <v>-84.061216666666695</v>
      </c>
      <c r="AF848" s="18">
        <v>41046.958333333336</v>
      </c>
      <c r="AG848" s="19">
        <v>41038.763888888891</v>
      </c>
      <c r="AH848" t="s">
        <v>161</v>
      </c>
      <c r="AL848" t="s">
        <v>335</v>
      </c>
      <c r="AM848" s="20">
        <v>41043</v>
      </c>
      <c r="AR848" s="39" t="s">
        <v>400</v>
      </c>
      <c r="AS848" s="39"/>
      <c r="AT848" s="39">
        <v>200</v>
      </c>
      <c r="AZ848" t="s">
        <v>108</v>
      </c>
      <c r="BC848" t="s">
        <v>163</v>
      </c>
      <c r="BD848" s="20">
        <v>41068</v>
      </c>
      <c r="BF848" s="21" t="s">
        <v>406</v>
      </c>
      <c r="BG848" s="38" t="s">
        <v>113</v>
      </c>
      <c r="BH848" s="1" t="s">
        <v>408</v>
      </c>
      <c r="BI848" s="1">
        <v>46.514783999999999</v>
      </c>
      <c r="BJ848" s="1">
        <v>-84.346945000000005</v>
      </c>
      <c r="BK848" s="1" t="s">
        <v>404</v>
      </c>
      <c r="BL848" s="1" t="s">
        <v>163</v>
      </c>
      <c r="BM848" s="1" t="s">
        <v>163</v>
      </c>
      <c r="BN848" s="1" t="s">
        <v>427</v>
      </c>
      <c r="BO848" s="39">
        <v>871</v>
      </c>
      <c r="BP848" s="39">
        <v>871</v>
      </c>
      <c r="BQ848" s="39" t="s">
        <v>337</v>
      </c>
      <c r="BR848" s="39">
        <v>470</v>
      </c>
      <c r="BS848" s="39">
        <v>224</v>
      </c>
    </row>
    <row r="849" spans="1:71" x14ac:dyDescent="0.25">
      <c r="A849" t="str">
        <f t="shared" si="13"/>
        <v>A69-1601-5077</v>
      </c>
      <c r="B849" t="s">
        <v>398</v>
      </c>
      <c r="C849" t="s">
        <v>324</v>
      </c>
      <c r="D849" t="s">
        <v>345</v>
      </c>
      <c r="F849">
        <v>5077</v>
      </c>
      <c r="G849" t="s">
        <v>346</v>
      </c>
      <c r="H849" t="s">
        <v>327</v>
      </c>
      <c r="I849" s="20">
        <v>41043</v>
      </c>
      <c r="J849">
        <v>101</v>
      </c>
      <c r="L849" t="s">
        <v>109</v>
      </c>
      <c r="M849" t="s">
        <v>328</v>
      </c>
      <c r="N849" t="s">
        <v>329</v>
      </c>
      <c r="O849" t="s">
        <v>330</v>
      </c>
      <c r="P849" s="39" t="s">
        <v>429</v>
      </c>
      <c r="U849">
        <v>0.5</v>
      </c>
      <c r="V849">
        <v>0.28600000000000003</v>
      </c>
      <c r="W849" t="s">
        <v>399</v>
      </c>
      <c r="Y849" t="s">
        <v>332</v>
      </c>
      <c r="AB849" t="s">
        <v>343</v>
      </c>
      <c r="AC849" t="s">
        <v>342</v>
      </c>
      <c r="AD849" s="35">
        <v>46.306283333333297</v>
      </c>
      <c r="AE849" s="35">
        <v>-84.061216666666695</v>
      </c>
      <c r="AF849" s="18">
        <v>41046.958333333336</v>
      </c>
      <c r="AG849" s="19">
        <v>41038.763888888891</v>
      </c>
      <c r="AH849" t="s">
        <v>161</v>
      </c>
      <c r="AL849" t="s">
        <v>335</v>
      </c>
      <c r="AM849" s="20">
        <v>41043</v>
      </c>
      <c r="AR849" s="39" t="s">
        <v>400</v>
      </c>
      <c r="AS849" s="39"/>
      <c r="AT849" s="39">
        <v>200</v>
      </c>
      <c r="AZ849" t="s">
        <v>108</v>
      </c>
      <c r="BC849" t="s">
        <v>336</v>
      </c>
    </row>
    <row r="850" spans="1:71" x14ac:dyDescent="0.25">
      <c r="A850" t="str">
        <f t="shared" si="13"/>
        <v>A69-1601-5071</v>
      </c>
      <c r="B850" t="s">
        <v>398</v>
      </c>
      <c r="C850" t="s">
        <v>324</v>
      </c>
      <c r="D850" t="s">
        <v>345</v>
      </c>
      <c r="F850">
        <v>5071</v>
      </c>
      <c r="G850" t="s">
        <v>346</v>
      </c>
      <c r="H850" t="s">
        <v>327</v>
      </c>
      <c r="I850" s="20">
        <v>41043</v>
      </c>
      <c r="J850">
        <v>101</v>
      </c>
      <c r="L850" t="s">
        <v>109</v>
      </c>
      <c r="M850" t="s">
        <v>328</v>
      </c>
      <c r="N850" t="s">
        <v>329</v>
      </c>
      <c r="O850" t="s">
        <v>330</v>
      </c>
      <c r="P850" s="39" t="s">
        <v>429</v>
      </c>
      <c r="U850">
        <v>0.51</v>
      </c>
      <c r="V850">
        <v>0.28000000000000003</v>
      </c>
      <c r="W850" t="s">
        <v>399</v>
      </c>
      <c r="Y850" t="s">
        <v>337</v>
      </c>
      <c r="AB850" t="s">
        <v>343</v>
      </c>
      <c r="AC850" t="s">
        <v>342</v>
      </c>
      <c r="AD850" s="35">
        <v>46.306283333333297</v>
      </c>
      <c r="AE850" s="35">
        <v>-84.061216666666695</v>
      </c>
      <c r="AF850" s="18">
        <v>41046.958333333336</v>
      </c>
      <c r="AG850" s="19">
        <v>41038.763888888891</v>
      </c>
      <c r="AH850" t="s">
        <v>161</v>
      </c>
      <c r="AL850" t="s">
        <v>335</v>
      </c>
      <c r="AM850" s="20">
        <v>41043</v>
      </c>
      <c r="AR850" s="39" t="s">
        <v>400</v>
      </c>
      <c r="AS850" s="39"/>
      <c r="AT850" s="39">
        <v>200</v>
      </c>
      <c r="AZ850" t="s">
        <v>108</v>
      </c>
      <c r="BC850" t="s">
        <v>336</v>
      </c>
    </row>
    <row r="851" spans="1:71" x14ac:dyDescent="0.25">
      <c r="A851" t="str">
        <f t="shared" si="13"/>
        <v>A69-1601-5065</v>
      </c>
      <c r="B851" t="s">
        <v>398</v>
      </c>
      <c r="C851" t="s">
        <v>324</v>
      </c>
      <c r="D851" t="s">
        <v>345</v>
      </c>
      <c r="F851">
        <v>5065</v>
      </c>
      <c r="G851" t="s">
        <v>346</v>
      </c>
      <c r="H851" t="s">
        <v>327</v>
      </c>
      <c r="I851" s="20">
        <v>41043</v>
      </c>
      <c r="J851">
        <v>101</v>
      </c>
      <c r="L851" t="s">
        <v>109</v>
      </c>
      <c r="M851" t="s">
        <v>328</v>
      </c>
      <c r="N851" t="s">
        <v>329</v>
      </c>
      <c r="O851" t="s">
        <v>330</v>
      </c>
      <c r="P851" s="39" t="s">
        <v>429</v>
      </c>
      <c r="U851">
        <v>0.48</v>
      </c>
      <c r="V851">
        <v>0.27100000000000002</v>
      </c>
      <c r="W851" t="s">
        <v>399</v>
      </c>
      <c r="Y851" t="s">
        <v>337</v>
      </c>
      <c r="AB851" t="s">
        <v>343</v>
      </c>
      <c r="AC851" t="s">
        <v>342</v>
      </c>
      <c r="AD851" s="35">
        <v>46.306283333333297</v>
      </c>
      <c r="AE851" s="35">
        <v>-84.061216666666695</v>
      </c>
      <c r="AF851" s="18">
        <v>41046.958333333336</v>
      </c>
      <c r="AG851" s="19">
        <v>41038.763888888891</v>
      </c>
      <c r="AH851" t="s">
        <v>161</v>
      </c>
      <c r="AL851" t="s">
        <v>335</v>
      </c>
      <c r="AM851" s="20">
        <v>41043</v>
      </c>
      <c r="AR851" s="39" t="s">
        <v>400</v>
      </c>
      <c r="AS851" s="39"/>
      <c r="AT851" s="39">
        <v>200</v>
      </c>
      <c r="AZ851" t="s">
        <v>108</v>
      </c>
      <c r="BC851" t="s">
        <v>163</v>
      </c>
      <c r="BD851" s="20">
        <v>41083</v>
      </c>
      <c r="BF851" s="21" t="s">
        <v>406</v>
      </c>
      <c r="BG851" s="38" t="s">
        <v>113</v>
      </c>
      <c r="BH851" s="1" t="s">
        <v>408</v>
      </c>
      <c r="BI851" s="1">
        <v>46.514783999999999</v>
      </c>
      <c r="BJ851" s="1">
        <v>-84.346945000000005</v>
      </c>
      <c r="BK851" s="1" t="s">
        <v>404</v>
      </c>
      <c r="BL851" s="1" t="s">
        <v>336</v>
      </c>
      <c r="BQ851" s="39" t="s">
        <v>337</v>
      </c>
      <c r="BR851" s="39">
        <v>526</v>
      </c>
      <c r="BS851" s="39">
        <v>319</v>
      </c>
    </row>
    <row r="852" spans="1:71" x14ac:dyDescent="0.25">
      <c r="A852" t="str">
        <f t="shared" si="13"/>
        <v>A69-1601-5106</v>
      </c>
      <c r="B852" t="s">
        <v>398</v>
      </c>
      <c r="C852" t="s">
        <v>324</v>
      </c>
      <c r="D852" t="s">
        <v>345</v>
      </c>
      <c r="F852">
        <v>5106</v>
      </c>
      <c r="G852" t="s">
        <v>346</v>
      </c>
      <c r="H852" t="s">
        <v>327</v>
      </c>
      <c r="I852" s="20">
        <v>41043</v>
      </c>
      <c r="J852">
        <v>101</v>
      </c>
      <c r="L852" t="s">
        <v>109</v>
      </c>
      <c r="M852" t="s">
        <v>328</v>
      </c>
      <c r="N852" t="s">
        <v>329</v>
      </c>
      <c r="O852" t="s">
        <v>330</v>
      </c>
      <c r="P852" s="39" t="s">
        <v>429</v>
      </c>
      <c r="U852">
        <v>0.48</v>
      </c>
      <c r="V852">
        <v>0.27100000000000002</v>
      </c>
      <c r="W852" t="s">
        <v>399</v>
      </c>
      <c r="Y852" t="s">
        <v>337</v>
      </c>
      <c r="AB852" t="s">
        <v>343</v>
      </c>
      <c r="AC852" t="s">
        <v>342</v>
      </c>
      <c r="AD852" s="35">
        <v>46.306283333333297</v>
      </c>
      <c r="AE852" s="35">
        <v>-84.061216666666695</v>
      </c>
      <c r="AF852" s="18">
        <v>41046.958333333336</v>
      </c>
      <c r="AG852" s="19">
        <v>41038.763888888891</v>
      </c>
      <c r="AH852" t="s">
        <v>161</v>
      </c>
      <c r="AL852" t="s">
        <v>335</v>
      </c>
      <c r="AM852" s="20">
        <v>41043</v>
      </c>
      <c r="AR852" s="39" t="s">
        <v>400</v>
      </c>
      <c r="AS852" s="39"/>
      <c r="AT852" s="39">
        <v>200</v>
      </c>
      <c r="AZ852" t="s">
        <v>108</v>
      </c>
      <c r="BC852" t="s">
        <v>163</v>
      </c>
      <c r="BD852" s="20">
        <v>41072</v>
      </c>
      <c r="BF852" s="21" t="s">
        <v>406</v>
      </c>
      <c r="BG852" s="38" t="s">
        <v>113</v>
      </c>
      <c r="BH852" s="1" t="s">
        <v>408</v>
      </c>
      <c r="BI852" s="1">
        <v>46.514783999999999</v>
      </c>
      <c r="BJ852" s="1">
        <v>-84.346945000000005</v>
      </c>
      <c r="BK852" s="1" t="s">
        <v>404</v>
      </c>
      <c r="BL852" s="1" t="s">
        <v>336</v>
      </c>
      <c r="BQ852" s="39" t="s">
        <v>337</v>
      </c>
      <c r="BR852" s="39">
        <v>460</v>
      </c>
      <c r="BS852" s="39">
        <v>246</v>
      </c>
    </row>
    <row r="853" spans="1:71" x14ac:dyDescent="0.25">
      <c r="A853" t="str">
        <f t="shared" si="13"/>
        <v>A69-1601-5100</v>
      </c>
      <c r="B853" t="s">
        <v>398</v>
      </c>
      <c r="C853" t="s">
        <v>324</v>
      </c>
      <c r="D853" t="s">
        <v>345</v>
      </c>
      <c r="F853">
        <v>5100</v>
      </c>
      <c r="G853" t="s">
        <v>346</v>
      </c>
      <c r="H853" t="s">
        <v>327</v>
      </c>
      <c r="I853" s="20">
        <v>41043</v>
      </c>
      <c r="J853">
        <v>101</v>
      </c>
      <c r="L853" t="s">
        <v>109</v>
      </c>
      <c r="M853" t="s">
        <v>328</v>
      </c>
      <c r="N853" t="s">
        <v>329</v>
      </c>
      <c r="O853" t="s">
        <v>330</v>
      </c>
      <c r="P853" s="39" t="s">
        <v>429</v>
      </c>
      <c r="U853">
        <v>0.53</v>
      </c>
      <c r="V853">
        <v>0.307</v>
      </c>
      <c r="W853" t="s">
        <v>399</v>
      </c>
      <c r="Y853" t="s">
        <v>332</v>
      </c>
      <c r="AB853" t="s">
        <v>343</v>
      </c>
      <c r="AC853" t="s">
        <v>342</v>
      </c>
      <c r="AD853" s="35">
        <v>46.306283333333297</v>
      </c>
      <c r="AE853" s="35">
        <v>-84.061216666666695</v>
      </c>
      <c r="AF853" s="18">
        <v>41046.958333333336</v>
      </c>
      <c r="AG853" s="19">
        <v>41038.763888888891</v>
      </c>
      <c r="AH853" t="s">
        <v>161</v>
      </c>
      <c r="AL853" t="s">
        <v>335</v>
      </c>
      <c r="AM853" s="20">
        <v>41043</v>
      </c>
      <c r="AR853" s="39" t="s">
        <v>400</v>
      </c>
      <c r="AS853" s="39"/>
      <c r="AT853" s="39">
        <v>200</v>
      </c>
      <c r="AZ853" t="s">
        <v>108</v>
      </c>
      <c r="BC853" t="s">
        <v>163</v>
      </c>
      <c r="BD853" s="20">
        <v>41071</v>
      </c>
      <c r="BF853" s="21" t="s">
        <v>406</v>
      </c>
      <c r="BG853" s="38" t="s">
        <v>113</v>
      </c>
      <c r="BH853" s="1" t="s">
        <v>408</v>
      </c>
      <c r="BI853" s="1">
        <v>46.514783999999999</v>
      </c>
      <c r="BJ853" s="1">
        <v>-84.346945000000005</v>
      </c>
      <c r="BK853" s="1" t="s">
        <v>404</v>
      </c>
      <c r="BL853" s="1" t="s">
        <v>336</v>
      </c>
      <c r="BQ853" s="39" t="s">
        <v>332</v>
      </c>
      <c r="BR853" s="39">
        <v>510</v>
      </c>
      <c r="BS853" s="39">
        <v>282</v>
      </c>
    </row>
    <row r="854" spans="1:71" x14ac:dyDescent="0.25">
      <c r="A854" t="str">
        <f t="shared" si="13"/>
        <v>A69-1601-5094</v>
      </c>
      <c r="B854" t="s">
        <v>398</v>
      </c>
      <c r="C854" t="s">
        <v>324</v>
      </c>
      <c r="D854" t="s">
        <v>345</v>
      </c>
      <c r="F854">
        <v>5094</v>
      </c>
      <c r="G854" t="s">
        <v>346</v>
      </c>
      <c r="H854" t="s">
        <v>327</v>
      </c>
      <c r="I854" s="20">
        <v>41043</v>
      </c>
      <c r="J854">
        <v>101</v>
      </c>
      <c r="L854" t="s">
        <v>109</v>
      </c>
      <c r="M854" t="s">
        <v>328</v>
      </c>
      <c r="N854" t="s">
        <v>329</v>
      </c>
      <c r="O854" t="s">
        <v>330</v>
      </c>
      <c r="P854" s="39" t="s">
        <v>429</v>
      </c>
      <c r="U854">
        <v>0.49</v>
      </c>
      <c r="V854">
        <v>0.245</v>
      </c>
      <c r="W854" t="s">
        <v>399</v>
      </c>
      <c r="Y854" t="s">
        <v>332</v>
      </c>
      <c r="AB854" t="s">
        <v>343</v>
      </c>
      <c r="AC854" t="s">
        <v>342</v>
      </c>
      <c r="AD854" s="35">
        <v>46.306283333333297</v>
      </c>
      <c r="AE854" s="35">
        <v>-84.061216666666695</v>
      </c>
      <c r="AF854" s="18">
        <v>41046.958333333336</v>
      </c>
      <c r="AG854" s="19">
        <v>41038.763888888891</v>
      </c>
      <c r="AH854" t="s">
        <v>161</v>
      </c>
      <c r="AL854" t="s">
        <v>335</v>
      </c>
      <c r="AM854" s="20">
        <v>41043</v>
      </c>
      <c r="AR854" s="39" t="s">
        <v>400</v>
      </c>
      <c r="AS854" s="39"/>
      <c r="AT854" s="39">
        <v>200</v>
      </c>
      <c r="AZ854" t="s">
        <v>108</v>
      </c>
      <c r="BC854" t="s">
        <v>336</v>
      </c>
    </row>
    <row r="855" spans="1:71" x14ac:dyDescent="0.25">
      <c r="A855" t="str">
        <f t="shared" si="13"/>
        <v>A69-1601-5088</v>
      </c>
      <c r="B855" t="s">
        <v>398</v>
      </c>
      <c r="C855" t="s">
        <v>324</v>
      </c>
      <c r="D855" t="s">
        <v>345</v>
      </c>
      <c r="F855">
        <v>5088</v>
      </c>
      <c r="G855" t="s">
        <v>346</v>
      </c>
      <c r="H855" t="s">
        <v>327</v>
      </c>
      <c r="I855" s="20">
        <v>41043</v>
      </c>
      <c r="J855">
        <v>101</v>
      </c>
      <c r="L855" t="s">
        <v>109</v>
      </c>
      <c r="M855" t="s">
        <v>328</v>
      </c>
      <c r="N855" t="s">
        <v>329</v>
      </c>
      <c r="O855" t="s">
        <v>330</v>
      </c>
      <c r="P855" s="39" t="s">
        <v>429</v>
      </c>
      <c r="U855">
        <v>0.53</v>
      </c>
      <c r="V855">
        <v>0.30399999999999999</v>
      </c>
      <c r="W855" t="s">
        <v>399</v>
      </c>
      <c r="Y855" t="s">
        <v>332</v>
      </c>
      <c r="AB855" t="s">
        <v>343</v>
      </c>
      <c r="AC855" t="s">
        <v>342</v>
      </c>
      <c r="AD855" s="35">
        <v>46.306283333333297</v>
      </c>
      <c r="AE855" s="35">
        <v>-84.061216666666695</v>
      </c>
      <c r="AF855" s="18">
        <v>41046.958333333336</v>
      </c>
      <c r="AG855" s="19">
        <v>41038.763888888891</v>
      </c>
      <c r="AH855" t="s">
        <v>161</v>
      </c>
      <c r="AL855" t="s">
        <v>335</v>
      </c>
      <c r="AM855" s="20">
        <v>41043</v>
      </c>
      <c r="AR855" s="39" t="s">
        <v>400</v>
      </c>
      <c r="AS855" s="39"/>
      <c r="AT855" s="39">
        <v>200</v>
      </c>
      <c r="AZ855" t="s">
        <v>108</v>
      </c>
      <c r="BC855" t="s">
        <v>336</v>
      </c>
    </row>
    <row r="856" spans="1:71" x14ac:dyDescent="0.25">
      <c r="A856" t="str">
        <f t="shared" si="13"/>
        <v>A69-1601-5082</v>
      </c>
      <c r="B856" t="s">
        <v>398</v>
      </c>
      <c r="C856" t="s">
        <v>324</v>
      </c>
      <c r="D856" t="s">
        <v>345</v>
      </c>
      <c r="F856">
        <v>5082</v>
      </c>
      <c r="G856" t="s">
        <v>346</v>
      </c>
      <c r="H856" t="s">
        <v>327</v>
      </c>
      <c r="I856" s="20">
        <v>41043</v>
      </c>
      <c r="J856">
        <v>101</v>
      </c>
      <c r="L856" t="s">
        <v>109</v>
      </c>
      <c r="M856" t="s">
        <v>328</v>
      </c>
      <c r="N856" t="s">
        <v>329</v>
      </c>
      <c r="O856" t="s">
        <v>330</v>
      </c>
      <c r="P856" s="39" t="s">
        <v>429</v>
      </c>
      <c r="U856">
        <v>0.53</v>
      </c>
      <c r="V856">
        <v>0.32400000000000001</v>
      </c>
      <c r="W856" t="s">
        <v>399</v>
      </c>
      <c r="Y856" t="s">
        <v>332</v>
      </c>
      <c r="AB856" t="s">
        <v>343</v>
      </c>
      <c r="AC856" t="s">
        <v>342</v>
      </c>
      <c r="AD856" s="35">
        <v>46.306283333333297</v>
      </c>
      <c r="AE856" s="35">
        <v>-84.061216666666695</v>
      </c>
      <c r="AF856" s="18">
        <v>41046.958333333336</v>
      </c>
      <c r="AG856" s="19">
        <v>41038.763888888891</v>
      </c>
      <c r="AH856" t="s">
        <v>161</v>
      </c>
      <c r="AL856" t="s">
        <v>335</v>
      </c>
      <c r="AM856" s="20">
        <v>41043</v>
      </c>
      <c r="AR856" s="39" t="s">
        <v>400</v>
      </c>
      <c r="AS856" s="39"/>
      <c r="AT856" s="39">
        <v>200</v>
      </c>
      <c r="AZ856" t="s">
        <v>108</v>
      </c>
      <c r="BC856" t="s">
        <v>336</v>
      </c>
    </row>
    <row r="857" spans="1:71" x14ac:dyDescent="0.25">
      <c r="A857" t="str">
        <f t="shared" si="13"/>
        <v>A69-1601-5076</v>
      </c>
      <c r="B857" t="s">
        <v>398</v>
      </c>
      <c r="C857" t="s">
        <v>324</v>
      </c>
      <c r="D857" t="s">
        <v>345</v>
      </c>
      <c r="F857">
        <v>5076</v>
      </c>
      <c r="G857" t="s">
        <v>346</v>
      </c>
      <c r="H857" t="s">
        <v>327</v>
      </c>
      <c r="I857" s="20">
        <v>41043</v>
      </c>
      <c r="J857">
        <v>101</v>
      </c>
      <c r="L857" t="s">
        <v>109</v>
      </c>
      <c r="M857" t="s">
        <v>328</v>
      </c>
      <c r="N857" t="s">
        <v>329</v>
      </c>
      <c r="O857" t="s">
        <v>330</v>
      </c>
      <c r="P857" s="39" t="s">
        <v>429</v>
      </c>
      <c r="U857">
        <v>0.41000000000000003</v>
      </c>
      <c r="V857">
        <v>0.17500000000000002</v>
      </c>
      <c r="W857" t="s">
        <v>399</v>
      </c>
      <c r="Y857" t="s">
        <v>332</v>
      </c>
      <c r="AB857" t="s">
        <v>343</v>
      </c>
      <c r="AC857" t="s">
        <v>342</v>
      </c>
      <c r="AD857" s="35">
        <v>46.306283333333297</v>
      </c>
      <c r="AE857" s="35">
        <v>-84.061216666666695</v>
      </c>
      <c r="AF857" s="18">
        <v>41046.958333333336</v>
      </c>
      <c r="AG857" s="19">
        <v>41038.763888888891</v>
      </c>
      <c r="AH857" t="s">
        <v>161</v>
      </c>
      <c r="AL857" t="s">
        <v>335</v>
      </c>
      <c r="AM857" s="20">
        <v>41043</v>
      </c>
      <c r="AR857" s="39" t="s">
        <v>400</v>
      </c>
      <c r="AS857" s="39"/>
      <c r="AT857" s="39">
        <v>200</v>
      </c>
      <c r="AZ857" t="s">
        <v>108</v>
      </c>
      <c r="BC857" t="s">
        <v>336</v>
      </c>
    </row>
    <row r="858" spans="1:71" x14ac:dyDescent="0.25">
      <c r="A858" t="str">
        <f t="shared" si="13"/>
        <v>A69-1601-5070</v>
      </c>
      <c r="B858" t="s">
        <v>398</v>
      </c>
      <c r="C858" t="s">
        <v>324</v>
      </c>
      <c r="D858" t="s">
        <v>345</v>
      </c>
      <c r="F858">
        <v>5070</v>
      </c>
      <c r="G858" t="s">
        <v>346</v>
      </c>
      <c r="H858" t="s">
        <v>327</v>
      </c>
      <c r="I858" s="20">
        <v>41043</v>
      </c>
      <c r="J858">
        <v>101</v>
      </c>
      <c r="L858" t="s">
        <v>109</v>
      </c>
      <c r="M858" t="s">
        <v>328</v>
      </c>
      <c r="N858" t="s">
        <v>329</v>
      </c>
      <c r="O858" t="s">
        <v>330</v>
      </c>
      <c r="P858" s="39" t="s">
        <v>429</v>
      </c>
      <c r="U858">
        <v>0.54</v>
      </c>
      <c r="V858">
        <v>0.32</v>
      </c>
      <c r="W858" t="s">
        <v>399</v>
      </c>
      <c r="Y858" t="s">
        <v>332</v>
      </c>
      <c r="AB858" t="s">
        <v>343</v>
      </c>
      <c r="AC858" t="s">
        <v>342</v>
      </c>
      <c r="AD858" s="35">
        <v>46.306283333333297</v>
      </c>
      <c r="AE858" s="35">
        <v>-84.061216666666695</v>
      </c>
      <c r="AF858" s="18">
        <v>41046.958333333336</v>
      </c>
      <c r="AG858" s="19">
        <v>41038.763888888891</v>
      </c>
      <c r="AH858" t="s">
        <v>161</v>
      </c>
      <c r="AL858" t="s">
        <v>335</v>
      </c>
      <c r="AM858" s="20">
        <v>41043</v>
      </c>
      <c r="AR858" s="39" t="s">
        <v>400</v>
      </c>
      <c r="AS858" s="39"/>
      <c r="AT858" s="39">
        <v>200</v>
      </c>
      <c r="AZ858" t="s">
        <v>108</v>
      </c>
      <c r="BC858" t="s">
        <v>336</v>
      </c>
    </row>
    <row r="859" spans="1:71" x14ac:dyDescent="0.25">
      <c r="A859" t="str">
        <f t="shared" si="13"/>
        <v>A69-1601-5064</v>
      </c>
      <c r="B859" t="s">
        <v>398</v>
      </c>
      <c r="C859" t="s">
        <v>324</v>
      </c>
      <c r="D859" t="s">
        <v>345</v>
      </c>
      <c r="F859">
        <v>5064</v>
      </c>
      <c r="G859" t="s">
        <v>346</v>
      </c>
      <c r="H859" t="s">
        <v>327</v>
      </c>
      <c r="I859" s="20">
        <v>41043</v>
      </c>
      <c r="J859">
        <v>101</v>
      </c>
      <c r="L859" t="s">
        <v>109</v>
      </c>
      <c r="M859" t="s">
        <v>328</v>
      </c>
      <c r="N859" t="s">
        <v>329</v>
      </c>
      <c r="O859" t="s">
        <v>330</v>
      </c>
      <c r="P859" s="39" t="s">
        <v>429</v>
      </c>
      <c r="U859">
        <v>0.56000000000000005</v>
      </c>
      <c r="V859">
        <v>0.36899999999999999</v>
      </c>
      <c r="W859" t="s">
        <v>399</v>
      </c>
      <c r="Y859" t="s">
        <v>337</v>
      </c>
      <c r="AB859" t="s">
        <v>343</v>
      </c>
      <c r="AC859" t="s">
        <v>342</v>
      </c>
      <c r="AD859" s="35">
        <v>46.306283333333297</v>
      </c>
      <c r="AE859" s="35">
        <v>-84.061216666666695</v>
      </c>
      <c r="AF859" s="18">
        <v>41046.958333333336</v>
      </c>
      <c r="AG859" s="19">
        <v>41038.763888888891</v>
      </c>
      <c r="AH859" t="s">
        <v>161</v>
      </c>
      <c r="AL859" t="s">
        <v>335</v>
      </c>
      <c r="AM859" s="20">
        <v>41043</v>
      </c>
      <c r="AR859" s="39" t="s">
        <v>400</v>
      </c>
      <c r="AS859" s="39"/>
      <c r="AT859" s="39">
        <v>200</v>
      </c>
      <c r="AZ859" t="s">
        <v>108</v>
      </c>
      <c r="BC859" t="s">
        <v>336</v>
      </c>
    </row>
    <row r="860" spans="1:71" x14ac:dyDescent="0.25">
      <c r="A860" t="str">
        <f t="shared" si="13"/>
        <v>A69-1601-5105</v>
      </c>
      <c r="B860" t="s">
        <v>398</v>
      </c>
      <c r="C860" t="s">
        <v>324</v>
      </c>
      <c r="D860" t="s">
        <v>345</v>
      </c>
      <c r="F860">
        <v>5105</v>
      </c>
      <c r="G860" t="s">
        <v>346</v>
      </c>
      <c r="H860" t="s">
        <v>327</v>
      </c>
      <c r="I860" s="20">
        <v>41043</v>
      </c>
      <c r="J860">
        <v>101</v>
      </c>
      <c r="L860" t="s">
        <v>109</v>
      </c>
      <c r="M860" t="s">
        <v>328</v>
      </c>
      <c r="N860" t="s">
        <v>329</v>
      </c>
      <c r="O860" t="s">
        <v>330</v>
      </c>
      <c r="P860" s="39" t="s">
        <v>429</v>
      </c>
      <c r="U860">
        <v>0.47000000000000003</v>
      </c>
      <c r="V860">
        <v>0.251</v>
      </c>
      <c r="W860" t="s">
        <v>399</v>
      </c>
      <c r="Y860" t="s">
        <v>332</v>
      </c>
      <c r="AB860" t="s">
        <v>343</v>
      </c>
      <c r="AC860" t="s">
        <v>342</v>
      </c>
      <c r="AD860" s="35">
        <v>46.306283333333297</v>
      </c>
      <c r="AE860" s="35">
        <v>-84.061216666666695</v>
      </c>
      <c r="AF860" s="18">
        <v>41046.958333333336</v>
      </c>
      <c r="AG860" s="19">
        <v>41038.763888888891</v>
      </c>
      <c r="AH860" t="s">
        <v>161</v>
      </c>
      <c r="AL860" t="s">
        <v>335</v>
      </c>
      <c r="AM860" s="20">
        <v>41043</v>
      </c>
      <c r="AR860" s="39" t="s">
        <v>400</v>
      </c>
      <c r="AS860" s="39"/>
      <c r="AT860" s="39">
        <v>200</v>
      </c>
      <c r="AZ860" t="s">
        <v>108</v>
      </c>
      <c r="BC860" t="s">
        <v>336</v>
      </c>
    </row>
    <row r="861" spans="1:71" x14ac:dyDescent="0.25">
      <c r="A861" t="str">
        <f t="shared" si="13"/>
        <v>A69-1601-5099</v>
      </c>
      <c r="B861" t="s">
        <v>398</v>
      </c>
      <c r="C861" t="s">
        <v>324</v>
      </c>
      <c r="D861" t="s">
        <v>345</v>
      </c>
      <c r="F861">
        <v>5099</v>
      </c>
      <c r="G861" t="s">
        <v>346</v>
      </c>
      <c r="H861" t="s">
        <v>327</v>
      </c>
      <c r="I861" s="20">
        <v>41043</v>
      </c>
      <c r="J861">
        <v>101</v>
      </c>
      <c r="L861" t="s">
        <v>109</v>
      </c>
      <c r="M861" t="s">
        <v>328</v>
      </c>
      <c r="N861" t="s">
        <v>329</v>
      </c>
      <c r="O861" t="s">
        <v>330</v>
      </c>
      <c r="P861" s="39" t="s">
        <v>429</v>
      </c>
      <c r="U861">
        <v>0.51</v>
      </c>
      <c r="V861">
        <v>0.32100000000000001</v>
      </c>
      <c r="W861" t="s">
        <v>399</v>
      </c>
      <c r="Y861" t="s">
        <v>332</v>
      </c>
      <c r="AB861" t="s">
        <v>343</v>
      </c>
      <c r="AC861" t="s">
        <v>342</v>
      </c>
      <c r="AD861" s="35">
        <v>46.306283333333297</v>
      </c>
      <c r="AE861" s="35">
        <v>-84.061216666666695</v>
      </c>
      <c r="AF861" s="18">
        <v>41046.958333333336</v>
      </c>
      <c r="AG861" s="19">
        <v>41038.763888888891</v>
      </c>
      <c r="AH861" t="s">
        <v>161</v>
      </c>
      <c r="AL861" t="s">
        <v>335</v>
      </c>
      <c r="AM861" s="20">
        <v>41043</v>
      </c>
      <c r="AR861" s="39" t="s">
        <v>400</v>
      </c>
      <c r="AS861" s="39"/>
      <c r="AT861" s="39">
        <v>200</v>
      </c>
      <c r="AZ861" t="s">
        <v>108</v>
      </c>
      <c r="BC861" t="s">
        <v>336</v>
      </c>
    </row>
    <row r="862" spans="1:71" x14ac:dyDescent="0.25">
      <c r="A862" t="str">
        <f t="shared" si="13"/>
        <v>A69-1601-5092</v>
      </c>
      <c r="B862" t="s">
        <v>398</v>
      </c>
      <c r="C862" t="s">
        <v>324</v>
      </c>
      <c r="D862" t="s">
        <v>345</v>
      </c>
      <c r="F862">
        <v>5092</v>
      </c>
      <c r="G862" t="s">
        <v>346</v>
      </c>
      <c r="H862" t="s">
        <v>327</v>
      </c>
      <c r="I862" s="20">
        <v>41043</v>
      </c>
      <c r="J862">
        <v>101</v>
      </c>
      <c r="L862" t="s">
        <v>109</v>
      </c>
      <c r="M862" t="s">
        <v>328</v>
      </c>
      <c r="N862" t="s">
        <v>329</v>
      </c>
      <c r="O862" t="s">
        <v>330</v>
      </c>
      <c r="P862" s="39" t="s">
        <v>429</v>
      </c>
      <c r="U862">
        <v>0.48</v>
      </c>
      <c r="V862">
        <v>0.26400000000000001</v>
      </c>
      <c r="W862" t="s">
        <v>399</v>
      </c>
      <c r="Y862" t="s">
        <v>332</v>
      </c>
      <c r="AB862" t="s">
        <v>343</v>
      </c>
      <c r="AC862" t="s">
        <v>342</v>
      </c>
      <c r="AD862" s="35">
        <v>46.306283333333297</v>
      </c>
      <c r="AE862" s="35">
        <v>-84.061216666666695</v>
      </c>
      <c r="AF862" s="18">
        <v>41046.958333333336</v>
      </c>
      <c r="AG862" s="19">
        <v>41038.763888888891</v>
      </c>
      <c r="AH862" t="s">
        <v>161</v>
      </c>
      <c r="AL862" t="s">
        <v>335</v>
      </c>
      <c r="AM862" s="20">
        <v>41043</v>
      </c>
      <c r="AR862" s="39" t="s">
        <v>400</v>
      </c>
      <c r="AS862" s="39"/>
      <c r="AT862" s="39">
        <v>200</v>
      </c>
      <c r="AZ862" t="s">
        <v>108</v>
      </c>
      <c r="BC862" t="s">
        <v>336</v>
      </c>
    </row>
    <row r="863" spans="1:71" x14ac:dyDescent="0.25">
      <c r="A863" t="str">
        <f t="shared" si="13"/>
        <v>A69-1601-5093</v>
      </c>
      <c r="B863" t="s">
        <v>398</v>
      </c>
      <c r="C863" t="s">
        <v>324</v>
      </c>
      <c r="D863" t="s">
        <v>345</v>
      </c>
      <c r="F863">
        <v>5093</v>
      </c>
      <c r="G863" t="s">
        <v>346</v>
      </c>
      <c r="H863" t="s">
        <v>327</v>
      </c>
      <c r="I863" s="20">
        <v>41043</v>
      </c>
      <c r="J863">
        <v>101</v>
      </c>
      <c r="L863" t="s">
        <v>109</v>
      </c>
      <c r="M863" t="s">
        <v>328</v>
      </c>
      <c r="N863" t="s">
        <v>329</v>
      </c>
      <c r="O863" t="s">
        <v>330</v>
      </c>
      <c r="P863" s="39" t="s">
        <v>429</v>
      </c>
      <c r="U863">
        <v>0.5</v>
      </c>
      <c r="V863">
        <v>0.27300000000000002</v>
      </c>
      <c r="W863" t="s">
        <v>399</v>
      </c>
      <c r="Y863" t="s">
        <v>332</v>
      </c>
      <c r="AB863" t="s">
        <v>343</v>
      </c>
      <c r="AC863" t="s">
        <v>342</v>
      </c>
      <c r="AD863" s="35">
        <v>46.306283333333297</v>
      </c>
      <c r="AE863" s="35">
        <v>-84.061216666666695</v>
      </c>
      <c r="AF863" s="18">
        <v>41046.958333333336</v>
      </c>
      <c r="AG863" s="19">
        <v>41038.763888888891</v>
      </c>
      <c r="AH863" t="s">
        <v>161</v>
      </c>
      <c r="AL863" t="s">
        <v>335</v>
      </c>
      <c r="AM863" s="20">
        <v>41043</v>
      </c>
      <c r="AR863" s="39" t="s">
        <v>400</v>
      </c>
      <c r="AS863" s="39"/>
      <c r="AT863" s="39">
        <v>200</v>
      </c>
      <c r="AZ863" t="s">
        <v>108</v>
      </c>
      <c r="BC863" t="s">
        <v>336</v>
      </c>
    </row>
    <row r="864" spans="1:71" x14ac:dyDescent="0.25">
      <c r="A864" t="str">
        <f t="shared" si="13"/>
        <v>A69-1601-5087</v>
      </c>
      <c r="B864" t="s">
        <v>398</v>
      </c>
      <c r="C864" t="s">
        <v>324</v>
      </c>
      <c r="D864" t="s">
        <v>345</v>
      </c>
      <c r="F864">
        <v>5087</v>
      </c>
      <c r="G864" t="s">
        <v>346</v>
      </c>
      <c r="H864" t="s">
        <v>327</v>
      </c>
      <c r="I864" s="20">
        <v>41043</v>
      </c>
      <c r="J864">
        <v>101</v>
      </c>
      <c r="L864" t="s">
        <v>109</v>
      </c>
      <c r="M864" t="s">
        <v>328</v>
      </c>
      <c r="N864" t="s">
        <v>329</v>
      </c>
      <c r="O864" t="s">
        <v>330</v>
      </c>
      <c r="P864" s="39" t="s">
        <v>429</v>
      </c>
      <c r="U864">
        <v>0.5</v>
      </c>
      <c r="V864">
        <v>0.28999999999999998</v>
      </c>
      <c r="W864" t="s">
        <v>399</v>
      </c>
      <c r="Y864" t="s">
        <v>332</v>
      </c>
      <c r="AB864" t="s">
        <v>343</v>
      </c>
      <c r="AC864" t="s">
        <v>342</v>
      </c>
      <c r="AD864" s="35">
        <v>46.306283333333297</v>
      </c>
      <c r="AE864" s="35">
        <v>-84.061216666666695</v>
      </c>
      <c r="AF864" s="18">
        <v>41046.958333333336</v>
      </c>
      <c r="AG864" s="19">
        <v>41038.763888888891</v>
      </c>
      <c r="AH864" t="s">
        <v>161</v>
      </c>
      <c r="AL864" t="s">
        <v>335</v>
      </c>
      <c r="AM864" s="20">
        <v>41043</v>
      </c>
      <c r="AR864" s="39" t="s">
        <v>400</v>
      </c>
      <c r="AS864" s="39"/>
      <c r="AT864" s="39">
        <v>200</v>
      </c>
      <c r="AZ864" t="s">
        <v>108</v>
      </c>
      <c r="BC864" t="s">
        <v>336</v>
      </c>
    </row>
    <row r="865" spans="1:55" x14ac:dyDescent="0.25">
      <c r="A865" t="str">
        <f t="shared" si="13"/>
        <v>A69-1601-5081</v>
      </c>
      <c r="B865" t="s">
        <v>398</v>
      </c>
      <c r="C865" t="s">
        <v>324</v>
      </c>
      <c r="D865" t="s">
        <v>345</v>
      </c>
      <c r="F865">
        <v>5081</v>
      </c>
      <c r="G865" t="s">
        <v>346</v>
      </c>
      <c r="H865" t="s">
        <v>327</v>
      </c>
      <c r="I865" s="20">
        <v>41043</v>
      </c>
      <c r="J865">
        <v>101</v>
      </c>
      <c r="L865" t="s">
        <v>109</v>
      </c>
      <c r="M865" t="s">
        <v>328</v>
      </c>
      <c r="N865" t="s">
        <v>329</v>
      </c>
      <c r="O865" t="s">
        <v>330</v>
      </c>
      <c r="P865" s="39" t="s">
        <v>429</v>
      </c>
      <c r="U865">
        <v>0.52</v>
      </c>
      <c r="V865">
        <v>0.313</v>
      </c>
      <c r="W865" t="s">
        <v>399</v>
      </c>
      <c r="Y865" t="s">
        <v>332</v>
      </c>
      <c r="AB865" t="s">
        <v>343</v>
      </c>
      <c r="AC865" t="s">
        <v>342</v>
      </c>
      <c r="AD865" s="35">
        <v>46.306283333333297</v>
      </c>
      <c r="AE865" s="35">
        <v>-84.061216666666695</v>
      </c>
      <c r="AF865" s="18">
        <v>41046.958333333336</v>
      </c>
      <c r="AG865" s="19">
        <v>41038.763888888891</v>
      </c>
      <c r="AH865" t="s">
        <v>161</v>
      </c>
      <c r="AL865" t="s">
        <v>335</v>
      </c>
      <c r="AM865" s="20">
        <v>41043</v>
      </c>
      <c r="AR865" s="39" t="s">
        <v>400</v>
      </c>
      <c r="AS865" s="39"/>
      <c r="AT865" s="39">
        <v>200</v>
      </c>
      <c r="AZ865" t="s">
        <v>108</v>
      </c>
      <c r="BC865" t="s">
        <v>336</v>
      </c>
    </row>
    <row r="866" spans="1:55" x14ac:dyDescent="0.25">
      <c r="A866" t="str">
        <f t="shared" si="13"/>
        <v>A69-1601-5104</v>
      </c>
      <c r="B866" t="s">
        <v>398</v>
      </c>
      <c r="C866" t="s">
        <v>324</v>
      </c>
      <c r="D866" t="s">
        <v>345</v>
      </c>
      <c r="F866">
        <v>5104</v>
      </c>
      <c r="G866" t="s">
        <v>346</v>
      </c>
      <c r="H866" t="s">
        <v>327</v>
      </c>
      <c r="I866" s="20">
        <v>41043</v>
      </c>
      <c r="J866">
        <v>101</v>
      </c>
      <c r="L866" t="s">
        <v>109</v>
      </c>
      <c r="M866" t="s">
        <v>328</v>
      </c>
      <c r="N866" t="s">
        <v>329</v>
      </c>
      <c r="O866" t="s">
        <v>330</v>
      </c>
      <c r="P866" s="39" t="s">
        <v>429</v>
      </c>
      <c r="U866">
        <v>0.55000000000000004</v>
      </c>
      <c r="V866">
        <v>0.311</v>
      </c>
      <c r="W866" t="s">
        <v>399</v>
      </c>
      <c r="Y866" t="s">
        <v>332</v>
      </c>
      <c r="AB866" t="s">
        <v>343</v>
      </c>
      <c r="AC866" t="s">
        <v>342</v>
      </c>
      <c r="AD866" s="35">
        <v>46.306283333333297</v>
      </c>
      <c r="AE866" s="35">
        <v>-84.061216666666695</v>
      </c>
      <c r="AF866" s="18">
        <v>41046.958333333336</v>
      </c>
      <c r="AG866" s="19">
        <v>41038.763888888891</v>
      </c>
      <c r="AH866" t="s">
        <v>161</v>
      </c>
      <c r="AL866" t="s">
        <v>335</v>
      </c>
      <c r="AM866" s="20">
        <v>41043</v>
      </c>
      <c r="AR866" s="39" t="s">
        <v>400</v>
      </c>
      <c r="AS866" s="39"/>
      <c r="AT866" s="39">
        <v>200</v>
      </c>
      <c r="AZ866" t="s">
        <v>108</v>
      </c>
      <c r="BC866" t="s">
        <v>336</v>
      </c>
    </row>
    <row r="867" spans="1:55" x14ac:dyDescent="0.25">
      <c r="A867" t="str">
        <f t="shared" si="13"/>
        <v>A69-1601-5103</v>
      </c>
      <c r="B867" t="s">
        <v>398</v>
      </c>
      <c r="C867" t="s">
        <v>324</v>
      </c>
      <c r="D867" t="s">
        <v>345</v>
      </c>
      <c r="F867">
        <v>5103</v>
      </c>
      <c r="G867" t="s">
        <v>346</v>
      </c>
      <c r="H867" t="s">
        <v>327</v>
      </c>
      <c r="I867" s="20">
        <v>41043</v>
      </c>
      <c r="J867">
        <v>101</v>
      </c>
      <c r="L867" t="s">
        <v>109</v>
      </c>
      <c r="M867" t="s">
        <v>328</v>
      </c>
      <c r="N867" t="s">
        <v>329</v>
      </c>
      <c r="O867" t="s">
        <v>330</v>
      </c>
      <c r="P867" s="39" t="s">
        <v>429</v>
      </c>
      <c r="U867">
        <v>0.53</v>
      </c>
      <c r="V867">
        <v>0.35499999999999998</v>
      </c>
      <c r="W867" t="s">
        <v>399</v>
      </c>
      <c r="Y867" t="s">
        <v>332</v>
      </c>
      <c r="AB867" t="s">
        <v>343</v>
      </c>
      <c r="AC867" t="s">
        <v>342</v>
      </c>
      <c r="AD867" s="35">
        <v>46.306283333333297</v>
      </c>
      <c r="AE867" s="35">
        <v>-84.061216666666695</v>
      </c>
      <c r="AF867" s="18">
        <v>41046.958333333336</v>
      </c>
      <c r="AG867" s="19">
        <v>41038.763888888891</v>
      </c>
      <c r="AH867" t="s">
        <v>161</v>
      </c>
      <c r="AL867" t="s">
        <v>335</v>
      </c>
      <c r="AM867" s="20">
        <v>41043</v>
      </c>
      <c r="AR867" s="39" t="s">
        <v>400</v>
      </c>
      <c r="AS867" s="39"/>
      <c r="AT867" s="39">
        <v>200</v>
      </c>
      <c r="AZ867" t="s">
        <v>108</v>
      </c>
      <c r="BC867" t="s">
        <v>336</v>
      </c>
    </row>
    <row r="868" spans="1:55" x14ac:dyDescent="0.25">
      <c r="A868" t="str">
        <f t="shared" si="13"/>
        <v>A69-1601-5098</v>
      </c>
      <c r="B868" t="s">
        <v>398</v>
      </c>
      <c r="C868" t="s">
        <v>324</v>
      </c>
      <c r="D868" t="s">
        <v>345</v>
      </c>
      <c r="F868">
        <v>5098</v>
      </c>
      <c r="G868" t="s">
        <v>346</v>
      </c>
      <c r="H868" t="s">
        <v>327</v>
      </c>
      <c r="I868" s="20">
        <v>41043</v>
      </c>
      <c r="J868">
        <v>101</v>
      </c>
      <c r="L868" t="s">
        <v>109</v>
      </c>
      <c r="M868" t="s">
        <v>328</v>
      </c>
      <c r="N868" t="s">
        <v>329</v>
      </c>
      <c r="O868" t="s">
        <v>330</v>
      </c>
      <c r="P868" s="39" t="s">
        <v>429</v>
      </c>
      <c r="U868">
        <v>0.56000000000000005</v>
      </c>
      <c r="V868">
        <v>0.35799999999999998</v>
      </c>
      <c r="W868" t="s">
        <v>399</v>
      </c>
      <c r="Y868" t="s">
        <v>332</v>
      </c>
      <c r="AB868" t="s">
        <v>343</v>
      </c>
      <c r="AC868" t="s">
        <v>342</v>
      </c>
      <c r="AD868" s="35">
        <v>46.306283333333297</v>
      </c>
      <c r="AE868" s="35">
        <v>-84.061216666666695</v>
      </c>
      <c r="AF868" s="18">
        <v>41046.958333333336</v>
      </c>
      <c r="AG868" s="19">
        <v>41038.763888888891</v>
      </c>
      <c r="AH868" t="s">
        <v>161</v>
      </c>
      <c r="AL868" t="s">
        <v>335</v>
      </c>
      <c r="AM868" s="20">
        <v>41043</v>
      </c>
      <c r="AR868" s="39" t="s">
        <v>400</v>
      </c>
      <c r="AS868" s="39"/>
      <c r="AT868" s="39">
        <v>200</v>
      </c>
      <c r="AZ868" t="s">
        <v>108</v>
      </c>
      <c r="BC868" t="s">
        <v>336</v>
      </c>
    </row>
    <row r="869" spans="1:55" x14ac:dyDescent="0.25">
      <c r="A869" t="str">
        <f t="shared" si="13"/>
        <v>A69-1601-5097</v>
      </c>
      <c r="B869" t="s">
        <v>398</v>
      </c>
      <c r="C869" t="s">
        <v>324</v>
      </c>
      <c r="D869" t="s">
        <v>345</v>
      </c>
      <c r="F869">
        <v>5097</v>
      </c>
      <c r="G869" t="s">
        <v>346</v>
      </c>
      <c r="H869" t="s">
        <v>327</v>
      </c>
      <c r="I869" s="20">
        <v>41043</v>
      </c>
      <c r="J869">
        <v>101</v>
      </c>
      <c r="L869" t="s">
        <v>109</v>
      </c>
      <c r="M869" t="s">
        <v>328</v>
      </c>
      <c r="N869" t="s">
        <v>329</v>
      </c>
      <c r="O869" t="s">
        <v>330</v>
      </c>
      <c r="P869" s="39" t="s">
        <v>429</v>
      </c>
      <c r="U869">
        <v>0.5</v>
      </c>
      <c r="V869">
        <v>0.27600000000000002</v>
      </c>
      <c r="W869" t="s">
        <v>399</v>
      </c>
      <c r="Y869" t="s">
        <v>332</v>
      </c>
      <c r="AB869" t="s">
        <v>343</v>
      </c>
      <c r="AC869" t="s">
        <v>342</v>
      </c>
      <c r="AD869" s="35">
        <v>46.306283333333297</v>
      </c>
      <c r="AE869" s="35">
        <v>-84.061216666666695</v>
      </c>
      <c r="AF869" s="18">
        <v>41046.958333333336</v>
      </c>
      <c r="AG869" s="19">
        <v>41038.763888888891</v>
      </c>
      <c r="AH869" t="s">
        <v>161</v>
      </c>
      <c r="AL869" t="s">
        <v>335</v>
      </c>
      <c r="AM869" s="20">
        <v>41043</v>
      </c>
      <c r="AR869" s="39" t="s">
        <v>400</v>
      </c>
      <c r="AS869" s="39"/>
      <c r="AT869" s="39">
        <v>200</v>
      </c>
      <c r="AZ869" t="s">
        <v>108</v>
      </c>
      <c r="BC869" t="s">
        <v>336</v>
      </c>
    </row>
    <row r="870" spans="1:55" x14ac:dyDescent="0.25">
      <c r="A870" t="str">
        <f t="shared" si="13"/>
        <v>A69-1601-5091</v>
      </c>
      <c r="B870" t="s">
        <v>398</v>
      </c>
      <c r="C870" t="s">
        <v>324</v>
      </c>
      <c r="D870" t="s">
        <v>345</v>
      </c>
      <c r="F870">
        <v>5091</v>
      </c>
      <c r="G870" t="s">
        <v>346</v>
      </c>
      <c r="H870" t="s">
        <v>327</v>
      </c>
      <c r="I870" s="20">
        <v>41043</v>
      </c>
      <c r="J870">
        <v>101</v>
      </c>
      <c r="L870" t="s">
        <v>109</v>
      </c>
      <c r="M870" t="s">
        <v>328</v>
      </c>
      <c r="N870" t="s">
        <v>329</v>
      </c>
      <c r="O870" t="s">
        <v>330</v>
      </c>
      <c r="P870" s="39" t="s">
        <v>429</v>
      </c>
      <c r="U870">
        <v>0.51</v>
      </c>
      <c r="V870">
        <v>0.27700000000000002</v>
      </c>
      <c r="W870" t="s">
        <v>399</v>
      </c>
      <c r="Y870" t="s">
        <v>332</v>
      </c>
      <c r="AB870" t="s">
        <v>343</v>
      </c>
      <c r="AC870" t="s">
        <v>342</v>
      </c>
      <c r="AD870" s="35">
        <v>46.306283333333297</v>
      </c>
      <c r="AE870" s="35">
        <v>-84.061216666666695</v>
      </c>
      <c r="AF870" s="18">
        <v>41046.958333333336</v>
      </c>
      <c r="AG870" s="19">
        <v>41038.763888888891</v>
      </c>
      <c r="AH870" t="s">
        <v>161</v>
      </c>
      <c r="AL870" t="s">
        <v>335</v>
      </c>
      <c r="AM870" s="20">
        <v>41043</v>
      </c>
      <c r="AR870" s="39" t="s">
        <v>400</v>
      </c>
      <c r="AS870" s="39"/>
      <c r="AT870" s="39">
        <v>200</v>
      </c>
      <c r="AZ870" t="s">
        <v>108</v>
      </c>
      <c r="BC870" t="s">
        <v>336</v>
      </c>
    </row>
    <row r="871" spans="1:55" x14ac:dyDescent="0.25">
      <c r="A871" t="str">
        <f t="shared" si="13"/>
        <v>A69-1601-5086</v>
      </c>
      <c r="B871" t="s">
        <v>398</v>
      </c>
      <c r="C871" t="s">
        <v>324</v>
      </c>
      <c r="D871" t="s">
        <v>345</v>
      </c>
      <c r="F871">
        <v>5086</v>
      </c>
      <c r="G871" t="s">
        <v>346</v>
      </c>
      <c r="H871" t="s">
        <v>327</v>
      </c>
      <c r="I871" s="20">
        <v>41043</v>
      </c>
      <c r="J871">
        <v>101</v>
      </c>
      <c r="L871" t="s">
        <v>109</v>
      </c>
      <c r="M871" t="s">
        <v>328</v>
      </c>
      <c r="N871" t="s">
        <v>329</v>
      </c>
      <c r="O871" t="s">
        <v>330</v>
      </c>
      <c r="P871" s="39" t="s">
        <v>429</v>
      </c>
      <c r="U871">
        <v>0.53</v>
      </c>
      <c r="V871">
        <v>0.32600000000000001</v>
      </c>
      <c r="W871" t="s">
        <v>399</v>
      </c>
      <c r="Y871" t="s">
        <v>332</v>
      </c>
      <c r="AB871" t="s">
        <v>343</v>
      </c>
      <c r="AC871" t="s">
        <v>342</v>
      </c>
      <c r="AD871" s="35">
        <v>46.306283333333297</v>
      </c>
      <c r="AE871" s="35">
        <v>-84.061216666666695</v>
      </c>
      <c r="AF871" s="18">
        <v>41046.958333333336</v>
      </c>
      <c r="AG871" s="19">
        <v>41038.763888888891</v>
      </c>
      <c r="AH871" t="s">
        <v>161</v>
      </c>
      <c r="AL871" t="s">
        <v>335</v>
      </c>
      <c r="AM871" s="20">
        <v>41043</v>
      </c>
      <c r="AR871" s="39" t="s">
        <v>400</v>
      </c>
      <c r="AS871" s="39"/>
      <c r="AT871" s="39">
        <v>200</v>
      </c>
      <c r="AZ871" t="s">
        <v>108</v>
      </c>
      <c r="BC871" t="s">
        <v>336</v>
      </c>
    </row>
    <row r="872" spans="1:55" x14ac:dyDescent="0.25">
      <c r="A872" t="str">
        <f t="shared" si="13"/>
        <v>A69-1601-5085</v>
      </c>
      <c r="B872" t="s">
        <v>398</v>
      </c>
      <c r="C872" t="s">
        <v>324</v>
      </c>
      <c r="D872" t="s">
        <v>345</v>
      </c>
      <c r="F872">
        <v>5085</v>
      </c>
      <c r="G872" t="s">
        <v>346</v>
      </c>
      <c r="H872" t="s">
        <v>327</v>
      </c>
      <c r="I872" s="20">
        <v>41043</v>
      </c>
      <c r="J872">
        <v>101</v>
      </c>
      <c r="L872" t="s">
        <v>109</v>
      </c>
      <c r="M872" t="s">
        <v>328</v>
      </c>
      <c r="N872" t="s">
        <v>329</v>
      </c>
      <c r="O872" t="s">
        <v>330</v>
      </c>
      <c r="P872" s="39" t="s">
        <v>429</v>
      </c>
      <c r="U872">
        <v>0.54</v>
      </c>
      <c r="V872">
        <v>0.35499999999999998</v>
      </c>
      <c r="W872" t="s">
        <v>399</v>
      </c>
      <c r="Y872" t="s">
        <v>332</v>
      </c>
      <c r="AB872" t="s">
        <v>343</v>
      </c>
      <c r="AC872" t="s">
        <v>342</v>
      </c>
      <c r="AD872" s="35">
        <v>46.306283333333297</v>
      </c>
      <c r="AE872" s="35">
        <v>-84.061216666666695</v>
      </c>
      <c r="AF872" s="18">
        <v>41046.958333333336</v>
      </c>
      <c r="AG872" s="19">
        <v>41038.763888888891</v>
      </c>
      <c r="AH872" t="s">
        <v>161</v>
      </c>
      <c r="AL872" t="s">
        <v>335</v>
      </c>
      <c r="AM872" s="20">
        <v>41043</v>
      </c>
      <c r="AR872" s="39" t="s">
        <v>400</v>
      </c>
      <c r="AS872" s="39"/>
      <c r="AT872" s="39">
        <v>200</v>
      </c>
      <c r="AZ872" t="s">
        <v>108</v>
      </c>
      <c r="BC872" t="s">
        <v>336</v>
      </c>
    </row>
    <row r="873" spans="1:55" x14ac:dyDescent="0.25">
      <c r="A873" t="str">
        <f t="shared" si="13"/>
        <v>A69-1601-5080</v>
      </c>
      <c r="B873" t="s">
        <v>398</v>
      </c>
      <c r="C873" t="s">
        <v>324</v>
      </c>
      <c r="D873" t="s">
        <v>345</v>
      </c>
      <c r="F873">
        <v>5080</v>
      </c>
      <c r="G873" t="s">
        <v>346</v>
      </c>
      <c r="H873" t="s">
        <v>327</v>
      </c>
      <c r="I873" s="20">
        <v>41043</v>
      </c>
      <c r="J873">
        <v>101</v>
      </c>
      <c r="L873" t="s">
        <v>109</v>
      </c>
      <c r="M873" t="s">
        <v>328</v>
      </c>
      <c r="N873" t="s">
        <v>329</v>
      </c>
      <c r="O873" t="s">
        <v>330</v>
      </c>
      <c r="P873" s="39" t="s">
        <v>429</v>
      </c>
      <c r="U873">
        <v>0.51</v>
      </c>
      <c r="V873">
        <v>0.308</v>
      </c>
      <c r="W873" t="s">
        <v>399</v>
      </c>
      <c r="Y873" t="s">
        <v>332</v>
      </c>
      <c r="AB873" t="s">
        <v>343</v>
      </c>
      <c r="AC873" t="s">
        <v>342</v>
      </c>
      <c r="AD873" s="35">
        <v>46.306283333333297</v>
      </c>
      <c r="AE873" s="35">
        <v>-84.061216666666695</v>
      </c>
      <c r="AF873" s="18">
        <v>41046.958333333336</v>
      </c>
      <c r="AG873" s="19">
        <v>41038.763888888891</v>
      </c>
      <c r="AH873" t="s">
        <v>161</v>
      </c>
      <c r="AL873" t="s">
        <v>335</v>
      </c>
      <c r="AM873" s="20">
        <v>41043</v>
      </c>
      <c r="AR873" s="39" t="s">
        <v>400</v>
      </c>
      <c r="AS873" s="39"/>
      <c r="AT873" s="39">
        <v>200</v>
      </c>
      <c r="AZ873" t="s">
        <v>108</v>
      </c>
      <c r="BC873" t="s">
        <v>336</v>
      </c>
    </row>
    <row r="874" spans="1:55" x14ac:dyDescent="0.25">
      <c r="A874" t="str">
        <f t="shared" si="13"/>
        <v>A69-1601-5079</v>
      </c>
      <c r="B874" t="s">
        <v>398</v>
      </c>
      <c r="C874" t="s">
        <v>324</v>
      </c>
      <c r="D874" t="s">
        <v>345</v>
      </c>
      <c r="F874">
        <v>5079</v>
      </c>
      <c r="G874" t="s">
        <v>346</v>
      </c>
      <c r="H874" t="s">
        <v>327</v>
      </c>
      <c r="I874" s="20">
        <v>41043</v>
      </c>
      <c r="J874">
        <v>101</v>
      </c>
      <c r="L874" t="s">
        <v>109</v>
      </c>
      <c r="M874" t="s">
        <v>328</v>
      </c>
      <c r="N874" t="s">
        <v>329</v>
      </c>
      <c r="O874" t="s">
        <v>330</v>
      </c>
      <c r="P874" s="39" t="s">
        <v>429</v>
      </c>
      <c r="U874">
        <v>0.5</v>
      </c>
      <c r="V874">
        <v>0.223</v>
      </c>
      <c r="W874" t="s">
        <v>399</v>
      </c>
      <c r="Y874" t="s">
        <v>332</v>
      </c>
      <c r="AB874" t="s">
        <v>343</v>
      </c>
      <c r="AC874" t="s">
        <v>342</v>
      </c>
      <c r="AD874" s="35">
        <v>46.306283333333297</v>
      </c>
      <c r="AE874" s="35">
        <v>-84.061216666666695</v>
      </c>
      <c r="AF874" s="18">
        <v>41046.958333333336</v>
      </c>
      <c r="AG874" s="19">
        <v>41038.763888888891</v>
      </c>
      <c r="AH874" t="s">
        <v>161</v>
      </c>
      <c r="AL874" t="s">
        <v>335</v>
      </c>
      <c r="AM874" s="20">
        <v>41043</v>
      </c>
      <c r="AR874" s="39" t="s">
        <v>400</v>
      </c>
      <c r="AS874" s="39"/>
      <c r="AT874" s="39">
        <v>200</v>
      </c>
      <c r="AZ874" t="s">
        <v>108</v>
      </c>
      <c r="BC874" t="s">
        <v>336</v>
      </c>
    </row>
    <row r="875" spans="1:55" x14ac:dyDescent="0.25">
      <c r="A875" t="str">
        <f t="shared" si="13"/>
        <v>A69-1601-5075</v>
      </c>
      <c r="B875" t="s">
        <v>398</v>
      </c>
      <c r="C875" t="s">
        <v>324</v>
      </c>
      <c r="D875" t="s">
        <v>345</v>
      </c>
      <c r="F875">
        <v>5075</v>
      </c>
      <c r="G875" t="s">
        <v>346</v>
      </c>
      <c r="H875" t="s">
        <v>327</v>
      </c>
      <c r="I875" s="20">
        <v>41043</v>
      </c>
      <c r="J875">
        <v>101</v>
      </c>
      <c r="L875" t="s">
        <v>109</v>
      </c>
      <c r="M875" t="s">
        <v>328</v>
      </c>
      <c r="N875" t="s">
        <v>329</v>
      </c>
      <c r="O875" t="s">
        <v>330</v>
      </c>
      <c r="P875" s="39" t="s">
        <v>429</v>
      </c>
      <c r="U875">
        <v>0.49</v>
      </c>
      <c r="V875">
        <v>0.23</v>
      </c>
      <c r="W875" t="s">
        <v>399</v>
      </c>
      <c r="Y875" t="s">
        <v>332</v>
      </c>
      <c r="AB875" t="s">
        <v>343</v>
      </c>
      <c r="AC875" t="s">
        <v>342</v>
      </c>
      <c r="AD875" s="35">
        <v>46.306283333333297</v>
      </c>
      <c r="AE875" s="35">
        <v>-84.061216666666695</v>
      </c>
      <c r="AF875" s="18">
        <v>41046.958333333336</v>
      </c>
      <c r="AG875" s="19">
        <v>41038.763888888891</v>
      </c>
      <c r="AH875" t="s">
        <v>161</v>
      </c>
      <c r="AL875" t="s">
        <v>335</v>
      </c>
      <c r="AM875" s="20">
        <v>41043</v>
      </c>
      <c r="AR875" s="39" t="s">
        <v>400</v>
      </c>
      <c r="AS875" s="39"/>
      <c r="AT875" s="39">
        <v>200</v>
      </c>
      <c r="AZ875" t="s">
        <v>108</v>
      </c>
      <c r="BC875" t="s">
        <v>336</v>
      </c>
    </row>
    <row r="876" spans="1:55" x14ac:dyDescent="0.25">
      <c r="A876" t="str">
        <f t="shared" si="13"/>
        <v>A69-1601-5074</v>
      </c>
      <c r="B876" t="s">
        <v>398</v>
      </c>
      <c r="C876" t="s">
        <v>324</v>
      </c>
      <c r="D876" t="s">
        <v>345</v>
      </c>
      <c r="F876">
        <v>5074</v>
      </c>
      <c r="G876" t="s">
        <v>346</v>
      </c>
      <c r="H876" t="s">
        <v>327</v>
      </c>
      <c r="I876" s="20">
        <v>41043</v>
      </c>
      <c r="J876">
        <v>101</v>
      </c>
      <c r="L876" t="s">
        <v>109</v>
      </c>
      <c r="M876" t="s">
        <v>328</v>
      </c>
      <c r="N876" t="s">
        <v>329</v>
      </c>
      <c r="O876" t="s">
        <v>330</v>
      </c>
      <c r="P876" s="39" t="s">
        <v>429</v>
      </c>
      <c r="U876">
        <v>0.48</v>
      </c>
      <c r="V876">
        <v>0.26300000000000001</v>
      </c>
      <c r="W876" t="s">
        <v>399</v>
      </c>
      <c r="Y876" t="s">
        <v>332</v>
      </c>
      <c r="AB876" t="s">
        <v>343</v>
      </c>
      <c r="AC876" t="s">
        <v>342</v>
      </c>
      <c r="AD876" s="35">
        <v>46.306283333333297</v>
      </c>
      <c r="AE876" s="35">
        <v>-84.061216666666695</v>
      </c>
      <c r="AF876" s="18">
        <v>41046.958333333336</v>
      </c>
      <c r="AG876" s="19">
        <v>41038.763888888891</v>
      </c>
      <c r="AH876" t="s">
        <v>161</v>
      </c>
      <c r="AL876" t="s">
        <v>335</v>
      </c>
      <c r="AM876" s="20">
        <v>41043</v>
      </c>
      <c r="AR876" s="39" t="s">
        <v>400</v>
      </c>
      <c r="AS876" s="39"/>
      <c r="AT876" s="39">
        <v>200</v>
      </c>
      <c r="AZ876" t="s">
        <v>108</v>
      </c>
      <c r="BC876" t="s">
        <v>336</v>
      </c>
    </row>
    <row r="877" spans="1:55" x14ac:dyDescent="0.25">
      <c r="A877" t="str">
        <f t="shared" si="13"/>
        <v>A69-1601-5073</v>
      </c>
      <c r="B877" t="s">
        <v>398</v>
      </c>
      <c r="C877" t="s">
        <v>324</v>
      </c>
      <c r="D877" t="s">
        <v>345</v>
      </c>
      <c r="F877">
        <v>5073</v>
      </c>
      <c r="G877" t="s">
        <v>346</v>
      </c>
      <c r="H877" t="s">
        <v>327</v>
      </c>
      <c r="I877" s="20">
        <v>41043</v>
      </c>
      <c r="J877">
        <v>101</v>
      </c>
      <c r="L877" t="s">
        <v>109</v>
      </c>
      <c r="M877" t="s">
        <v>328</v>
      </c>
      <c r="N877" t="s">
        <v>329</v>
      </c>
      <c r="O877" t="s">
        <v>330</v>
      </c>
      <c r="P877" s="39" t="s">
        <v>429</v>
      </c>
      <c r="U877">
        <v>0.53</v>
      </c>
      <c r="V877">
        <v>0.35299999999999998</v>
      </c>
      <c r="W877" t="s">
        <v>399</v>
      </c>
      <c r="Y877" t="s">
        <v>332</v>
      </c>
      <c r="AB877" t="s">
        <v>343</v>
      </c>
      <c r="AC877" t="s">
        <v>342</v>
      </c>
      <c r="AD877" s="35">
        <v>46.306283333333297</v>
      </c>
      <c r="AE877" s="35">
        <v>-84.061216666666695</v>
      </c>
      <c r="AF877" s="18">
        <v>41046.958333333336</v>
      </c>
      <c r="AG877" s="19">
        <v>41038.763888888891</v>
      </c>
      <c r="AH877" t="s">
        <v>161</v>
      </c>
      <c r="AL877" t="s">
        <v>335</v>
      </c>
      <c r="AM877" s="20">
        <v>41043</v>
      </c>
      <c r="AR877" s="39" t="s">
        <v>400</v>
      </c>
      <c r="AS877" s="39"/>
      <c r="AT877" s="39">
        <v>200</v>
      </c>
      <c r="AZ877" t="s">
        <v>108</v>
      </c>
      <c r="BC877" t="s">
        <v>336</v>
      </c>
    </row>
    <row r="878" spans="1:55" x14ac:dyDescent="0.25">
      <c r="A878" t="str">
        <f t="shared" si="13"/>
        <v>A69-9002-7187</v>
      </c>
      <c r="B878" t="s">
        <v>398</v>
      </c>
      <c r="C878" t="s">
        <v>324</v>
      </c>
      <c r="D878" t="s">
        <v>325</v>
      </c>
      <c r="F878">
        <v>7187</v>
      </c>
      <c r="G878" t="s">
        <v>326</v>
      </c>
      <c r="H878" t="s">
        <v>327</v>
      </c>
      <c r="I878" s="20">
        <v>41043</v>
      </c>
      <c r="J878">
        <v>77</v>
      </c>
      <c r="L878" t="s">
        <v>109</v>
      </c>
      <c r="M878" t="s">
        <v>328</v>
      </c>
      <c r="N878" t="s">
        <v>329</v>
      </c>
      <c r="O878" t="s">
        <v>330</v>
      </c>
      <c r="P878" s="39" t="s">
        <v>429</v>
      </c>
      <c r="U878">
        <v>0.52</v>
      </c>
      <c r="V878">
        <v>0.27</v>
      </c>
      <c r="W878" t="s">
        <v>399</v>
      </c>
      <c r="Y878" t="s">
        <v>332</v>
      </c>
      <c r="AB878" t="s">
        <v>343</v>
      </c>
      <c r="AC878" t="s">
        <v>342</v>
      </c>
      <c r="AD878" s="35">
        <v>46.306283333333297</v>
      </c>
      <c r="AE878" s="35">
        <v>-84.061216666666695</v>
      </c>
      <c r="AF878" s="18">
        <v>41046.958333333336</v>
      </c>
      <c r="AG878" s="19">
        <v>41038.763888888891</v>
      </c>
      <c r="AH878" t="s">
        <v>161</v>
      </c>
      <c r="AL878" t="s">
        <v>335</v>
      </c>
      <c r="AM878" s="20">
        <v>41043</v>
      </c>
      <c r="AR878" s="39" t="s">
        <v>400</v>
      </c>
      <c r="AS878" s="39"/>
      <c r="AT878" s="39">
        <v>200</v>
      </c>
      <c r="AZ878" t="s">
        <v>108</v>
      </c>
      <c r="BC878" t="s">
        <v>336</v>
      </c>
    </row>
    <row r="879" spans="1:55" x14ac:dyDescent="0.25">
      <c r="A879" t="str">
        <f t="shared" si="13"/>
        <v>A69-9002-7207</v>
      </c>
      <c r="B879" t="s">
        <v>398</v>
      </c>
      <c r="C879" t="s">
        <v>324</v>
      </c>
      <c r="D879" t="s">
        <v>325</v>
      </c>
      <c r="F879">
        <v>7207</v>
      </c>
      <c r="G879" t="s">
        <v>326</v>
      </c>
      <c r="H879" t="s">
        <v>327</v>
      </c>
      <c r="I879" s="20">
        <v>41043</v>
      </c>
      <c r="J879">
        <v>77</v>
      </c>
      <c r="L879" t="s">
        <v>109</v>
      </c>
      <c r="M879" t="s">
        <v>328</v>
      </c>
      <c r="N879" t="s">
        <v>329</v>
      </c>
      <c r="O879" t="s">
        <v>330</v>
      </c>
      <c r="P879" s="39" t="s">
        <v>429</v>
      </c>
      <c r="U879">
        <v>0.61</v>
      </c>
      <c r="V879">
        <v>0.41699999999999998</v>
      </c>
      <c r="W879" t="s">
        <v>399</v>
      </c>
      <c r="Y879" t="s">
        <v>332</v>
      </c>
      <c r="AB879" t="s">
        <v>343</v>
      </c>
      <c r="AC879" t="s">
        <v>342</v>
      </c>
      <c r="AD879" s="35">
        <v>46.306283333333297</v>
      </c>
      <c r="AE879" s="35">
        <v>-84.061216666666695</v>
      </c>
      <c r="AF879" s="18">
        <v>41046.958333333336</v>
      </c>
      <c r="AG879" s="19">
        <v>41038.763888888891</v>
      </c>
      <c r="AH879" t="s">
        <v>161</v>
      </c>
      <c r="AL879" t="s">
        <v>335</v>
      </c>
      <c r="AM879" s="20">
        <v>41043</v>
      </c>
      <c r="AR879" s="39" t="s">
        <v>400</v>
      </c>
      <c r="AS879" s="39"/>
      <c r="AT879" s="39">
        <v>200</v>
      </c>
      <c r="AZ879" t="s">
        <v>108</v>
      </c>
      <c r="BC879" t="s">
        <v>336</v>
      </c>
    </row>
    <row r="880" spans="1:55" x14ac:dyDescent="0.25">
      <c r="A880" t="str">
        <f t="shared" si="13"/>
        <v>A69-9002-7194</v>
      </c>
      <c r="B880" t="s">
        <v>398</v>
      </c>
      <c r="C880" t="s">
        <v>324</v>
      </c>
      <c r="D880" t="s">
        <v>325</v>
      </c>
      <c r="F880">
        <v>7194</v>
      </c>
      <c r="G880" t="s">
        <v>326</v>
      </c>
      <c r="H880" t="s">
        <v>327</v>
      </c>
      <c r="I880" s="20">
        <v>41043</v>
      </c>
      <c r="J880">
        <v>77</v>
      </c>
      <c r="L880" t="s">
        <v>109</v>
      </c>
      <c r="M880" t="s">
        <v>328</v>
      </c>
      <c r="N880" t="s">
        <v>329</v>
      </c>
      <c r="O880" t="s">
        <v>330</v>
      </c>
      <c r="P880" s="39" t="s">
        <v>429</v>
      </c>
      <c r="U880">
        <v>0.47000000000000003</v>
      </c>
      <c r="V880">
        <v>0.215</v>
      </c>
      <c r="W880" t="s">
        <v>399</v>
      </c>
      <c r="Y880" t="s">
        <v>332</v>
      </c>
      <c r="AB880" t="s">
        <v>343</v>
      </c>
      <c r="AC880" t="s">
        <v>342</v>
      </c>
      <c r="AD880" s="35">
        <v>46.306283333333297</v>
      </c>
      <c r="AE880" s="35">
        <v>-84.061216666666695</v>
      </c>
      <c r="AF880" s="18">
        <v>41046.958333333336</v>
      </c>
      <c r="AG880" s="19">
        <v>41038.763888888891</v>
      </c>
      <c r="AH880" t="s">
        <v>161</v>
      </c>
      <c r="AL880" t="s">
        <v>335</v>
      </c>
      <c r="AM880" s="20">
        <v>41043</v>
      </c>
      <c r="AR880" s="39" t="s">
        <v>400</v>
      </c>
      <c r="AS880" s="39"/>
      <c r="AT880" s="39">
        <v>200</v>
      </c>
      <c r="AZ880" t="s">
        <v>108</v>
      </c>
      <c r="BC880" t="s">
        <v>336</v>
      </c>
    </row>
    <row r="881" spans="1:71" x14ac:dyDescent="0.25">
      <c r="A881" t="str">
        <f t="shared" si="13"/>
        <v>A69-9002-7209</v>
      </c>
      <c r="B881" t="s">
        <v>398</v>
      </c>
      <c r="C881" t="s">
        <v>324</v>
      </c>
      <c r="D881" t="s">
        <v>325</v>
      </c>
      <c r="F881">
        <v>7209</v>
      </c>
      <c r="G881" t="s">
        <v>326</v>
      </c>
      <c r="H881" t="s">
        <v>327</v>
      </c>
      <c r="I881" s="20">
        <v>41043</v>
      </c>
      <c r="J881">
        <v>77</v>
      </c>
      <c r="L881" t="s">
        <v>109</v>
      </c>
      <c r="M881" t="s">
        <v>328</v>
      </c>
      <c r="N881" t="s">
        <v>329</v>
      </c>
      <c r="O881" t="s">
        <v>330</v>
      </c>
      <c r="P881" s="39" t="s">
        <v>429</v>
      </c>
      <c r="U881">
        <v>0.48</v>
      </c>
      <c r="V881">
        <v>0.25600000000000001</v>
      </c>
      <c r="W881" t="s">
        <v>399</v>
      </c>
      <c r="Y881" t="s">
        <v>332</v>
      </c>
      <c r="AB881" t="s">
        <v>343</v>
      </c>
      <c r="AC881" t="s">
        <v>342</v>
      </c>
      <c r="AD881" s="35">
        <v>46.306283333333297</v>
      </c>
      <c r="AE881" s="35">
        <v>-84.061216666666695</v>
      </c>
      <c r="AF881" s="18">
        <v>41046.958333333336</v>
      </c>
      <c r="AG881" s="19">
        <v>41038.763888888891</v>
      </c>
      <c r="AH881" t="s">
        <v>161</v>
      </c>
      <c r="AL881" t="s">
        <v>335</v>
      </c>
      <c r="AM881" s="20">
        <v>41043</v>
      </c>
      <c r="AR881" s="39" t="s">
        <v>400</v>
      </c>
      <c r="AS881" s="39"/>
      <c r="AT881" s="39">
        <v>200</v>
      </c>
      <c r="AZ881" t="s">
        <v>108</v>
      </c>
      <c r="BC881" t="s">
        <v>336</v>
      </c>
    </row>
    <row r="882" spans="1:71" x14ac:dyDescent="0.25">
      <c r="A882" t="str">
        <f t="shared" si="13"/>
        <v>A69-9002-7210</v>
      </c>
      <c r="B882" t="s">
        <v>398</v>
      </c>
      <c r="C882" t="s">
        <v>324</v>
      </c>
      <c r="D882" t="s">
        <v>325</v>
      </c>
      <c r="F882">
        <v>7210</v>
      </c>
      <c r="G882" t="s">
        <v>326</v>
      </c>
      <c r="H882" t="s">
        <v>327</v>
      </c>
      <c r="I882" s="20">
        <v>41043</v>
      </c>
      <c r="J882">
        <v>77</v>
      </c>
      <c r="L882" t="s">
        <v>109</v>
      </c>
      <c r="M882" t="s">
        <v>328</v>
      </c>
      <c r="N882" t="s">
        <v>329</v>
      </c>
      <c r="O882" t="s">
        <v>330</v>
      </c>
      <c r="P882" s="39" t="s">
        <v>429</v>
      </c>
      <c r="U882">
        <v>0.5</v>
      </c>
      <c r="V882">
        <v>0.30499999999999999</v>
      </c>
      <c r="W882" t="s">
        <v>399</v>
      </c>
      <c r="Y882" t="s">
        <v>332</v>
      </c>
      <c r="AB882" t="s">
        <v>343</v>
      </c>
      <c r="AC882" t="s">
        <v>342</v>
      </c>
      <c r="AD882" s="35">
        <v>46.306283333333297</v>
      </c>
      <c r="AE882" s="35">
        <v>-84.061216666666695</v>
      </c>
      <c r="AF882" s="18">
        <v>41046.958333333336</v>
      </c>
      <c r="AG882" s="19">
        <v>41038.763888888891</v>
      </c>
      <c r="AH882" t="s">
        <v>161</v>
      </c>
      <c r="AL882" t="s">
        <v>335</v>
      </c>
      <c r="AM882" s="20">
        <v>41043</v>
      </c>
      <c r="AR882" s="39" t="s">
        <v>400</v>
      </c>
      <c r="AS882" s="39"/>
      <c r="AT882" s="39">
        <v>200</v>
      </c>
      <c r="AZ882" t="s">
        <v>108</v>
      </c>
      <c r="BC882" t="s">
        <v>336</v>
      </c>
    </row>
    <row r="883" spans="1:71" x14ac:dyDescent="0.25">
      <c r="A883" t="str">
        <f t="shared" si="13"/>
        <v>A69-9002-7192</v>
      </c>
      <c r="B883" t="s">
        <v>398</v>
      </c>
      <c r="C883" t="s">
        <v>324</v>
      </c>
      <c r="D883" t="s">
        <v>325</v>
      </c>
      <c r="F883">
        <v>7192</v>
      </c>
      <c r="G883" t="s">
        <v>326</v>
      </c>
      <c r="H883" t="s">
        <v>327</v>
      </c>
      <c r="I883" s="20">
        <v>41043</v>
      </c>
      <c r="J883">
        <v>77</v>
      </c>
      <c r="L883" t="s">
        <v>109</v>
      </c>
      <c r="M883" t="s">
        <v>328</v>
      </c>
      <c r="N883" t="s">
        <v>329</v>
      </c>
      <c r="O883" t="s">
        <v>330</v>
      </c>
      <c r="P883" s="39" t="s">
        <v>429</v>
      </c>
      <c r="U883">
        <v>0.49</v>
      </c>
      <c r="V883">
        <v>0.27800000000000002</v>
      </c>
      <c r="W883" t="s">
        <v>399</v>
      </c>
      <c r="Y883" t="s">
        <v>332</v>
      </c>
      <c r="AB883" t="s">
        <v>343</v>
      </c>
      <c r="AC883" t="s">
        <v>342</v>
      </c>
      <c r="AD883" s="35">
        <v>46.306283333333297</v>
      </c>
      <c r="AE883" s="35">
        <v>-84.061216666666695</v>
      </c>
      <c r="AF883" s="18">
        <v>41046.958333333336</v>
      </c>
      <c r="AG883" s="19">
        <v>41038.763888888891</v>
      </c>
      <c r="AH883" t="s">
        <v>161</v>
      </c>
      <c r="AL883" t="s">
        <v>335</v>
      </c>
      <c r="AM883" s="20">
        <v>41043</v>
      </c>
      <c r="AR883" s="39" t="s">
        <v>400</v>
      </c>
      <c r="AS883" s="39"/>
      <c r="AT883" s="39">
        <v>200</v>
      </c>
      <c r="AZ883" t="s">
        <v>108</v>
      </c>
      <c r="BC883" t="s">
        <v>336</v>
      </c>
    </row>
    <row r="884" spans="1:71" x14ac:dyDescent="0.25">
      <c r="A884" t="str">
        <f t="shared" si="13"/>
        <v>A69-9002-7198</v>
      </c>
      <c r="B884" t="s">
        <v>398</v>
      </c>
      <c r="C884" t="s">
        <v>324</v>
      </c>
      <c r="D884" t="s">
        <v>325</v>
      </c>
      <c r="F884">
        <v>7198</v>
      </c>
      <c r="G884" t="s">
        <v>326</v>
      </c>
      <c r="H884" t="s">
        <v>327</v>
      </c>
      <c r="I884" s="20">
        <v>41043</v>
      </c>
      <c r="J884">
        <v>77</v>
      </c>
      <c r="L884" t="s">
        <v>109</v>
      </c>
      <c r="M884" t="s">
        <v>328</v>
      </c>
      <c r="N884" t="s">
        <v>329</v>
      </c>
      <c r="O884" t="s">
        <v>330</v>
      </c>
      <c r="P884" s="39" t="s">
        <v>429</v>
      </c>
      <c r="U884">
        <v>0.5</v>
      </c>
      <c r="V884">
        <v>0.3</v>
      </c>
      <c r="W884" t="s">
        <v>399</v>
      </c>
      <c r="Y884" t="s">
        <v>332</v>
      </c>
      <c r="AB884" t="s">
        <v>343</v>
      </c>
      <c r="AC884" t="s">
        <v>342</v>
      </c>
      <c r="AD884" s="35">
        <v>46.306283333333297</v>
      </c>
      <c r="AE884" s="35">
        <v>-84.061216666666695</v>
      </c>
      <c r="AF884" s="18">
        <v>41046.958333333336</v>
      </c>
      <c r="AG884" s="19">
        <v>41038.763888888891</v>
      </c>
      <c r="AH884" t="s">
        <v>161</v>
      </c>
      <c r="AL884" t="s">
        <v>335</v>
      </c>
      <c r="AM884" s="20">
        <v>41043</v>
      </c>
      <c r="AR884" s="39" t="s">
        <v>400</v>
      </c>
      <c r="AS884" s="39"/>
      <c r="AT884" s="39">
        <v>200</v>
      </c>
      <c r="AZ884" t="s">
        <v>108</v>
      </c>
      <c r="BC884" t="s">
        <v>336</v>
      </c>
    </row>
    <row r="885" spans="1:71" x14ac:dyDescent="0.25">
      <c r="A885" t="str">
        <f t="shared" si="13"/>
        <v>A69-9002-7189</v>
      </c>
      <c r="B885" t="s">
        <v>398</v>
      </c>
      <c r="C885" t="s">
        <v>324</v>
      </c>
      <c r="D885" t="s">
        <v>325</v>
      </c>
      <c r="F885">
        <v>7189</v>
      </c>
      <c r="G885" t="s">
        <v>326</v>
      </c>
      <c r="H885" t="s">
        <v>327</v>
      </c>
      <c r="I885" s="20">
        <v>41043</v>
      </c>
      <c r="J885">
        <v>77</v>
      </c>
      <c r="L885" t="s">
        <v>109</v>
      </c>
      <c r="M885" t="s">
        <v>328</v>
      </c>
      <c r="N885" t="s">
        <v>329</v>
      </c>
      <c r="O885" t="s">
        <v>330</v>
      </c>
      <c r="P885" s="39" t="s">
        <v>429</v>
      </c>
      <c r="U885">
        <v>0.53</v>
      </c>
      <c r="V885">
        <v>0.316</v>
      </c>
      <c r="W885" t="s">
        <v>399</v>
      </c>
      <c r="Y885" t="s">
        <v>332</v>
      </c>
      <c r="AB885" t="s">
        <v>343</v>
      </c>
      <c r="AC885" t="s">
        <v>342</v>
      </c>
      <c r="AD885" s="35">
        <v>46.306283333333297</v>
      </c>
      <c r="AE885" s="35">
        <v>-84.061216666666695</v>
      </c>
      <c r="AF885" s="18">
        <v>41046.958333333336</v>
      </c>
      <c r="AG885" s="19">
        <v>41038.763888888891</v>
      </c>
      <c r="AH885" t="s">
        <v>161</v>
      </c>
      <c r="AL885" t="s">
        <v>335</v>
      </c>
      <c r="AM885" s="20">
        <v>41043</v>
      </c>
      <c r="AR885" s="39" t="s">
        <v>400</v>
      </c>
      <c r="AS885" s="39"/>
      <c r="AT885" s="39">
        <v>200</v>
      </c>
      <c r="AZ885" t="s">
        <v>108</v>
      </c>
      <c r="BC885" t="s">
        <v>163</v>
      </c>
      <c r="BD885" s="20">
        <v>41094</v>
      </c>
      <c r="BF885" s="21" t="s">
        <v>406</v>
      </c>
      <c r="BG885" s="38" t="s">
        <v>113</v>
      </c>
      <c r="BH885" s="1" t="s">
        <v>425</v>
      </c>
      <c r="BI885" s="39">
        <v>46.504829000000001</v>
      </c>
      <c r="BJ885" s="39">
        <v>-84.354651000000004</v>
      </c>
      <c r="BK885" s="1" t="s">
        <v>405</v>
      </c>
      <c r="BL885" s="1" t="s">
        <v>336</v>
      </c>
      <c r="BQ885" s="39" t="s">
        <v>332</v>
      </c>
      <c r="BR885" s="39">
        <v>510</v>
      </c>
      <c r="BS885" s="39">
        <v>273</v>
      </c>
    </row>
    <row r="886" spans="1:71" x14ac:dyDescent="0.25">
      <c r="A886" t="str">
        <f t="shared" si="13"/>
        <v>A69-9002-7200</v>
      </c>
      <c r="B886" t="s">
        <v>398</v>
      </c>
      <c r="C886" t="s">
        <v>324</v>
      </c>
      <c r="D886" t="s">
        <v>325</v>
      </c>
      <c r="F886">
        <v>7200</v>
      </c>
      <c r="G886" t="s">
        <v>326</v>
      </c>
      <c r="H886" t="s">
        <v>327</v>
      </c>
      <c r="I886" s="20">
        <v>41043</v>
      </c>
      <c r="J886">
        <v>77</v>
      </c>
      <c r="L886" t="s">
        <v>109</v>
      </c>
      <c r="M886" t="s">
        <v>328</v>
      </c>
      <c r="N886" t="s">
        <v>329</v>
      </c>
      <c r="O886" t="s">
        <v>330</v>
      </c>
      <c r="P886" s="39" t="s">
        <v>429</v>
      </c>
      <c r="U886">
        <v>0.48</v>
      </c>
      <c r="V886">
        <v>0.249</v>
      </c>
      <c r="W886" t="s">
        <v>399</v>
      </c>
      <c r="Y886" t="s">
        <v>332</v>
      </c>
      <c r="AB886" t="s">
        <v>343</v>
      </c>
      <c r="AC886" t="s">
        <v>342</v>
      </c>
      <c r="AD886" s="35">
        <v>46.306283333333297</v>
      </c>
      <c r="AE886" s="35">
        <v>-84.061216666666695</v>
      </c>
      <c r="AF886" s="18">
        <v>41046.958333333336</v>
      </c>
      <c r="AG886" s="19">
        <v>41038.763888888891</v>
      </c>
      <c r="AH886" t="s">
        <v>161</v>
      </c>
      <c r="AL886" t="s">
        <v>335</v>
      </c>
      <c r="AM886" s="20">
        <v>41043</v>
      </c>
      <c r="AR886" s="39" t="s">
        <v>400</v>
      </c>
      <c r="AS886" s="39"/>
      <c r="AT886" s="39">
        <v>200</v>
      </c>
      <c r="AZ886" t="s">
        <v>108</v>
      </c>
      <c r="BC886" t="s">
        <v>336</v>
      </c>
    </row>
    <row r="887" spans="1:71" x14ac:dyDescent="0.25">
      <c r="A887" t="str">
        <f t="shared" si="13"/>
        <v>A69-9002-7196</v>
      </c>
      <c r="B887" t="s">
        <v>398</v>
      </c>
      <c r="C887" t="s">
        <v>324</v>
      </c>
      <c r="D887" t="s">
        <v>325</v>
      </c>
      <c r="F887">
        <v>7196</v>
      </c>
      <c r="G887" t="s">
        <v>326</v>
      </c>
      <c r="H887" t="s">
        <v>327</v>
      </c>
      <c r="I887" s="20">
        <v>41043</v>
      </c>
      <c r="J887">
        <v>77</v>
      </c>
      <c r="L887" t="s">
        <v>109</v>
      </c>
      <c r="M887" t="s">
        <v>328</v>
      </c>
      <c r="N887" t="s">
        <v>329</v>
      </c>
      <c r="O887" t="s">
        <v>330</v>
      </c>
      <c r="P887" s="39" t="s">
        <v>429</v>
      </c>
      <c r="U887">
        <v>0.55000000000000004</v>
      </c>
      <c r="V887">
        <v>0.41000000000000003</v>
      </c>
      <c r="W887" t="s">
        <v>399</v>
      </c>
      <c r="Y887" t="s">
        <v>332</v>
      </c>
      <c r="AB887" t="s">
        <v>343</v>
      </c>
      <c r="AC887" t="s">
        <v>342</v>
      </c>
      <c r="AD887" s="35">
        <v>46.306283333333297</v>
      </c>
      <c r="AE887" s="35">
        <v>-84.061216666666695</v>
      </c>
      <c r="AF887" s="18">
        <v>41046.958333333336</v>
      </c>
      <c r="AG887" s="19">
        <v>41038.763888888891</v>
      </c>
      <c r="AH887" t="s">
        <v>161</v>
      </c>
      <c r="AL887" t="s">
        <v>335</v>
      </c>
      <c r="AM887" s="20">
        <v>41043</v>
      </c>
      <c r="AR887" s="39" t="s">
        <v>400</v>
      </c>
      <c r="AS887" s="39"/>
      <c r="AT887" s="39">
        <v>200</v>
      </c>
      <c r="AZ887" t="s">
        <v>108</v>
      </c>
      <c r="BC887" t="s">
        <v>336</v>
      </c>
    </row>
    <row r="888" spans="1:71" x14ac:dyDescent="0.25">
      <c r="A888" t="str">
        <f t="shared" si="13"/>
        <v>A69-9002-7197</v>
      </c>
      <c r="B888" t="s">
        <v>398</v>
      </c>
      <c r="C888" t="s">
        <v>324</v>
      </c>
      <c r="D888" t="s">
        <v>325</v>
      </c>
      <c r="F888">
        <v>7197</v>
      </c>
      <c r="G888" t="s">
        <v>326</v>
      </c>
      <c r="H888" t="s">
        <v>327</v>
      </c>
      <c r="I888" s="20">
        <v>41043</v>
      </c>
      <c r="J888">
        <v>77</v>
      </c>
      <c r="L888" t="s">
        <v>109</v>
      </c>
      <c r="M888" t="s">
        <v>328</v>
      </c>
      <c r="N888" t="s">
        <v>329</v>
      </c>
      <c r="O888" t="s">
        <v>330</v>
      </c>
      <c r="P888" s="39" t="s">
        <v>429</v>
      </c>
      <c r="U888">
        <v>0.5</v>
      </c>
      <c r="V888">
        <v>0.30599999999999999</v>
      </c>
      <c r="W888" t="s">
        <v>399</v>
      </c>
      <c r="Y888" t="s">
        <v>337</v>
      </c>
      <c r="AB888" t="s">
        <v>343</v>
      </c>
      <c r="AC888" t="s">
        <v>342</v>
      </c>
      <c r="AD888" s="35">
        <v>46.306283333333297</v>
      </c>
      <c r="AE888" s="35">
        <v>-84.061216666666695</v>
      </c>
      <c r="AF888" s="18">
        <v>41046.958333333336</v>
      </c>
      <c r="AG888" s="19">
        <v>41038.763888888891</v>
      </c>
      <c r="AH888" t="s">
        <v>161</v>
      </c>
      <c r="AL888" t="s">
        <v>335</v>
      </c>
      <c r="AM888" s="20">
        <v>41043</v>
      </c>
      <c r="AR888" s="39" t="s">
        <v>400</v>
      </c>
      <c r="AS888" s="39"/>
      <c r="AT888" s="39">
        <v>200</v>
      </c>
      <c r="AZ888" t="s">
        <v>108</v>
      </c>
      <c r="BC888" t="s">
        <v>336</v>
      </c>
    </row>
    <row r="889" spans="1:71" x14ac:dyDescent="0.25">
      <c r="A889" t="str">
        <f t="shared" si="13"/>
        <v>A69-9002-7193</v>
      </c>
      <c r="B889" t="s">
        <v>398</v>
      </c>
      <c r="C889" t="s">
        <v>324</v>
      </c>
      <c r="D889" t="s">
        <v>325</v>
      </c>
      <c r="F889">
        <v>7193</v>
      </c>
      <c r="G889" t="s">
        <v>326</v>
      </c>
      <c r="H889" t="s">
        <v>327</v>
      </c>
      <c r="I889" s="20">
        <v>41043</v>
      </c>
      <c r="J889">
        <v>77</v>
      </c>
      <c r="L889" t="s">
        <v>109</v>
      </c>
      <c r="M889" t="s">
        <v>328</v>
      </c>
      <c r="N889" t="s">
        <v>329</v>
      </c>
      <c r="O889" t="s">
        <v>330</v>
      </c>
      <c r="P889" s="39" t="s">
        <v>429</v>
      </c>
      <c r="U889">
        <v>0.51</v>
      </c>
      <c r="V889">
        <v>0.318</v>
      </c>
      <c r="W889" t="s">
        <v>399</v>
      </c>
      <c r="Y889" t="s">
        <v>337</v>
      </c>
      <c r="AB889" t="s">
        <v>343</v>
      </c>
      <c r="AC889" t="s">
        <v>342</v>
      </c>
      <c r="AD889" s="35">
        <v>46.306283333333297</v>
      </c>
      <c r="AE889" s="35">
        <v>-84.061216666666695</v>
      </c>
      <c r="AF889" s="18">
        <v>41046.958333333336</v>
      </c>
      <c r="AG889" s="19">
        <v>41038.763888888891</v>
      </c>
      <c r="AH889" t="s">
        <v>161</v>
      </c>
      <c r="AL889" t="s">
        <v>335</v>
      </c>
      <c r="AM889" s="20">
        <v>41043</v>
      </c>
      <c r="AR889" s="39" t="s">
        <v>400</v>
      </c>
      <c r="AS889" s="39"/>
      <c r="AT889" s="39">
        <v>200</v>
      </c>
      <c r="AZ889" t="s">
        <v>108</v>
      </c>
      <c r="BC889" t="s">
        <v>336</v>
      </c>
    </row>
    <row r="890" spans="1:71" x14ac:dyDescent="0.25">
      <c r="A890" t="str">
        <f t="shared" si="13"/>
        <v>A69-9002-7208</v>
      </c>
      <c r="B890" t="s">
        <v>398</v>
      </c>
      <c r="C890" t="s">
        <v>324</v>
      </c>
      <c r="D890" t="s">
        <v>325</v>
      </c>
      <c r="F890">
        <v>7208</v>
      </c>
      <c r="G890" t="s">
        <v>326</v>
      </c>
      <c r="H890" t="s">
        <v>327</v>
      </c>
      <c r="I890" s="20">
        <v>41043</v>
      </c>
      <c r="J890">
        <v>77</v>
      </c>
      <c r="L890" t="s">
        <v>109</v>
      </c>
      <c r="M890" t="s">
        <v>328</v>
      </c>
      <c r="N890" t="s">
        <v>329</v>
      </c>
      <c r="O890" t="s">
        <v>330</v>
      </c>
      <c r="P890" s="39" t="s">
        <v>429</v>
      </c>
      <c r="U890">
        <v>0.49</v>
      </c>
      <c r="V890">
        <v>0.29799999999999999</v>
      </c>
      <c r="W890" t="s">
        <v>399</v>
      </c>
      <c r="Y890" t="s">
        <v>337</v>
      </c>
      <c r="AB890" t="s">
        <v>343</v>
      </c>
      <c r="AC890" t="s">
        <v>342</v>
      </c>
      <c r="AD890" s="35">
        <v>46.306283333333297</v>
      </c>
      <c r="AE890" s="35">
        <v>-84.061216666666695</v>
      </c>
      <c r="AF890" s="18">
        <v>41046.958333333336</v>
      </c>
      <c r="AG890" s="19">
        <v>41038.763888888891</v>
      </c>
      <c r="AH890" t="s">
        <v>161</v>
      </c>
      <c r="AL890" t="s">
        <v>335</v>
      </c>
      <c r="AM890" s="20">
        <v>41043</v>
      </c>
      <c r="AR890" s="39" t="s">
        <v>400</v>
      </c>
      <c r="AS890" s="39"/>
      <c r="AT890" s="39">
        <v>200</v>
      </c>
      <c r="AZ890" t="s">
        <v>108</v>
      </c>
      <c r="BC890" t="s">
        <v>336</v>
      </c>
    </row>
    <row r="891" spans="1:71" x14ac:dyDescent="0.25">
      <c r="A891" t="str">
        <f t="shared" si="13"/>
        <v>A69-9002-7195</v>
      </c>
      <c r="B891" t="s">
        <v>398</v>
      </c>
      <c r="C891" t="s">
        <v>324</v>
      </c>
      <c r="D891" t="s">
        <v>325</v>
      </c>
      <c r="F891">
        <v>7195</v>
      </c>
      <c r="G891" t="s">
        <v>326</v>
      </c>
      <c r="H891" t="s">
        <v>327</v>
      </c>
      <c r="I891" s="20">
        <v>41043</v>
      </c>
      <c r="J891">
        <v>77</v>
      </c>
      <c r="L891" t="s">
        <v>109</v>
      </c>
      <c r="M891" t="s">
        <v>328</v>
      </c>
      <c r="N891" t="s">
        <v>329</v>
      </c>
      <c r="O891" t="s">
        <v>330</v>
      </c>
      <c r="P891" s="39" t="s">
        <v>429</v>
      </c>
      <c r="U891">
        <v>0.48</v>
      </c>
      <c r="V891">
        <v>0.28999999999999998</v>
      </c>
      <c r="W891" t="s">
        <v>399</v>
      </c>
      <c r="Y891" t="s">
        <v>337</v>
      </c>
      <c r="AB891" t="s">
        <v>343</v>
      </c>
      <c r="AC891" t="s">
        <v>342</v>
      </c>
      <c r="AD891" s="35">
        <v>46.306283333333297</v>
      </c>
      <c r="AE891" s="35">
        <v>-84.061216666666695</v>
      </c>
      <c r="AF891" s="18">
        <v>41046.958333333336</v>
      </c>
      <c r="AG891" s="19">
        <v>41038.763888888891</v>
      </c>
      <c r="AH891" t="s">
        <v>161</v>
      </c>
      <c r="AL891" t="s">
        <v>335</v>
      </c>
      <c r="AM891" s="20">
        <v>41043</v>
      </c>
      <c r="AR891" s="39" t="s">
        <v>400</v>
      </c>
      <c r="AS891" s="39"/>
      <c r="AT891" s="39">
        <v>200</v>
      </c>
      <c r="AZ891" t="s">
        <v>108</v>
      </c>
      <c r="BC891" t="s">
        <v>336</v>
      </c>
    </row>
    <row r="892" spans="1:71" x14ac:dyDescent="0.25">
      <c r="A892" t="str">
        <f t="shared" si="13"/>
        <v>A69-9002-7201</v>
      </c>
      <c r="B892" t="s">
        <v>398</v>
      </c>
      <c r="C892" t="s">
        <v>324</v>
      </c>
      <c r="D892" t="s">
        <v>325</v>
      </c>
      <c r="F892">
        <v>7201</v>
      </c>
      <c r="G892" t="s">
        <v>326</v>
      </c>
      <c r="H892" t="s">
        <v>327</v>
      </c>
      <c r="I892" s="20">
        <v>41043</v>
      </c>
      <c r="J892">
        <v>77</v>
      </c>
      <c r="L892" t="s">
        <v>109</v>
      </c>
      <c r="M892" t="s">
        <v>328</v>
      </c>
      <c r="N892" t="s">
        <v>329</v>
      </c>
      <c r="O892" t="s">
        <v>330</v>
      </c>
      <c r="P892" s="39" t="s">
        <v>429</v>
      </c>
      <c r="U892">
        <v>0.52</v>
      </c>
      <c r="V892">
        <v>0.27400000000000002</v>
      </c>
      <c r="W892" t="s">
        <v>399</v>
      </c>
      <c r="Y892" t="s">
        <v>337</v>
      </c>
      <c r="AB892" t="s">
        <v>343</v>
      </c>
      <c r="AC892" t="s">
        <v>342</v>
      </c>
      <c r="AD892" s="35">
        <v>46.306283333333297</v>
      </c>
      <c r="AE892" s="35">
        <v>-84.061216666666695</v>
      </c>
      <c r="AF892" s="18">
        <v>41046.958333333336</v>
      </c>
      <c r="AG892" s="19">
        <v>41038.763888888891</v>
      </c>
      <c r="AH892" t="s">
        <v>161</v>
      </c>
      <c r="AL892" t="s">
        <v>335</v>
      </c>
      <c r="AM892" s="20">
        <v>41043</v>
      </c>
      <c r="AR892" s="39" t="s">
        <v>400</v>
      </c>
      <c r="AS892" s="39"/>
      <c r="AT892" s="39">
        <v>200</v>
      </c>
      <c r="AZ892" t="s">
        <v>108</v>
      </c>
      <c r="BC892" t="s">
        <v>336</v>
      </c>
    </row>
    <row r="893" spans="1:71" x14ac:dyDescent="0.25">
      <c r="A893" t="str">
        <f t="shared" si="13"/>
        <v>A69-9002-7202</v>
      </c>
      <c r="B893" t="s">
        <v>398</v>
      </c>
      <c r="C893" t="s">
        <v>324</v>
      </c>
      <c r="D893" t="s">
        <v>325</v>
      </c>
      <c r="F893">
        <v>7202</v>
      </c>
      <c r="G893" t="s">
        <v>326</v>
      </c>
      <c r="H893" t="s">
        <v>327</v>
      </c>
      <c r="I893" s="20">
        <v>41043</v>
      </c>
      <c r="J893">
        <v>77</v>
      </c>
      <c r="L893" t="s">
        <v>109</v>
      </c>
      <c r="M893" t="s">
        <v>328</v>
      </c>
      <c r="N893" t="s">
        <v>329</v>
      </c>
      <c r="O893" t="s">
        <v>330</v>
      </c>
      <c r="P893" s="39" t="s">
        <v>429</v>
      </c>
      <c r="U893">
        <v>0.5</v>
      </c>
      <c r="V893">
        <v>0.27400000000000002</v>
      </c>
      <c r="W893" t="s">
        <v>399</v>
      </c>
      <c r="Y893" t="s">
        <v>337</v>
      </c>
      <c r="AB893" t="s">
        <v>343</v>
      </c>
      <c r="AC893" t="s">
        <v>342</v>
      </c>
      <c r="AD893" s="35">
        <v>46.306283333333297</v>
      </c>
      <c r="AE893" s="35">
        <v>-84.061216666666695</v>
      </c>
      <c r="AF893" s="18">
        <v>41046.958333333336</v>
      </c>
      <c r="AG893" s="19">
        <v>41038.763888888891</v>
      </c>
      <c r="AH893" t="s">
        <v>161</v>
      </c>
      <c r="AL893" t="s">
        <v>335</v>
      </c>
      <c r="AM893" s="20">
        <v>41043</v>
      </c>
      <c r="AR893" s="39" t="s">
        <v>400</v>
      </c>
      <c r="AS893" s="39"/>
      <c r="AT893" s="39">
        <v>200</v>
      </c>
      <c r="AZ893" t="s">
        <v>108</v>
      </c>
      <c r="BC893" t="s">
        <v>336</v>
      </c>
    </row>
    <row r="894" spans="1:71" x14ac:dyDescent="0.25">
      <c r="A894" t="str">
        <f t="shared" si="13"/>
        <v>A69-9002-7204</v>
      </c>
      <c r="B894" t="s">
        <v>398</v>
      </c>
      <c r="C894" t="s">
        <v>324</v>
      </c>
      <c r="D894" t="s">
        <v>325</v>
      </c>
      <c r="F894">
        <v>7204</v>
      </c>
      <c r="G894" t="s">
        <v>326</v>
      </c>
      <c r="H894" t="s">
        <v>327</v>
      </c>
      <c r="I894" s="20">
        <v>41043</v>
      </c>
      <c r="J894">
        <v>77</v>
      </c>
      <c r="L894" t="s">
        <v>109</v>
      </c>
      <c r="M894" t="s">
        <v>328</v>
      </c>
      <c r="N894" t="s">
        <v>329</v>
      </c>
      <c r="O894" t="s">
        <v>330</v>
      </c>
      <c r="P894" s="39" t="s">
        <v>429</v>
      </c>
      <c r="U894">
        <v>0.48</v>
      </c>
      <c r="V894">
        <v>0.27800000000000002</v>
      </c>
      <c r="W894" t="s">
        <v>399</v>
      </c>
      <c r="Y894" t="s">
        <v>337</v>
      </c>
      <c r="AB894" t="s">
        <v>343</v>
      </c>
      <c r="AC894" t="s">
        <v>342</v>
      </c>
      <c r="AD894" s="35">
        <v>46.306283333333297</v>
      </c>
      <c r="AE894" s="35">
        <v>-84.061216666666695</v>
      </c>
      <c r="AF894" s="18">
        <v>41046.958333333336</v>
      </c>
      <c r="AG894" s="19">
        <v>41038.763888888891</v>
      </c>
      <c r="AH894" t="s">
        <v>161</v>
      </c>
      <c r="AL894" t="s">
        <v>335</v>
      </c>
      <c r="AM894" s="20">
        <v>41043</v>
      </c>
      <c r="AR894" s="39" t="s">
        <v>400</v>
      </c>
      <c r="AS894" s="39"/>
      <c r="AT894" s="39">
        <v>200</v>
      </c>
      <c r="AZ894" t="s">
        <v>108</v>
      </c>
      <c r="BC894" t="s">
        <v>336</v>
      </c>
    </row>
    <row r="895" spans="1:71" x14ac:dyDescent="0.25">
      <c r="A895" t="str">
        <f t="shared" si="13"/>
        <v>A69-9002-7199</v>
      </c>
      <c r="B895" t="s">
        <v>398</v>
      </c>
      <c r="C895" t="s">
        <v>324</v>
      </c>
      <c r="D895" t="s">
        <v>325</v>
      </c>
      <c r="F895">
        <v>7199</v>
      </c>
      <c r="G895" t="s">
        <v>326</v>
      </c>
      <c r="H895" t="s">
        <v>327</v>
      </c>
      <c r="I895" s="20">
        <v>41043</v>
      </c>
      <c r="J895">
        <v>77</v>
      </c>
      <c r="L895" t="s">
        <v>109</v>
      </c>
      <c r="M895" t="s">
        <v>328</v>
      </c>
      <c r="N895" t="s">
        <v>329</v>
      </c>
      <c r="O895" t="s">
        <v>330</v>
      </c>
      <c r="P895" s="39" t="s">
        <v>429</v>
      </c>
      <c r="U895">
        <v>0.53</v>
      </c>
      <c r="V895">
        <v>0.32500000000000001</v>
      </c>
      <c r="W895" t="s">
        <v>399</v>
      </c>
      <c r="Y895" t="s">
        <v>337</v>
      </c>
      <c r="AB895" t="s">
        <v>343</v>
      </c>
      <c r="AC895" t="s">
        <v>342</v>
      </c>
      <c r="AD895" s="35">
        <v>46.306283333333297</v>
      </c>
      <c r="AE895" s="35">
        <v>-84.061216666666695</v>
      </c>
      <c r="AF895" s="18">
        <v>41046.958333333336</v>
      </c>
      <c r="AG895" s="19">
        <v>41038.763888888891</v>
      </c>
      <c r="AH895" t="s">
        <v>161</v>
      </c>
      <c r="AL895" t="s">
        <v>335</v>
      </c>
      <c r="AM895" s="20">
        <v>41043</v>
      </c>
      <c r="AR895" s="39" t="s">
        <v>400</v>
      </c>
      <c r="AS895" s="39"/>
      <c r="AT895" s="39">
        <v>200</v>
      </c>
      <c r="AZ895" t="s">
        <v>108</v>
      </c>
      <c r="BC895" t="s">
        <v>336</v>
      </c>
    </row>
    <row r="896" spans="1:71" x14ac:dyDescent="0.25">
      <c r="A896" t="str">
        <f t="shared" si="13"/>
        <v>A69-1601-5069</v>
      </c>
      <c r="B896" t="s">
        <v>398</v>
      </c>
      <c r="C896" t="s">
        <v>324</v>
      </c>
      <c r="D896" t="s">
        <v>345</v>
      </c>
      <c r="F896">
        <v>5069</v>
      </c>
      <c r="G896" t="s">
        <v>346</v>
      </c>
      <c r="H896" t="s">
        <v>327</v>
      </c>
      <c r="I896" s="20">
        <v>41043</v>
      </c>
      <c r="J896">
        <v>101</v>
      </c>
      <c r="L896" t="s">
        <v>109</v>
      </c>
      <c r="M896" t="s">
        <v>328</v>
      </c>
      <c r="N896" t="s">
        <v>329</v>
      </c>
      <c r="O896" t="s">
        <v>330</v>
      </c>
      <c r="P896" s="39" t="s">
        <v>429</v>
      </c>
      <c r="U896">
        <v>0.49</v>
      </c>
      <c r="V896">
        <v>0.32800000000000001</v>
      </c>
      <c r="W896" t="s">
        <v>399</v>
      </c>
      <c r="Y896" t="s">
        <v>337</v>
      </c>
      <c r="AB896" t="s">
        <v>339</v>
      </c>
      <c r="AC896" t="s">
        <v>334</v>
      </c>
      <c r="AD896" s="35">
        <v>46.172600000000003</v>
      </c>
      <c r="AE896" s="35">
        <v>-84.079769999999996</v>
      </c>
      <c r="AF896" s="18">
        <v>41046.9375</v>
      </c>
      <c r="AG896" s="19">
        <v>41038.763888888891</v>
      </c>
      <c r="AH896" t="s">
        <v>161</v>
      </c>
      <c r="AL896" t="s">
        <v>335</v>
      </c>
      <c r="AM896" s="20">
        <v>41043</v>
      </c>
      <c r="AR896" s="39" t="s">
        <v>400</v>
      </c>
      <c r="AS896" s="39"/>
      <c r="AT896" s="39">
        <v>200</v>
      </c>
      <c r="AZ896" t="s">
        <v>108</v>
      </c>
      <c r="BC896" t="s">
        <v>336</v>
      </c>
    </row>
    <row r="897" spans="1:71" x14ac:dyDescent="0.25">
      <c r="A897" t="str">
        <f t="shared" si="13"/>
        <v>A69-1601-5068</v>
      </c>
      <c r="B897" t="s">
        <v>398</v>
      </c>
      <c r="C897" t="s">
        <v>324</v>
      </c>
      <c r="D897" t="s">
        <v>345</v>
      </c>
      <c r="F897">
        <v>5068</v>
      </c>
      <c r="G897" t="s">
        <v>346</v>
      </c>
      <c r="H897" t="s">
        <v>327</v>
      </c>
      <c r="I897" s="20">
        <v>41043</v>
      </c>
      <c r="J897">
        <v>101</v>
      </c>
      <c r="L897" t="s">
        <v>109</v>
      </c>
      <c r="M897" t="s">
        <v>328</v>
      </c>
      <c r="N897" t="s">
        <v>329</v>
      </c>
      <c r="O897" t="s">
        <v>330</v>
      </c>
      <c r="P897" s="39" t="s">
        <v>429</v>
      </c>
      <c r="U897">
        <v>0.52</v>
      </c>
      <c r="V897">
        <v>0.35599999999999998</v>
      </c>
      <c r="W897" t="s">
        <v>399</v>
      </c>
      <c r="Y897" t="s">
        <v>337</v>
      </c>
      <c r="AB897" s="36" t="s">
        <v>339</v>
      </c>
      <c r="AC897" s="36" t="s">
        <v>334</v>
      </c>
      <c r="AD897" s="35">
        <v>46.172600000000003</v>
      </c>
      <c r="AE897" s="35">
        <v>-84.079769999999996</v>
      </c>
      <c r="AF897" s="18">
        <v>41046.9375</v>
      </c>
      <c r="AG897" s="19">
        <v>41038.763888888891</v>
      </c>
      <c r="AH897" t="s">
        <v>161</v>
      </c>
      <c r="AL897" t="s">
        <v>335</v>
      </c>
      <c r="AM897" s="20">
        <v>41043</v>
      </c>
      <c r="AR897" s="39" t="s">
        <v>400</v>
      </c>
      <c r="AS897" s="39"/>
      <c r="AT897" s="39">
        <v>200</v>
      </c>
      <c r="AZ897" t="s">
        <v>108</v>
      </c>
      <c r="BC897" t="s">
        <v>336</v>
      </c>
    </row>
    <row r="898" spans="1:71" x14ac:dyDescent="0.25">
      <c r="A898" t="str">
        <f t="shared" si="13"/>
        <v>A69-1601-5067</v>
      </c>
      <c r="B898" t="s">
        <v>398</v>
      </c>
      <c r="C898" t="s">
        <v>324</v>
      </c>
      <c r="D898" t="s">
        <v>345</v>
      </c>
      <c r="F898">
        <v>5067</v>
      </c>
      <c r="G898" t="s">
        <v>346</v>
      </c>
      <c r="H898" t="s">
        <v>327</v>
      </c>
      <c r="I898" s="20">
        <v>41043</v>
      </c>
      <c r="J898">
        <v>101</v>
      </c>
      <c r="L898" t="s">
        <v>109</v>
      </c>
      <c r="M898" t="s">
        <v>328</v>
      </c>
      <c r="N898" t="s">
        <v>329</v>
      </c>
      <c r="O898" t="s">
        <v>330</v>
      </c>
      <c r="P898" s="39" t="s">
        <v>429</v>
      </c>
      <c r="U898">
        <v>0.48</v>
      </c>
      <c r="V898">
        <v>0.27500000000000002</v>
      </c>
      <c r="W898" t="s">
        <v>399</v>
      </c>
      <c r="Y898" t="s">
        <v>337</v>
      </c>
      <c r="AB898" s="36" t="s">
        <v>339</v>
      </c>
      <c r="AC898" s="36" t="s">
        <v>334</v>
      </c>
      <c r="AD898" s="35">
        <v>46.172600000000003</v>
      </c>
      <c r="AE898" s="35">
        <v>-84.079769999999996</v>
      </c>
      <c r="AF898" s="18">
        <v>41046.9375</v>
      </c>
      <c r="AG898" s="19">
        <v>41038.763888888891</v>
      </c>
      <c r="AH898" t="s">
        <v>161</v>
      </c>
      <c r="AL898" t="s">
        <v>335</v>
      </c>
      <c r="AM898" s="20">
        <v>41043</v>
      </c>
      <c r="AR898" s="39" t="s">
        <v>400</v>
      </c>
      <c r="AS898" s="39"/>
      <c r="AT898" s="39">
        <v>200</v>
      </c>
      <c r="AZ898" t="s">
        <v>108</v>
      </c>
      <c r="BC898" t="s">
        <v>336</v>
      </c>
    </row>
    <row r="899" spans="1:71" x14ac:dyDescent="0.25">
      <c r="A899" t="str">
        <f t="shared" si="13"/>
        <v>A69-1601-5063</v>
      </c>
      <c r="B899" t="s">
        <v>398</v>
      </c>
      <c r="C899" t="s">
        <v>324</v>
      </c>
      <c r="D899" t="s">
        <v>345</v>
      </c>
      <c r="F899">
        <v>5063</v>
      </c>
      <c r="G899" t="s">
        <v>346</v>
      </c>
      <c r="H899" t="s">
        <v>327</v>
      </c>
      <c r="I899" s="20">
        <v>41043</v>
      </c>
      <c r="J899">
        <v>101</v>
      </c>
      <c r="L899" t="s">
        <v>109</v>
      </c>
      <c r="M899" t="s">
        <v>328</v>
      </c>
      <c r="N899" t="s">
        <v>329</v>
      </c>
      <c r="O899" t="s">
        <v>330</v>
      </c>
      <c r="P899" s="39" t="s">
        <v>429</v>
      </c>
      <c r="U899">
        <v>0.5</v>
      </c>
      <c r="V899">
        <v>0.25700000000000001</v>
      </c>
      <c r="W899" t="s">
        <v>399</v>
      </c>
      <c r="Y899" t="s">
        <v>337</v>
      </c>
      <c r="AB899" s="36" t="s">
        <v>339</v>
      </c>
      <c r="AC899" s="36" t="s">
        <v>334</v>
      </c>
      <c r="AD899" s="35">
        <v>46.172600000000003</v>
      </c>
      <c r="AE899" s="35">
        <v>-84.079769999999996</v>
      </c>
      <c r="AF899" s="18">
        <v>41046.9375</v>
      </c>
      <c r="AG899" s="19">
        <v>41038.763888888891</v>
      </c>
      <c r="AH899" t="s">
        <v>161</v>
      </c>
      <c r="AL899" t="s">
        <v>335</v>
      </c>
      <c r="AM899" s="20">
        <v>41043</v>
      </c>
      <c r="AR899" s="39" t="s">
        <v>400</v>
      </c>
      <c r="AS899" s="39"/>
      <c r="AT899" s="39">
        <v>200</v>
      </c>
      <c r="AZ899" t="s">
        <v>108</v>
      </c>
      <c r="BC899" t="s">
        <v>336</v>
      </c>
    </row>
    <row r="900" spans="1:71" x14ac:dyDescent="0.25">
      <c r="A900" t="str">
        <f t="shared" ref="A900:A963" si="14">CONCATENATE(G900,"-",F900)</f>
        <v>A69-1601-5062</v>
      </c>
      <c r="B900" t="s">
        <v>398</v>
      </c>
      <c r="C900" t="s">
        <v>324</v>
      </c>
      <c r="D900" t="s">
        <v>345</v>
      </c>
      <c r="F900">
        <v>5062</v>
      </c>
      <c r="G900" t="s">
        <v>346</v>
      </c>
      <c r="H900" t="s">
        <v>327</v>
      </c>
      <c r="I900" s="20">
        <v>41043</v>
      </c>
      <c r="J900">
        <v>101</v>
      </c>
      <c r="L900" t="s">
        <v>109</v>
      </c>
      <c r="M900" t="s">
        <v>328</v>
      </c>
      <c r="N900" t="s">
        <v>329</v>
      </c>
      <c r="O900" t="s">
        <v>330</v>
      </c>
      <c r="P900" s="39" t="s">
        <v>429</v>
      </c>
      <c r="U900">
        <v>0.56000000000000005</v>
      </c>
      <c r="V900">
        <v>0.35100000000000003</v>
      </c>
      <c r="W900" t="s">
        <v>399</v>
      </c>
      <c r="Y900" t="s">
        <v>337</v>
      </c>
      <c r="AB900" s="36" t="s">
        <v>339</v>
      </c>
      <c r="AC900" s="36" t="s">
        <v>334</v>
      </c>
      <c r="AD900" s="35">
        <v>46.172600000000003</v>
      </c>
      <c r="AE900" s="35">
        <v>-84.079769999999996</v>
      </c>
      <c r="AF900" s="18">
        <v>41046.9375</v>
      </c>
      <c r="AG900" s="19">
        <v>41038.763888888891</v>
      </c>
      <c r="AH900" t="s">
        <v>161</v>
      </c>
      <c r="AL900" t="s">
        <v>335</v>
      </c>
      <c r="AM900" s="20">
        <v>41043</v>
      </c>
      <c r="AR900" s="39" t="s">
        <v>400</v>
      </c>
      <c r="AS900" s="39"/>
      <c r="AT900" s="39">
        <v>200</v>
      </c>
      <c r="AZ900" t="s">
        <v>108</v>
      </c>
      <c r="BC900" t="s">
        <v>336</v>
      </c>
    </row>
    <row r="901" spans="1:71" x14ac:dyDescent="0.25">
      <c r="A901" t="str">
        <f t="shared" si="14"/>
        <v>A69-1601-5061</v>
      </c>
      <c r="B901" t="s">
        <v>398</v>
      </c>
      <c r="C901" t="s">
        <v>324</v>
      </c>
      <c r="D901" t="s">
        <v>345</v>
      </c>
      <c r="F901">
        <v>5061</v>
      </c>
      <c r="G901" t="s">
        <v>346</v>
      </c>
      <c r="H901" t="s">
        <v>327</v>
      </c>
      <c r="I901" s="20">
        <v>41043</v>
      </c>
      <c r="J901">
        <v>101</v>
      </c>
      <c r="L901" t="s">
        <v>109</v>
      </c>
      <c r="M901" t="s">
        <v>328</v>
      </c>
      <c r="N901" t="s">
        <v>329</v>
      </c>
      <c r="O901" t="s">
        <v>330</v>
      </c>
      <c r="P901" s="39" t="s">
        <v>429</v>
      </c>
      <c r="U901">
        <v>0.48</v>
      </c>
      <c r="V901">
        <v>0.26900000000000002</v>
      </c>
      <c r="W901" t="s">
        <v>399</v>
      </c>
      <c r="Y901" t="s">
        <v>337</v>
      </c>
      <c r="AB901" s="36" t="s">
        <v>339</v>
      </c>
      <c r="AC901" s="36" t="s">
        <v>334</v>
      </c>
      <c r="AD901" s="35">
        <v>46.172600000000003</v>
      </c>
      <c r="AE901" s="35">
        <v>-84.079769999999996</v>
      </c>
      <c r="AF901" s="18">
        <v>41046.9375</v>
      </c>
      <c r="AG901" s="19">
        <v>41038.763888888891</v>
      </c>
      <c r="AH901" t="s">
        <v>161</v>
      </c>
      <c r="AL901" t="s">
        <v>335</v>
      </c>
      <c r="AM901" s="20">
        <v>41043</v>
      </c>
      <c r="AR901" s="39" t="s">
        <v>400</v>
      </c>
      <c r="AS901" s="39"/>
      <c r="AT901" s="39">
        <v>200</v>
      </c>
      <c r="AZ901" t="s">
        <v>108</v>
      </c>
      <c r="BC901" t="s">
        <v>336</v>
      </c>
    </row>
    <row r="902" spans="1:71" x14ac:dyDescent="0.25">
      <c r="A902" t="str">
        <f t="shared" si="14"/>
        <v>A69-1601-4917</v>
      </c>
      <c r="B902" t="s">
        <v>398</v>
      </c>
      <c r="C902" t="s">
        <v>324</v>
      </c>
      <c r="D902" t="s">
        <v>345</v>
      </c>
      <c r="F902">
        <v>4917</v>
      </c>
      <c r="G902" t="s">
        <v>346</v>
      </c>
      <c r="H902" t="s">
        <v>327</v>
      </c>
      <c r="I902" s="20">
        <v>41043</v>
      </c>
      <c r="J902">
        <v>101</v>
      </c>
      <c r="L902" t="s">
        <v>109</v>
      </c>
      <c r="M902" t="s">
        <v>328</v>
      </c>
      <c r="N902" t="s">
        <v>329</v>
      </c>
      <c r="O902" t="s">
        <v>330</v>
      </c>
      <c r="P902" s="39" t="s">
        <v>429</v>
      </c>
      <c r="U902">
        <v>0.5</v>
      </c>
      <c r="V902">
        <v>0.30499999999999999</v>
      </c>
      <c r="W902" t="s">
        <v>399</v>
      </c>
      <c r="Y902" t="s">
        <v>337</v>
      </c>
      <c r="AB902" s="36" t="s">
        <v>339</v>
      </c>
      <c r="AC902" s="36" t="s">
        <v>334</v>
      </c>
      <c r="AD902" s="35">
        <v>46.172600000000003</v>
      </c>
      <c r="AE902" s="35">
        <v>-84.079769999999996</v>
      </c>
      <c r="AF902" s="18">
        <v>41046.9375</v>
      </c>
      <c r="AG902" s="19">
        <v>41038.763888888891</v>
      </c>
      <c r="AH902" t="s">
        <v>161</v>
      </c>
      <c r="AL902" t="s">
        <v>335</v>
      </c>
      <c r="AM902" s="20">
        <v>41043</v>
      </c>
      <c r="AR902" s="39" t="s">
        <v>400</v>
      </c>
      <c r="AS902" s="39"/>
      <c r="AT902" s="39">
        <v>200</v>
      </c>
      <c r="AZ902" t="s">
        <v>108</v>
      </c>
      <c r="BC902" t="s">
        <v>336</v>
      </c>
    </row>
    <row r="903" spans="1:71" x14ac:dyDescent="0.25">
      <c r="A903" t="str">
        <f t="shared" si="14"/>
        <v>A69-1601-4918</v>
      </c>
      <c r="B903" t="s">
        <v>398</v>
      </c>
      <c r="C903" t="s">
        <v>324</v>
      </c>
      <c r="D903" t="s">
        <v>345</v>
      </c>
      <c r="F903">
        <v>4918</v>
      </c>
      <c r="G903" t="s">
        <v>346</v>
      </c>
      <c r="H903" t="s">
        <v>327</v>
      </c>
      <c r="I903" s="20">
        <v>41043</v>
      </c>
      <c r="J903">
        <v>101</v>
      </c>
      <c r="L903" t="s">
        <v>109</v>
      </c>
      <c r="M903" t="s">
        <v>328</v>
      </c>
      <c r="N903" t="s">
        <v>329</v>
      </c>
      <c r="O903" t="s">
        <v>330</v>
      </c>
      <c r="P903" s="39" t="s">
        <v>429</v>
      </c>
      <c r="U903">
        <v>0.49</v>
      </c>
      <c r="V903">
        <v>0.28300000000000003</v>
      </c>
      <c r="W903" t="s">
        <v>399</v>
      </c>
      <c r="Y903" t="s">
        <v>337</v>
      </c>
      <c r="AB903" s="36" t="s">
        <v>339</v>
      </c>
      <c r="AC903" s="36" t="s">
        <v>334</v>
      </c>
      <c r="AD903" s="35">
        <v>46.172600000000003</v>
      </c>
      <c r="AE903" s="35">
        <v>-84.079769999999996</v>
      </c>
      <c r="AF903" s="18">
        <v>41046.9375</v>
      </c>
      <c r="AG903" s="19">
        <v>41038.763888888891</v>
      </c>
      <c r="AH903" t="s">
        <v>161</v>
      </c>
      <c r="AL903" t="s">
        <v>335</v>
      </c>
      <c r="AM903" s="20">
        <v>41043</v>
      </c>
      <c r="AR903" s="39" t="s">
        <v>400</v>
      </c>
      <c r="AS903" s="39"/>
      <c r="AT903" s="39">
        <v>200</v>
      </c>
      <c r="AZ903" t="s">
        <v>108</v>
      </c>
      <c r="BC903" t="s">
        <v>336</v>
      </c>
    </row>
    <row r="904" spans="1:71" x14ac:dyDescent="0.25">
      <c r="A904" t="str">
        <f t="shared" si="14"/>
        <v>A69-1601-4920</v>
      </c>
      <c r="B904" t="s">
        <v>398</v>
      </c>
      <c r="C904" t="s">
        <v>324</v>
      </c>
      <c r="D904" t="s">
        <v>345</v>
      </c>
      <c r="F904">
        <v>4920</v>
      </c>
      <c r="G904" t="s">
        <v>346</v>
      </c>
      <c r="H904" t="s">
        <v>327</v>
      </c>
      <c r="I904" s="20">
        <v>41043</v>
      </c>
      <c r="J904">
        <v>101</v>
      </c>
      <c r="L904" t="s">
        <v>109</v>
      </c>
      <c r="M904" t="s">
        <v>328</v>
      </c>
      <c r="N904" t="s">
        <v>329</v>
      </c>
      <c r="O904" t="s">
        <v>330</v>
      </c>
      <c r="P904" s="39" t="s">
        <v>429</v>
      </c>
      <c r="U904">
        <v>0.53</v>
      </c>
      <c r="V904">
        <v>0.314</v>
      </c>
      <c r="W904" t="s">
        <v>399</v>
      </c>
      <c r="Y904" t="s">
        <v>337</v>
      </c>
      <c r="AB904" s="36" t="s">
        <v>339</v>
      </c>
      <c r="AC904" s="36" t="s">
        <v>334</v>
      </c>
      <c r="AD904" s="35">
        <v>46.172600000000003</v>
      </c>
      <c r="AE904" s="35">
        <v>-84.079769999999996</v>
      </c>
      <c r="AF904" s="18">
        <v>41046.9375</v>
      </c>
      <c r="AG904" s="19">
        <v>41038.763888888891</v>
      </c>
      <c r="AH904" t="s">
        <v>161</v>
      </c>
      <c r="AL904" t="s">
        <v>335</v>
      </c>
      <c r="AM904" s="20">
        <v>41043</v>
      </c>
      <c r="AR904" s="39" t="s">
        <v>400</v>
      </c>
      <c r="AS904" s="39"/>
      <c r="AT904" s="39">
        <v>200</v>
      </c>
      <c r="AZ904" t="s">
        <v>108</v>
      </c>
      <c r="BC904" t="s">
        <v>163</v>
      </c>
      <c r="BD904" s="20">
        <v>41068</v>
      </c>
      <c r="BF904" s="21" t="s">
        <v>406</v>
      </c>
      <c r="BG904" s="38" t="s">
        <v>113</v>
      </c>
      <c r="BH904" s="1" t="s">
        <v>425</v>
      </c>
      <c r="BI904" s="39">
        <v>46.504829000000001</v>
      </c>
      <c r="BJ904" s="39">
        <v>-84.354651000000004</v>
      </c>
      <c r="BK904" s="1" t="s">
        <v>405</v>
      </c>
      <c r="BL904" s="1" t="s">
        <v>336</v>
      </c>
      <c r="BQ904" s="39" t="s">
        <v>337</v>
      </c>
      <c r="BR904" s="39">
        <v>523</v>
      </c>
      <c r="BS904" s="39">
        <v>295</v>
      </c>
    </row>
    <row r="905" spans="1:71" x14ac:dyDescent="0.25">
      <c r="A905" t="str">
        <f t="shared" si="14"/>
        <v>A69-1601-4921</v>
      </c>
      <c r="B905" t="s">
        <v>398</v>
      </c>
      <c r="C905" t="s">
        <v>324</v>
      </c>
      <c r="D905" t="s">
        <v>345</v>
      </c>
      <c r="F905">
        <v>4921</v>
      </c>
      <c r="G905" t="s">
        <v>346</v>
      </c>
      <c r="H905" t="s">
        <v>327</v>
      </c>
      <c r="I905" s="20">
        <v>41043</v>
      </c>
      <c r="J905">
        <v>101</v>
      </c>
      <c r="L905" t="s">
        <v>109</v>
      </c>
      <c r="M905" t="s">
        <v>328</v>
      </c>
      <c r="N905" t="s">
        <v>329</v>
      </c>
      <c r="O905" t="s">
        <v>330</v>
      </c>
      <c r="P905" s="39" t="s">
        <v>429</v>
      </c>
      <c r="U905">
        <v>0.52</v>
      </c>
      <c r="V905">
        <v>0.28700000000000003</v>
      </c>
      <c r="W905" t="s">
        <v>399</v>
      </c>
      <c r="Y905" t="s">
        <v>337</v>
      </c>
      <c r="AB905" s="36" t="s">
        <v>339</v>
      </c>
      <c r="AC905" s="36" t="s">
        <v>334</v>
      </c>
      <c r="AD905" s="35">
        <v>46.172600000000003</v>
      </c>
      <c r="AE905" s="35">
        <v>-84.079769999999996</v>
      </c>
      <c r="AF905" s="18">
        <v>41046.9375</v>
      </c>
      <c r="AG905" s="19">
        <v>41038.763888888891</v>
      </c>
      <c r="AH905" t="s">
        <v>161</v>
      </c>
      <c r="AL905" t="s">
        <v>335</v>
      </c>
      <c r="AM905" s="20">
        <v>41043</v>
      </c>
      <c r="AR905" s="39" t="s">
        <v>400</v>
      </c>
      <c r="AS905" s="39"/>
      <c r="AT905" s="39">
        <v>200</v>
      </c>
      <c r="AZ905" t="s">
        <v>108</v>
      </c>
      <c r="BC905" t="s">
        <v>336</v>
      </c>
    </row>
    <row r="906" spans="1:71" x14ac:dyDescent="0.25">
      <c r="A906" t="str">
        <f t="shared" si="14"/>
        <v>A69-1601-4922</v>
      </c>
      <c r="B906" t="s">
        <v>398</v>
      </c>
      <c r="C906" t="s">
        <v>324</v>
      </c>
      <c r="D906" t="s">
        <v>345</v>
      </c>
      <c r="F906">
        <v>4922</v>
      </c>
      <c r="G906" t="s">
        <v>346</v>
      </c>
      <c r="H906" t="s">
        <v>327</v>
      </c>
      <c r="I906" s="20">
        <v>41043</v>
      </c>
      <c r="J906">
        <v>101</v>
      </c>
      <c r="L906" t="s">
        <v>109</v>
      </c>
      <c r="M906" t="s">
        <v>328</v>
      </c>
      <c r="N906" t="s">
        <v>329</v>
      </c>
      <c r="O906" t="s">
        <v>330</v>
      </c>
      <c r="P906" s="39" t="s">
        <v>429</v>
      </c>
      <c r="U906">
        <v>0.49</v>
      </c>
      <c r="V906">
        <v>0.28700000000000003</v>
      </c>
      <c r="W906" t="s">
        <v>399</v>
      </c>
      <c r="Y906" t="s">
        <v>337</v>
      </c>
      <c r="AB906" s="36" t="s">
        <v>339</v>
      </c>
      <c r="AC906" s="36" t="s">
        <v>334</v>
      </c>
      <c r="AD906" s="35">
        <v>46.172600000000003</v>
      </c>
      <c r="AE906" s="35">
        <v>-84.079769999999996</v>
      </c>
      <c r="AF906" s="18">
        <v>41046.9375</v>
      </c>
      <c r="AG906" s="19">
        <v>41038.763888888891</v>
      </c>
      <c r="AH906" t="s">
        <v>161</v>
      </c>
      <c r="AL906" t="s">
        <v>335</v>
      </c>
      <c r="AM906" s="20">
        <v>41043</v>
      </c>
      <c r="AR906" s="39" t="s">
        <v>400</v>
      </c>
      <c r="AS906" s="39"/>
      <c r="AT906" s="39">
        <v>200</v>
      </c>
      <c r="AZ906" t="s">
        <v>108</v>
      </c>
      <c r="BC906" t="s">
        <v>336</v>
      </c>
    </row>
    <row r="907" spans="1:71" x14ac:dyDescent="0.25">
      <c r="A907" t="str">
        <f t="shared" si="14"/>
        <v>A69-1601-4923</v>
      </c>
      <c r="B907" t="s">
        <v>398</v>
      </c>
      <c r="C907" t="s">
        <v>324</v>
      </c>
      <c r="D907" t="s">
        <v>345</v>
      </c>
      <c r="F907">
        <v>4923</v>
      </c>
      <c r="G907" t="s">
        <v>346</v>
      </c>
      <c r="H907" t="s">
        <v>327</v>
      </c>
      <c r="I907" s="20">
        <v>41043</v>
      </c>
      <c r="J907">
        <v>101</v>
      </c>
      <c r="L907" t="s">
        <v>109</v>
      </c>
      <c r="M907" t="s">
        <v>328</v>
      </c>
      <c r="N907" t="s">
        <v>329</v>
      </c>
      <c r="O907" t="s">
        <v>330</v>
      </c>
      <c r="P907" s="39" t="s">
        <v>429</v>
      </c>
      <c r="U907">
        <v>0.56000000000000005</v>
      </c>
      <c r="V907">
        <v>0.38300000000000001</v>
      </c>
      <c r="W907" t="s">
        <v>399</v>
      </c>
      <c r="Y907" t="s">
        <v>337</v>
      </c>
      <c r="AB907" s="36" t="s">
        <v>339</v>
      </c>
      <c r="AC907" s="36" t="s">
        <v>334</v>
      </c>
      <c r="AD907" s="35">
        <v>46.172600000000003</v>
      </c>
      <c r="AE907" s="35">
        <v>-84.079769999999996</v>
      </c>
      <c r="AF907" s="18">
        <v>41046.9375</v>
      </c>
      <c r="AG907" s="19">
        <v>41038.763888888891</v>
      </c>
      <c r="AH907" t="s">
        <v>161</v>
      </c>
      <c r="AL907" t="s">
        <v>335</v>
      </c>
      <c r="AM907" s="20">
        <v>41043</v>
      </c>
      <c r="AR907" s="39" t="s">
        <v>400</v>
      </c>
      <c r="AS907" s="39"/>
      <c r="AT907" s="39">
        <v>200</v>
      </c>
      <c r="AZ907" t="s">
        <v>108</v>
      </c>
      <c r="BC907" t="s">
        <v>336</v>
      </c>
    </row>
    <row r="908" spans="1:71" x14ac:dyDescent="0.25">
      <c r="A908" t="str">
        <f t="shared" si="14"/>
        <v>A69-1601-4919</v>
      </c>
      <c r="B908" t="s">
        <v>398</v>
      </c>
      <c r="C908" t="s">
        <v>324</v>
      </c>
      <c r="D908" t="s">
        <v>345</v>
      </c>
      <c r="F908">
        <v>4919</v>
      </c>
      <c r="G908" t="s">
        <v>346</v>
      </c>
      <c r="H908" t="s">
        <v>327</v>
      </c>
      <c r="I908" s="20">
        <v>41043</v>
      </c>
      <c r="J908">
        <v>101</v>
      </c>
      <c r="L908" t="s">
        <v>109</v>
      </c>
      <c r="M908" t="s">
        <v>328</v>
      </c>
      <c r="N908" t="s">
        <v>329</v>
      </c>
      <c r="O908" t="s">
        <v>330</v>
      </c>
      <c r="P908" s="39" t="s">
        <v>429</v>
      </c>
      <c r="U908">
        <v>0.49</v>
      </c>
      <c r="V908">
        <v>0.26300000000000001</v>
      </c>
      <c r="W908" t="s">
        <v>399</v>
      </c>
      <c r="Y908" t="s">
        <v>337</v>
      </c>
      <c r="AB908" s="36" t="s">
        <v>339</v>
      </c>
      <c r="AC908" s="36" t="s">
        <v>334</v>
      </c>
      <c r="AD908" s="35">
        <v>46.172600000000003</v>
      </c>
      <c r="AE908" s="35">
        <v>-84.079769999999996</v>
      </c>
      <c r="AF908" s="18">
        <v>41046.9375</v>
      </c>
      <c r="AG908" s="19">
        <v>41038.763888888891</v>
      </c>
      <c r="AH908" t="s">
        <v>161</v>
      </c>
      <c r="AL908" t="s">
        <v>335</v>
      </c>
      <c r="AM908" s="20">
        <v>41043</v>
      </c>
      <c r="AR908" s="39" t="s">
        <v>400</v>
      </c>
      <c r="AS908" s="39"/>
      <c r="AT908" s="39">
        <v>200</v>
      </c>
      <c r="AZ908" t="s">
        <v>108</v>
      </c>
      <c r="BC908" t="s">
        <v>336</v>
      </c>
    </row>
    <row r="909" spans="1:71" x14ac:dyDescent="0.25">
      <c r="A909" t="str">
        <f t="shared" si="14"/>
        <v>A69-1601-4924</v>
      </c>
      <c r="B909" t="s">
        <v>398</v>
      </c>
      <c r="C909" t="s">
        <v>324</v>
      </c>
      <c r="D909" t="s">
        <v>345</v>
      </c>
      <c r="F909">
        <v>4924</v>
      </c>
      <c r="G909" t="s">
        <v>346</v>
      </c>
      <c r="H909" t="s">
        <v>327</v>
      </c>
      <c r="I909" s="20">
        <v>41043</v>
      </c>
      <c r="J909">
        <v>101</v>
      </c>
      <c r="L909" t="s">
        <v>109</v>
      </c>
      <c r="M909" t="s">
        <v>328</v>
      </c>
      <c r="N909" t="s">
        <v>329</v>
      </c>
      <c r="O909" t="s">
        <v>330</v>
      </c>
      <c r="P909" s="39" t="s">
        <v>429</v>
      </c>
      <c r="U909">
        <v>0.53</v>
      </c>
      <c r="V909">
        <v>0.32300000000000001</v>
      </c>
      <c r="W909" t="s">
        <v>399</v>
      </c>
      <c r="Y909" t="s">
        <v>337</v>
      </c>
      <c r="AB909" s="36" t="s">
        <v>339</v>
      </c>
      <c r="AC909" s="36" t="s">
        <v>334</v>
      </c>
      <c r="AD909" s="35">
        <v>46.172600000000003</v>
      </c>
      <c r="AE909" s="35">
        <v>-84.079769999999996</v>
      </c>
      <c r="AF909" s="18">
        <v>41046.9375</v>
      </c>
      <c r="AG909" s="19">
        <v>41038.763888888891</v>
      </c>
      <c r="AH909" t="s">
        <v>161</v>
      </c>
      <c r="AL909" t="s">
        <v>335</v>
      </c>
      <c r="AM909" s="20">
        <v>41043</v>
      </c>
      <c r="AR909" s="39" t="s">
        <v>400</v>
      </c>
      <c r="AS909" s="39"/>
      <c r="AT909" s="39">
        <v>200</v>
      </c>
      <c r="AZ909" t="s">
        <v>108</v>
      </c>
      <c r="BC909" t="s">
        <v>336</v>
      </c>
    </row>
    <row r="910" spans="1:71" x14ac:dyDescent="0.25">
      <c r="A910" t="str">
        <f t="shared" si="14"/>
        <v>A69-1601-4925</v>
      </c>
      <c r="B910" t="s">
        <v>398</v>
      </c>
      <c r="C910" t="s">
        <v>324</v>
      </c>
      <c r="D910" t="s">
        <v>345</v>
      </c>
      <c r="F910">
        <v>4925</v>
      </c>
      <c r="G910" t="s">
        <v>346</v>
      </c>
      <c r="H910" t="s">
        <v>327</v>
      </c>
      <c r="I910" s="20">
        <v>41043</v>
      </c>
      <c r="J910">
        <v>101</v>
      </c>
      <c r="L910" t="s">
        <v>109</v>
      </c>
      <c r="M910" t="s">
        <v>328</v>
      </c>
      <c r="N910" t="s">
        <v>329</v>
      </c>
      <c r="O910" t="s">
        <v>330</v>
      </c>
      <c r="P910" s="39" t="s">
        <v>429</v>
      </c>
      <c r="U910">
        <v>0.5</v>
      </c>
      <c r="V910">
        <v>0.27900000000000003</v>
      </c>
      <c r="W910" t="s">
        <v>399</v>
      </c>
      <c r="Y910" t="s">
        <v>337</v>
      </c>
      <c r="AB910" s="36" t="s">
        <v>339</v>
      </c>
      <c r="AC910" s="36" t="s">
        <v>334</v>
      </c>
      <c r="AD910" s="35">
        <v>46.172600000000003</v>
      </c>
      <c r="AE910" s="35">
        <v>-84.079769999999996</v>
      </c>
      <c r="AF910" s="18">
        <v>41046.9375</v>
      </c>
      <c r="AG910" s="19">
        <v>41038.763888888891</v>
      </c>
      <c r="AH910" t="s">
        <v>161</v>
      </c>
      <c r="AL910" t="s">
        <v>335</v>
      </c>
      <c r="AM910" s="20">
        <v>41043</v>
      </c>
      <c r="AR910" s="39" t="s">
        <v>400</v>
      </c>
      <c r="AS910" s="39"/>
      <c r="AT910" s="39">
        <v>200</v>
      </c>
      <c r="AZ910" t="s">
        <v>108</v>
      </c>
      <c r="BC910" t="s">
        <v>336</v>
      </c>
    </row>
    <row r="911" spans="1:71" x14ac:dyDescent="0.25">
      <c r="A911" t="str">
        <f t="shared" si="14"/>
        <v>A69-1601-4926</v>
      </c>
      <c r="B911" t="s">
        <v>398</v>
      </c>
      <c r="C911" t="s">
        <v>324</v>
      </c>
      <c r="D911" t="s">
        <v>345</v>
      </c>
      <c r="F911">
        <v>4926</v>
      </c>
      <c r="G911" t="s">
        <v>346</v>
      </c>
      <c r="H911" t="s">
        <v>327</v>
      </c>
      <c r="I911" s="20">
        <v>41043</v>
      </c>
      <c r="J911">
        <v>101</v>
      </c>
      <c r="L911" t="s">
        <v>109</v>
      </c>
      <c r="M911" t="s">
        <v>328</v>
      </c>
      <c r="N911" t="s">
        <v>329</v>
      </c>
      <c r="O911" t="s">
        <v>330</v>
      </c>
      <c r="P911" s="39" t="s">
        <v>429</v>
      </c>
      <c r="U911">
        <v>0.54</v>
      </c>
      <c r="V911">
        <v>0.39200000000000002</v>
      </c>
      <c r="W911" t="s">
        <v>399</v>
      </c>
      <c r="Y911" t="s">
        <v>337</v>
      </c>
      <c r="AB911" s="36" t="s">
        <v>339</v>
      </c>
      <c r="AC911" s="36" t="s">
        <v>334</v>
      </c>
      <c r="AD911" s="35">
        <v>46.172600000000003</v>
      </c>
      <c r="AE911" s="35">
        <v>-84.079769999999996</v>
      </c>
      <c r="AF911" s="18">
        <v>41046.9375</v>
      </c>
      <c r="AG911" s="19">
        <v>41038.763888888891</v>
      </c>
      <c r="AH911" t="s">
        <v>161</v>
      </c>
      <c r="AL911" t="s">
        <v>335</v>
      </c>
      <c r="AM911" s="20">
        <v>41043</v>
      </c>
      <c r="AR911" s="39" t="s">
        <v>400</v>
      </c>
      <c r="AS911" s="39"/>
      <c r="AT911" s="39">
        <v>200</v>
      </c>
      <c r="AZ911" t="s">
        <v>108</v>
      </c>
      <c r="BC911" t="s">
        <v>163</v>
      </c>
      <c r="BD911" s="20">
        <v>41084</v>
      </c>
      <c r="BF911" s="21" t="s">
        <v>406</v>
      </c>
      <c r="BG911" s="38" t="s">
        <v>113</v>
      </c>
      <c r="BH911" s="1" t="s">
        <v>408</v>
      </c>
      <c r="BI911" s="1">
        <v>46.514783999999999</v>
      </c>
      <c r="BJ911" s="1">
        <v>-84.346945000000005</v>
      </c>
      <c r="BK911" s="1" t="s">
        <v>404</v>
      </c>
      <c r="BL911" s="1" t="s">
        <v>336</v>
      </c>
      <c r="BQ911" s="39" t="s">
        <v>332</v>
      </c>
      <c r="BR911" s="39">
        <v>540</v>
      </c>
      <c r="BS911" s="39">
        <v>349</v>
      </c>
    </row>
    <row r="912" spans="1:71" x14ac:dyDescent="0.25">
      <c r="A912" t="str">
        <f t="shared" si="14"/>
        <v>A69-1601-4927</v>
      </c>
      <c r="B912" t="s">
        <v>398</v>
      </c>
      <c r="C912" t="s">
        <v>324</v>
      </c>
      <c r="D912" t="s">
        <v>345</v>
      </c>
      <c r="F912">
        <v>4927</v>
      </c>
      <c r="G912" t="s">
        <v>346</v>
      </c>
      <c r="H912" t="s">
        <v>327</v>
      </c>
      <c r="I912" s="20">
        <v>41043</v>
      </c>
      <c r="J912">
        <v>101</v>
      </c>
      <c r="L912" t="s">
        <v>109</v>
      </c>
      <c r="M912" t="s">
        <v>328</v>
      </c>
      <c r="N912" t="s">
        <v>329</v>
      </c>
      <c r="O912" t="s">
        <v>330</v>
      </c>
      <c r="P912" s="39" t="s">
        <v>429</v>
      </c>
      <c r="U912">
        <v>0.48</v>
      </c>
      <c r="V912">
        <v>0.35599999999999998</v>
      </c>
      <c r="W912" t="s">
        <v>399</v>
      </c>
      <c r="Y912" t="s">
        <v>337</v>
      </c>
      <c r="AB912" s="36" t="s">
        <v>339</v>
      </c>
      <c r="AC912" s="36" t="s">
        <v>334</v>
      </c>
      <c r="AD912" s="35">
        <v>46.172600000000003</v>
      </c>
      <c r="AE912" s="35">
        <v>-84.079769999999996</v>
      </c>
      <c r="AF912" s="18">
        <v>41046.9375</v>
      </c>
      <c r="AG912" s="19">
        <v>41038.763888888891</v>
      </c>
      <c r="AH912" t="s">
        <v>161</v>
      </c>
      <c r="AL912" t="s">
        <v>335</v>
      </c>
      <c r="AM912" s="20">
        <v>41043</v>
      </c>
      <c r="AR912" s="39" t="s">
        <v>400</v>
      </c>
      <c r="AS912" s="39"/>
      <c r="AT912" s="39">
        <v>200</v>
      </c>
      <c r="AZ912" t="s">
        <v>108</v>
      </c>
      <c r="BC912" t="s">
        <v>336</v>
      </c>
    </row>
    <row r="913" spans="1:71" x14ac:dyDescent="0.25">
      <c r="A913" t="str">
        <f t="shared" si="14"/>
        <v>A69-1601-4928</v>
      </c>
      <c r="B913" t="s">
        <v>398</v>
      </c>
      <c r="C913" t="s">
        <v>324</v>
      </c>
      <c r="D913" t="s">
        <v>345</v>
      </c>
      <c r="F913">
        <v>4928</v>
      </c>
      <c r="G913" t="s">
        <v>346</v>
      </c>
      <c r="H913" t="s">
        <v>327</v>
      </c>
      <c r="I913" s="20">
        <v>41043</v>
      </c>
      <c r="J913">
        <v>101</v>
      </c>
      <c r="L913" t="s">
        <v>109</v>
      </c>
      <c r="M913" t="s">
        <v>328</v>
      </c>
      <c r="N913" t="s">
        <v>329</v>
      </c>
      <c r="O913" t="s">
        <v>330</v>
      </c>
      <c r="P913" s="39" t="s">
        <v>429</v>
      </c>
      <c r="U913">
        <v>0.51</v>
      </c>
      <c r="V913">
        <v>0.28400000000000003</v>
      </c>
      <c r="W913" t="s">
        <v>399</v>
      </c>
      <c r="Y913" t="s">
        <v>337</v>
      </c>
      <c r="AB913" s="36" t="s">
        <v>339</v>
      </c>
      <c r="AC913" s="36" t="s">
        <v>334</v>
      </c>
      <c r="AD913" s="35">
        <v>46.172600000000003</v>
      </c>
      <c r="AE913" s="35">
        <v>-84.079769999999996</v>
      </c>
      <c r="AF913" s="18">
        <v>41046.9375</v>
      </c>
      <c r="AG913" s="19">
        <v>41038.763888888891</v>
      </c>
      <c r="AH913" t="s">
        <v>161</v>
      </c>
      <c r="AL913" t="s">
        <v>335</v>
      </c>
      <c r="AM913" s="20">
        <v>41043</v>
      </c>
      <c r="AR913" s="39" t="s">
        <v>400</v>
      </c>
      <c r="AS913" s="39"/>
      <c r="AT913" s="39">
        <v>200</v>
      </c>
      <c r="AZ913" t="s">
        <v>108</v>
      </c>
      <c r="BC913" t="s">
        <v>336</v>
      </c>
    </row>
    <row r="914" spans="1:71" x14ac:dyDescent="0.25">
      <c r="A914" t="str">
        <f t="shared" si="14"/>
        <v>A69-1601-4929</v>
      </c>
      <c r="B914" t="s">
        <v>398</v>
      </c>
      <c r="C914" t="s">
        <v>324</v>
      </c>
      <c r="D914" t="s">
        <v>345</v>
      </c>
      <c r="F914">
        <v>4929</v>
      </c>
      <c r="G914" t="s">
        <v>346</v>
      </c>
      <c r="H914" t="s">
        <v>327</v>
      </c>
      <c r="I914" s="20">
        <v>41043</v>
      </c>
      <c r="J914">
        <v>101</v>
      </c>
      <c r="L914" t="s">
        <v>109</v>
      </c>
      <c r="M914" t="s">
        <v>328</v>
      </c>
      <c r="N914" t="s">
        <v>329</v>
      </c>
      <c r="O914" t="s">
        <v>330</v>
      </c>
      <c r="P914" s="39" t="s">
        <v>429</v>
      </c>
      <c r="U914">
        <v>0.49</v>
      </c>
      <c r="V914">
        <v>0.27200000000000002</v>
      </c>
      <c r="W914" t="s">
        <v>399</v>
      </c>
      <c r="Y914" t="s">
        <v>337</v>
      </c>
      <c r="AB914" s="36" t="s">
        <v>339</v>
      </c>
      <c r="AC914" s="36" t="s">
        <v>334</v>
      </c>
      <c r="AD914" s="35">
        <v>46.172600000000003</v>
      </c>
      <c r="AE914" s="35">
        <v>-84.079769999999996</v>
      </c>
      <c r="AF914" s="18">
        <v>41046.9375</v>
      </c>
      <c r="AG914" s="19">
        <v>41038.763888888891</v>
      </c>
      <c r="AH914" t="s">
        <v>161</v>
      </c>
      <c r="AL914" t="s">
        <v>335</v>
      </c>
      <c r="AM914" s="20">
        <v>41043</v>
      </c>
      <c r="AR914" s="39" t="s">
        <v>400</v>
      </c>
      <c r="AS914" s="39"/>
      <c r="AT914" s="39">
        <v>200</v>
      </c>
      <c r="AZ914" t="s">
        <v>108</v>
      </c>
      <c r="BC914" t="s">
        <v>336</v>
      </c>
    </row>
    <row r="915" spans="1:71" x14ac:dyDescent="0.25">
      <c r="A915" t="str">
        <f t="shared" si="14"/>
        <v>A69-1601-4930</v>
      </c>
      <c r="B915" t="s">
        <v>398</v>
      </c>
      <c r="C915" t="s">
        <v>324</v>
      </c>
      <c r="D915" t="s">
        <v>345</v>
      </c>
      <c r="F915">
        <v>4930</v>
      </c>
      <c r="G915" t="s">
        <v>346</v>
      </c>
      <c r="H915" t="s">
        <v>327</v>
      </c>
      <c r="I915" s="20">
        <v>41043</v>
      </c>
      <c r="J915">
        <v>101</v>
      </c>
      <c r="L915" t="s">
        <v>109</v>
      </c>
      <c r="M915" t="s">
        <v>328</v>
      </c>
      <c r="N915" t="s">
        <v>329</v>
      </c>
      <c r="O915" t="s">
        <v>330</v>
      </c>
      <c r="P915" s="39" t="s">
        <v>429</v>
      </c>
      <c r="U915">
        <v>0.52</v>
      </c>
      <c r="V915">
        <v>0.33700000000000002</v>
      </c>
      <c r="W915" t="s">
        <v>399</v>
      </c>
      <c r="Y915" t="s">
        <v>337</v>
      </c>
      <c r="AB915" s="36" t="s">
        <v>339</v>
      </c>
      <c r="AC915" s="36" t="s">
        <v>334</v>
      </c>
      <c r="AD915" s="35">
        <v>46.172600000000003</v>
      </c>
      <c r="AE915" s="35">
        <v>-84.079769999999996</v>
      </c>
      <c r="AF915" s="18">
        <v>41046.9375</v>
      </c>
      <c r="AG915" s="19">
        <v>41038.763888888891</v>
      </c>
      <c r="AH915" t="s">
        <v>161</v>
      </c>
      <c r="AL915" t="s">
        <v>335</v>
      </c>
      <c r="AM915" s="20">
        <v>41043</v>
      </c>
      <c r="AR915" s="39" t="s">
        <v>400</v>
      </c>
      <c r="AS915" s="39"/>
      <c r="AT915" s="39">
        <v>200</v>
      </c>
      <c r="AZ915" t="s">
        <v>108</v>
      </c>
      <c r="BC915" t="s">
        <v>163</v>
      </c>
      <c r="BD915" s="20">
        <v>41068</v>
      </c>
      <c r="BF915" s="21" t="s">
        <v>406</v>
      </c>
      <c r="BG915" s="38" t="s">
        <v>113</v>
      </c>
      <c r="BH915" s="1" t="s">
        <v>425</v>
      </c>
      <c r="BI915" s="39">
        <v>46.504829000000001</v>
      </c>
      <c r="BJ915" s="39">
        <v>-84.354651000000004</v>
      </c>
      <c r="BK915" s="1" t="s">
        <v>405</v>
      </c>
      <c r="BL915" s="1" t="s">
        <v>336</v>
      </c>
      <c r="BQ915" s="39" t="s">
        <v>337</v>
      </c>
      <c r="BR915" s="39">
        <v>522</v>
      </c>
      <c r="BS915" s="39">
        <v>323</v>
      </c>
    </row>
    <row r="916" spans="1:71" x14ac:dyDescent="0.25">
      <c r="A916" t="str">
        <f t="shared" si="14"/>
        <v>A69-1601-4931</v>
      </c>
      <c r="B916" t="s">
        <v>398</v>
      </c>
      <c r="C916" t="s">
        <v>324</v>
      </c>
      <c r="D916" t="s">
        <v>345</v>
      </c>
      <c r="F916">
        <v>4931</v>
      </c>
      <c r="G916" t="s">
        <v>346</v>
      </c>
      <c r="H916" t="s">
        <v>327</v>
      </c>
      <c r="I916" s="20">
        <v>41043</v>
      </c>
      <c r="J916">
        <v>101</v>
      </c>
      <c r="L916" t="s">
        <v>109</v>
      </c>
      <c r="M916" t="s">
        <v>328</v>
      </c>
      <c r="N916" t="s">
        <v>329</v>
      </c>
      <c r="O916" t="s">
        <v>330</v>
      </c>
      <c r="P916" s="39" t="s">
        <v>429</v>
      </c>
      <c r="U916">
        <v>0.52</v>
      </c>
      <c r="V916">
        <v>0.35100000000000003</v>
      </c>
      <c r="W916" t="s">
        <v>399</v>
      </c>
      <c r="Y916" t="s">
        <v>337</v>
      </c>
      <c r="AB916" s="36" t="s">
        <v>339</v>
      </c>
      <c r="AC916" s="36" t="s">
        <v>334</v>
      </c>
      <c r="AD916" s="35">
        <v>46.172600000000003</v>
      </c>
      <c r="AE916" s="35">
        <v>-84.079769999999996</v>
      </c>
      <c r="AF916" s="18">
        <v>41046.9375</v>
      </c>
      <c r="AG916" s="19">
        <v>41038.763888888891</v>
      </c>
      <c r="AH916" t="s">
        <v>161</v>
      </c>
      <c r="AL916" t="s">
        <v>335</v>
      </c>
      <c r="AM916" s="20">
        <v>41043</v>
      </c>
      <c r="AR916" s="39" t="s">
        <v>400</v>
      </c>
      <c r="AS916" s="39"/>
      <c r="AT916" s="39">
        <v>200</v>
      </c>
      <c r="AZ916" t="s">
        <v>108</v>
      </c>
      <c r="BC916" t="s">
        <v>336</v>
      </c>
    </row>
    <row r="917" spans="1:71" x14ac:dyDescent="0.25">
      <c r="A917" t="str">
        <f t="shared" si="14"/>
        <v>A69-1601-4932</v>
      </c>
      <c r="B917" t="s">
        <v>398</v>
      </c>
      <c r="C917" t="s">
        <v>324</v>
      </c>
      <c r="D917" t="s">
        <v>345</v>
      </c>
      <c r="F917">
        <v>4932</v>
      </c>
      <c r="G917" t="s">
        <v>346</v>
      </c>
      <c r="H917" t="s">
        <v>327</v>
      </c>
      <c r="I917" s="20">
        <v>41043</v>
      </c>
      <c r="J917">
        <v>101</v>
      </c>
      <c r="L917" t="s">
        <v>109</v>
      </c>
      <c r="M917" t="s">
        <v>328</v>
      </c>
      <c r="N917" t="s">
        <v>329</v>
      </c>
      <c r="O917" t="s">
        <v>330</v>
      </c>
      <c r="P917" s="39" t="s">
        <v>429</v>
      </c>
      <c r="U917">
        <v>0.49</v>
      </c>
      <c r="V917">
        <v>0.29299999999999998</v>
      </c>
      <c r="W917" t="s">
        <v>399</v>
      </c>
      <c r="Y917" t="s">
        <v>337</v>
      </c>
      <c r="AB917" s="36" t="s">
        <v>339</v>
      </c>
      <c r="AC917" s="36" t="s">
        <v>334</v>
      </c>
      <c r="AD917" s="35">
        <v>46.172600000000003</v>
      </c>
      <c r="AE917" s="35">
        <v>-84.079769999999996</v>
      </c>
      <c r="AF917" s="18">
        <v>41046.9375</v>
      </c>
      <c r="AG917" s="19">
        <v>41038.763888888891</v>
      </c>
      <c r="AH917" t="s">
        <v>161</v>
      </c>
      <c r="AL917" t="s">
        <v>335</v>
      </c>
      <c r="AM917" s="20">
        <v>41043</v>
      </c>
      <c r="AR917" s="39" t="s">
        <v>400</v>
      </c>
      <c r="AS917" s="39"/>
      <c r="AT917" s="39">
        <v>200</v>
      </c>
      <c r="AZ917" t="s">
        <v>108</v>
      </c>
      <c r="BC917" t="s">
        <v>336</v>
      </c>
    </row>
    <row r="918" spans="1:71" x14ac:dyDescent="0.25">
      <c r="A918" t="str">
        <f t="shared" si="14"/>
        <v>A69-1601-4933</v>
      </c>
      <c r="B918" t="s">
        <v>398</v>
      </c>
      <c r="C918" t="s">
        <v>324</v>
      </c>
      <c r="D918" t="s">
        <v>345</v>
      </c>
      <c r="F918">
        <v>4933</v>
      </c>
      <c r="G918" t="s">
        <v>346</v>
      </c>
      <c r="H918" t="s">
        <v>327</v>
      </c>
      <c r="I918" s="20">
        <v>41043</v>
      </c>
      <c r="J918">
        <v>101</v>
      </c>
      <c r="L918" t="s">
        <v>109</v>
      </c>
      <c r="M918" t="s">
        <v>328</v>
      </c>
      <c r="N918" t="s">
        <v>329</v>
      </c>
      <c r="O918" t="s">
        <v>330</v>
      </c>
      <c r="P918" s="39" t="s">
        <v>429</v>
      </c>
      <c r="U918">
        <v>0.48</v>
      </c>
      <c r="V918">
        <v>0.26300000000000001</v>
      </c>
      <c r="W918" t="s">
        <v>399</v>
      </c>
      <c r="Y918" t="s">
        <v>337</v>
      </c>
      <c r="AB918" s="36" t="s">
        <v>339</v>
      </c>
      <c r="AC918" s="36" t="s">
        <v>334</v>
      </c>
      <c r="AD918" s="35">
        <v>46.172600000000003</v>
      </c>
      <c r="AE918" s="35">
        <v>-84.079769999999996</v>
      </c>
      <c r="AF918" s="18">
        <v>41046.9375</v>
      </c>
      <c r="AG918" s="19">
        <v>41038.763888888891</v>
      </c>
      <c r="AH918" t="s">
        <v>161</v>
      </c>
      <c r="AL918" t="s">
        <v>335</v>
      </c>
      <c r="AM918" s="20">
        <v>41043</v>
      </c>
      <c r="AR918" s="39" t="s">
        <v>400</v>
      </c>
      <c r="AS918" s="39"/>
      <c r="AT918" s="39">
        <v>200</v>
      </c>
      <c r="AZ918" t="s">
        <v>108</v>
      </c>
      <c r="BC918" t="s">
        <v>336</v>
      </c>
    </row>
    <row r="919" spans="1:71" x14ac:dyDescent="0.25">
      <c r="A919" t="str">
        <f t="shared" si="14"/>
        <v>A69-1601-4934</v>
      </c>
      <c r="B919" t="s">
        <v>398</v>
      </c>
      <c r="C919" t="s">
        <v>324</v>
      </c>
      <c r="D919" t="s">
        <v>345</v>
      </c>
      <c r="F919">
        <v>4934</v>
      </c>
      <c r="G919" t="s">
        <v>346</v>
      </c>
      <c r="H919" t="s">
        <v>327</v>
      </c>
      <c r="I919" s="20">
        <v>41043</v>
      </c>
      <c r="J919">
        <v>101</v>
      </c>
      <c r="L919" t="s">
        <v>109</v>
      </c>
      <c r="M919" t="s">
        <v>328</v>
      </c>
      <c r="N919" t="s">
        <v>329</v>
      </c>
      <c r="O919" t="s">
        <v>330</v>
      </c>
      <c r="P919" s="39" t="s">
        <v>429</v>
      </c>
      <c r="U919">
        <v>0.51</v>
      </c>
      <c r="V919">
        <v>0.33800000000000002</v>
      </c>
      <c r="W919" t="s">
        <v>399</v>
      </c>
      <c r="Y919" t="s">
        <v>337</v>
      </c>
      <c r="AB919" s="36" t="s">
        <v>339</v>
      </c>
      <c r="AC919" s="36" t="s">
        <v>334</v>
      </c>
      <c r="AD919" s="35">
        <v>46.172600000000003</v>
      </c>
      <c r="AE919" s="35">
        <v>-84.079769999999996</v>
      </c>
      <c r="AF919" s="18">
        <v>41046.9375</v>
      </c>
      <c r="AG919" s="19">
        <v>41038.763888888891</v>
      </c>
      <c r="AH919" t="s">
        <v>161</v>
      </c>
      <c r="AL919" t="s">
        <v>335</v>
      </c>
      <c r="AM919" s="20">
        <v>41043</v>
      </c>
      <c r="AR919" s="39" t="s">
        <v>400</v>
      </c>
      <c r="AS919" s="39"/>
      <c r="AT919" s="39">
        <v>200</v>
      </c>
      <c r="AZ919" t="s">
        <v>108</v>
      </c>
      <c r="BC919" t="s">
        <v>336</v>
      </c>
    </row>
    <row r="920" spans="1:71" x14ac:dyDescent="0.25">
      <c r="A920" t="str">
        <f t="shared" si="14"/>
        <v>A69-1601-4935</v>
      </c>
      <c r="B920" t="s">
        <v>398</v>
      </c>
      <c r="C920" t="s">
        <v>324</v>
      </c>
      <c r="D920" t="s">
        <v>345</v>
      </c>
      <c r="F920">
        <v>4935</v>
      </c>
      <c r="G920" t="s">
        <v>346</v>
      </c>
      <c r="H920" t="s">
        <v>327</v>
      </c>
      <c r="I920" s="20">
        <v>41043</v>
      </c>
      <c r="J920">
        <v>101</v>
      </c>
      <c r="L920" t="s">
        <v>109</v>
      </c>
      <c r="M920" t="s">
        <v>328</v>
      </c>
      <c r="N920" t="s">
        <v>329</v>
      </c>
      <c r="O920" t="s">
        <v>330</v>
      </c>
      <c r="P920" s="39" t="s">
        <v>429</v>
      </c>
      <c r="U920">
        <v>0.47000000000000003</v>
      </c>
      <c r="V920">
        <v>0.26500000000000001</v>
      </c>
      <c r="W920" t="s">
        <v>399</v>
      </c>
      <c r="Y920" t="s">
        <v>332</v>
      </c>
      <c r="AB920" s="36" t="s">
        <v>339</v>
      </c>
      <c r="AC920" s="36" t="s">
        <v>334</v>
      </c>
      <c r="AD920" s="35">
        <v>46.172600000000003</v>
      </c>
      <c r="AE920" s="35">
        <v>-84.079769999999996</v>
      </c>
      <c r="AF920" s="18">
        <v>41046.9375</v>
      </c>
      <c r="AG920" s="19">
        <v>41038.763888888891</v>
      </c>
      <c r="AH920" t="s">
        <v>161</v>
      </c>
      <c r="AL920" t="s">
        <v>335</v>
      </c>
      <c r="AM920" s="20">
        <v>41043</v>
      </c>
      <c r="AR920" s="39" t="s">
        <v>400</v>
      </c>
      <c r="AS920" s="39"/>
      <c r="AT920" s="39">
        <v>200</v>
      </c>
      <c r="AZ920" t="s">
        <v>108</v>
      </c>
      <c r="BC920" t="s">
        <v>336</v>
      </c>
    </row>
    <row r="921" spans="1:71" x14ac:dyDescent="0.25">
      <c r="A921" t="str">
        <f t="shared" si="14"/>
        <v>A69-1601-4936</v>
      </c>
      <c r="B921" t="s">
        <v>398</v>
      </c>
      <c r="C921" t="s">
        <v>324</v>
      </c>
      <c r="D921" t="s">
        <v>345</v>
      </c>
      <c r="F921">
        <v>4936</v>
      </c>
      <c r="G921" t="s">
        <v>346</v>
      </c>
      <c r="H921" t="s">
        <v>327</v>
      </c>
      <c r="I921" s="20">
        <v>41043</v>
      </c>
      <c r="J921">
        <v>101</v>
      </c>
      <c r="L921" t="s">
        <v>109</v>
      </c>
      <c r="M921" t="s">
        <v>328</v>
      </c>
      <c r="N921" t="s">
        <v>329</v>
      </c>
      <c r="O921" t="s">
        <v>330</v>
      </c>
      <c r="P921" s="39" t="s">
        <v>429</v>
      </c>
      <c r="U921">
        <v>0.54</v>
      </c>
      <c r="V921">
        <v>0.309</v>
      </c>
      <c r="W921" t="s">
        <v>399</v>
      </c>
      <c r="Y921" t="s">
        <v>332</v>
      </c>
      <c r="AB921" s="36" t="s">
        <v>339</v>
      </c>
      <c r="AC921" s="36" t="s">
        <v>334</v>
      </c>
      <c r="AD921" s="35">
        <v>46.172600000000003</v>
      </c>
      <c r="AE921" s="35">
        <v>-84.079769999999996</v>
      </c>
      <c r="AF921" s="18">
        <v>41046.9375</v>
      </c>
      <c r="AG921" s="19">
        <v>41038.763888888891</v>
      </c>
      <c r="AH921" t="s">
        <v>161</v>
      </c>
      <c r="AL921" t="s">
        <v>335</v>
      </c>
      <c r="AM921" s="20">
        <v>41043</v>
      </c>
      <c r="AR921" s="39" t="s">
        <v>400</v>
      </c>
      <c r="AS921" s="39"/>
      <c r="AT921" s="39">
        <v>200</v>
      </c>
      <c r="AZ921" t="s">
        <v>108</v>
      </c>
      <c r="BC921" t="s">
        <v>336</v>
      </c>
    </row>
    <row r="922" spans="1:71" x14ac:dyDescent="0.25">
      <c r="A922" t="str">
        <f t="shared" si="14"/>
        <v>A69-1601-4937</v>
      </c>
      <c r="B922" t="s">
        <v>398</v>
      </c>
      <c r="C922" t="s">
        <v>324</v>
      </c>
      <c r="D922" t="s">
        <v>345</v>
      </c>
      <c r="F922">
        <v>4937</v>
      </c>
      <c r="G922" t="s">
        <v>346</v>
      </c>
      <c r="H922" t="s">
        <v>327</v>
      </c>
      <c r="I922" s="20">
        <v>41043</v>
      </c>
      <c r="J922">
        <v>101</v>
      </c>
      <c r="L922" t="s">
        <v>109</v>
      </c>
      <c r="M922" t="s">
        <v>328</v>
      </c>
      <c r="N922" t="s">
        <v>329</v>
      </c>
      <c r="O922" t="s">
        <v>330</v>
      </c>
      <c r="P922" s="39" t="s">
        <v>429</v>
      </c>
      <c r="U922">
        <v>0.52</v>
      </c>
      <c r="V922">
        <v>0.29799999999999999</v>
      </c>
      <c r="W922" t="s">
        <v>399</v>
      </c>
      <c r="Y922" t="s">
        <v>332</v>
      </c>
      <c r="AB922" s="36" t="s">
        <v>339</v>
      </c>
      <c r="AC922" s="36" t="s">
        <v>334</v>
      </c>
      <c r="AD922" s="35">
        <v>46.172600000000003</v>
      </c>
      <c r="AE922" s="35">
        <v>-84.079769999999996</v>
      </c>
      <c r="AF922" s="18">
        <v>41046.9375</v>
      </c>
      <c r="AG922" s="19">
        <v>41038.763888888891</v>
      </c>
      <c r="AH922" t="s">
        <v>161</v>
      </c>
      <c r="AL922" t="s">
        <v>335</v>
      </c>
      <c r="AM922" s="20">
        <v>41043</v>
      </c>
      <c r="AR922" s="39" t="s">
        <v>400</v>
      </c>
      <c r="AS922" s="39"/>
      <c r="AT922" s="39">
        <v>200</v>
      </c>
      <c r="AZ922" t="s">
        <v>108</v>
      </c>
      <c r="BC922" t="s">
        <v>336</v>
      </c>
    </row>
    <row r="923" spans="1:71" x14ac:dyDescent="0.25">
      <c r="A923" t="str">
        <f t="shared" si="14"/>
        <v>A69-1601-4938</v>
      </c>
      <c r="B923" t="s">
        <v>398</v>
      </c>
      <c r="C923" t="s">
        <v>324</v>
      </c>
      <c r="D923" t="s">
        <v>345</v>
      </c>
      <c r="F923">
        <v>4938</v>
      </c>
      <c r="G923" t="s">
        <v>346</v>
      </c>
      <c r="H923" t="s">
        <v>327</v>
      </c>
      <c r="I923" s="20">
        <v>41043</v>
      </c>
      <c r="J923">
        <v>101</v>
      </c>
      <c r="L923" t="s">
        <v>109</v>
      </c>
      <c r="M923" t="s">
        <v>328</v>
      </c>
      <c r="N923" t="s">
        <v>329</v>
      </c>
      <c r="O923" t="s">
        <v>330</v>
      </c>
      <c r="P923" s="39" t="s">
        <v>429</v>
      </c>
      <c r="U923">
        <v>0.51</v>
      </c>
      <c r="V923">
        <v>0.28700000000000003</v>
      </c>
      <c r="W923" t="s">
        <v>399</v>
      </c>
      <c r="Y923" t="s">
        <v>332</v>
      </c>
      <c r="AB923" s="36" t="s">
        <v>339</v>
      </c>
      <c r="AC923" s="36" t="s">
        <v>334</v>
      </c>
      <c r="AD923" s="35">
        <v>46.172600000000003</v>
      </c>
      <c r="AE923" s="35">
        <v>-84.079769999999996</v>
      </c>
      <c r="AF923" s="18">
        <v>41046.9375</v>
      </c>
      <c r="AG923" s="19">
        <v>41038.763888888891</v>
      </c>
      <c r="AH923" t="s">
        <v>161</v>
      </c>
      <c r="AL923" t="s">
        <v>335</v>
      </c>
      <c r="AM923" s="20">
        <v>41043</v>
      </c>
      <c r="AR923" s="39" t="s">
        <v>400</v>
      </c>
      <c r="AS923" s="39"/>
      <c r="AT923" s="39">
        <v>200</v>
      </c>
      <c r="AZ923" t="s">
        <v>108</v>
      </c>
      <c r="BC923" t="s">
        <v>163</v>
      </c>
      <c r="BD923" s="20">
        <v>41068</v>
      </c>
      <c r="BF923" s="21" t="s">
        <v>406</v>
      </c>
      <c r="BG923" s="38" t="s">
        <v>113</v>
      </c>
      <c r="BH923" s="1" t="s">
        <v>428</v>
      </c>
      <c r="BI923" s="1">
        <v>46.506208000000001</v>
      </c>
      <c r="BJ923" s="1">
        <v>-84.349037999999993</v>
      </c>
      <c r="BK923" s="1" t="s">
        <v>405</v>
      </c>
      <c r="BL923" s="1" t="s">
        <v>336</v>
      </c>
      <c r="BQ923" s="39" t="s">
        <v>332</v>
      </c>
      <c r="BR923" s="39">
        <v>489</v>
      </c>
      <c r="BS923" s="39">
        <v>279</v>
      </c>
    </row>
    <row r="924" spans="1:71" x14ac:dyDescent="0.25">
      <c r="A924" t="str">
        <f t="shared" si="14"/>
        <v>A69-1601-4939</v>
      </c>
      <c r="B924" t="s">
        <v>398</v>
      </c>
      <c r="C924" t="s">
        <v>324</v>
      </c>
      <c r="D924" t="s">
        <v>345</v>
      </c>
      <c r="F924">
        <v>4939</v>
      </c>
      <c r="G924" t="s">
        <v>346</v>
      </c>
      <c r="H924" t="s">
        <v>327</v>
      </c>
      <c r="I924" s="20">
        <v>41043</v>
      </c>
      <c r="J924">
        <v>101</v>
      </c>
      <c r="L924" t="s">
        <v>109</v>
      </c>
      <c r="M924" t="s">
        <v>328</v>
      </c>
      <c r="N924" t="s">
        <v>329</v>
      </c>
      <c r="O924" t="s">
        <v>330</v>
      </c>
      <c r="P924" s="39" t="s">
        <v>429</v>
      </c>
      <c r="U924">
        <v>0.56000000000000005</v>
      </c>
      <c r="V924">
        <v>0.38700000000000001</v>
      </c>
      <c r="W924" t="s">
        <v>399</v>
      </c>
      <c r="Y924" t="s">
        <v>332</v>
      </c>
      <c r="AB924" s="36" t="s">
        <v>339</v>
      </c>
      <c r="AC924" s="36" t="s">
        <v>334</v>
      </c>
      <c r="AD924" s="35">
        <v>46.172600000000003</v>
      </c>
      <c r="AE924" s="35">
        <v>-84.079769999999996</v>
      </c>
      <c r="AF924" s="18">
        <v>41046.9375</v>
      </c>
      <c r="AG924" s="19">
        <v>41038.763888888891</v>
      </c>
      <c r="AH924" t="s">
        <v>161</v>
      </c>
      <c r="AL924" t="s">
        <v>335</v>
      </c>
      <c r="AM924" s="20">
        <v>41043</v>
      </c>
      <c r="AR924" s="39" t="s">
        <v>400</v>
      </c>
      <c r="AS924" s="39"/>
      <c r="AT924" s="39">
        <v>200</v>
      </c>
      <c r="AZ924" t="s">
        <v>108</v>
      </c>
      <c r="BC924" t="s">
        <v>336</v>
      </c>
    </row>
    <row r="925" spans="1:71" x14ac:dyDescent="0.25">
      <c r="A925" t="str">
        <f t="shared" si="14"/>
        <v>A69-1601-4940</v>
      </c>
      <c r="B925" t="s">
        <v>398</v>
      </c>
      <c r="C925" t="s">
        <v>324</v>
      </c>
      <c r="D925" t="s">
        <v>345</v>
      </c>
      <c r="F925">
        <v>4940</v>
      </c>
      <c r="G925" t="s">
        <v>346</v>
      </c>
      <c r="H925" t="s">
        <v>327</v>
      </c>
      <c r="I925" s="20">
        <v>41043</v>
      </c>
      <c r="J925">
        <v>101</v>
      </c>
      <c r="L925" t="s">
        <v>109</v>
      </c>
      <c r="M925" t="s">
        <v>328</v>
      </c>
      <c r="N925" t="s">
        <v>329</v>
      </c>
      <c r="O925" t="s">
        <v>330</v>
      </c>
      <c r="P925" s="39" t="s">
        <v>429</v>
      </c>
      <c r="U925">
        <v>0.48</v>
      </c>
      <c r="V925">
        <v>0.251</v>
      </c>
      <c r="W925" t="s">
        <v>399</v>
      </c>
      <c r="Y925" t="s">
        <v>337</v>
      </c>
      <c r="AB925" s="36" t="s">
        <v>339</v>
      </c>
      <c r="AC925" s="36" t="s">
        <v>334</v>
      </c>
      <c r="AD925" s="35">
        <v>46.172600000000003</v>
      </c>
      <c r="AE925" s="35">
        <v>-84.079769999999996</v>
      </c>
      <c r="AF925" s="18">
        <v>41046.9375</v>
      </c>
      <c r="AG925" s="19">
        <v>41038.763888888891</v>
      </c>
      <c r="AH925" t="s">
        <v>161</v>
      </c>
      <c r="AL925" t="s">
        <v>335</v>
      </c>
      <c r="AM925" s="20">
        <v>41043</v>
      </c>
      <c r="AR925" s="39" t="s">
        <v>400</v>
      </c>
      <c r="AS925" s="39"/>
      <c r="AT925" s="39">
        <v>200</v>
      </c>
      <c r="AZ925" t="s">
        <v>108</v>
      </c>
      <c r="BC925" t="s">
        <v>336</v>
      </c>
    </row>
    <row r="926" spans="1:71" x14ac:dyDescent="0.25">
      <c r="A926" t="str">
        <f t="shared" si="14"/>
        <v>A69-1601-4941</v>
      </c>
      <c r="B926" t="s">
        <v>398</v>
      </c>
      <c r="C926" t="s">
        <v>324</v>
      </c>
      <c r="D926" t="s">
        <v>345</v>
      </c>
      <c r="F926">
        <v>4941</v>
      </c>
      <c r="G926" t="s">
        <v>346</v>
      </c>
      <c r="H926" t="s">
        <v>327</v>
      </c>
      <c r="I926" s="20">
        <v>41043</v>
      </c>
      <c r="J926">
        <v>101</v>
      </c>
      <c r="L926" t="s">
        <v>109</v>
      </c>
      <c r="M926" t="s">
        <v>328</v>
      </c>
      <c r="N926" t="s">
        <v>329</v>
      </c>
      <c r="O926" t="s">
        <v>330</v>
      </c>
      <c r="P926" s="39" t="s">
        <v>429</v>
      </c>
      <c r="U926">
        <v>0.54</v>
      </c>
      <c r="V926">
        <v>0.32700000000000001</v>
      </c>
      <c r="W926" t="s">
        <v>399</v>
      </c>
      <c r="Y926" t="s">
        <v>332</v>
      </c>
      <c r="AB926" s="36" t="s">
        <v>339</v>
      </c>
      <c r="AC926" s="36" t="s">
        <v>334</v>
      </c>
      <c r="AD926" s="35">
        <v>46.172600000000003</v>
      </c>
      <c r="AE926" s="35">
        <v>-84.079769999999996</v>
      </c>
      <c r="AF926" s="18">
        <v>41046.9375</v>
      </c>
      <c r="AG926" s="19">
        <v>41038.763888888891</v>
      </c>
      <c r="AH926" t="s">
        <v>161</v>
      </c>
      <c r="AL926" t="s">
        <v>335</v>
      </c>
      <c r="AM926" s="20">
        <v>41043</v>
      </c>
      <c r="AR926" s="39" t="s">
        <v>400</v>
      </c>
      <c r="AS926" s="39"/>
      <c r="AT926" s="39">
        <v>200</v>
      </c>
      <c r="AZ926" t="s">
        <v>108</v>
      </c>
      <c r="BC926" t="s">
        <v>336</v>
      </c>
    </row>
    <row r="927" spans="1:71" x14ac:dyDescent="0.25">
      <c r="A927" t="str">
        <f t="shared" si="14"/>
        <v>A69-1601-4942</v>
      </c>
      <c r="B927" t="s">
        <v>398</v>
      </c>
      <c r="C927" t="s">
        <v>324</v>
      </c>
      <c r="D927" t="s">
        <v>345</v>
      </c>
      <c r="F927">
        <v>4942</v>
      </c>
      <c r="G927" t="s">
        <v>346</v>
      </c>
      <c r="H927" t="s">
        <v>327</v>
      </c>
      <c r="I927" s="20">
        <v>41043</v>
      </c>
      <c r="J927">
        <v>101</v>
      </c>
      <c r="L927" t="s">
        <v>109</v>
      </c>
      <c r="M927" t="s">
        <v>328</v>
      </c>
      <c r="N927" t="s">
        <v>329</v>
      </c>
      <c r="O927" t="s">
        <v>330</v>
      </c>
      <c r="P927" s="39" t="s">
        <v>429</v>
      </c>
      <c r="U927">
        <v>0.48</v>
      </c>
      <c r="V927">
        <v>0.248</v>
      </c>
      <c r="W927" t="s">
        <v>399</v>
      </c>
      <c r="Y927" t="s">
        <v>332</v>
      </c>
      <c r="AB927" s="36" t="s">
        <v>339</v>
      </c>
      <c r="AC927" s="36" t="s">
        <v>334</v>
      </c>
      <c r="AD927" s="35">
        <v>46.172600000000003</v>
      </c>
      <c r="AE927" s="35">
        <v>-84.079769999999996</v>
      </c>
      <c r="AF927" s="18">
        <v>41046.9375</v>
      </c>
      <c r="AG927" s="19">
        <v>41038.763888888891</v>
      </c>
      <c r="AH927" t="s">
        <v>161</v>
      </c>
      <c r="AL927" t="s">
        <v>335</v>
      </c>
      <c r="AM927" s="20">
        <v>41043</v>
      </c>
      <c r="AR927" s="39" t="s">
        <v>400</v>
      </c>
      <c r="AS927" s="39"/>
      <c r="AT927" s="39">
        <v>200</v>
      </c>
      <c r="AZ927" t="s">
        <v>108</v>
      </c>
      <c r="BC927" t="s">
        <v>336</v>
      </c>
    </row>
    <row r="928" spans="1:71" x14ac:dyDescent="0.25">
      <c r="A928" t="str">
        <f t="shared" si="14"/>
        <v>A69-1601-4943</v>
      </c>
      <c r="B928" t="s">
        <v>398</v>
      </c>
      <c r="C928" t="s">
        <v>324</v>
      </c>
      <c r="D928" t="s">
        <v>345</v>
      </c>
      <c r="F928">
        <v>4943</v>
      </c>
      <c r="G928" t="s">
        <v>346</v>
      </c>
      <c r="H928" t="s">
        <v>327</v>
      </c>
      <c r="I928" s="20">
        <v>41043</v>
      </c>
      <c r="J928">
        <v>101</v>
      </c>
      <c r="L928" t="s">
        <v>109</v>
      </c>
      <c r="M928" t="s">
        <v>328</v>
      </c>
      <c r="N928" t="s">
        <v>329</v>
      </c>
      <c r="O928" t="s">
        <v>330</v>
      </c>
      <c r="P928" s="39" t="s">
        <v>429</v>
      </c>
      <c r="U928">
        <v>0.48</v>
      </c>
      <c r="V928">
        <v>0.25</v>
      </c>
      <c r="W928" t="s">
        <v>399</v>
      </c>
      <c r="Y928" t="s">
        <v>332</v>
      </c>
      <c r="AB928" s="36" t="s">
        <v>339</v>
      </c>
      <c r="AC928" s="36" t="s">
        <v>334</v>
      </c>
      <c r="AD928" s="35">
        <v>46.172600000000003</v>
      </c>
      <c r="AE928" s="35">
        <v>-84.079769999999996</v>
      </c>
      <c r="AF928" s="18">
        <v>41046.9375</v>
      </c>
      <c r="AG928" s="19">
        <v>41038.763888888891</v>
      </c>
      <c r="AH928" t="s">
        <v>161</v>
      </c>
      <c r="AL928" t="s">
        <v>335</v>
      </c>
      <c r="AM928" s="20">
        <v>41043</v>
      </c>
      <c r="AR928" s="39" t="s">
        <v>400</v>
      </c>
      <c r="AS928" s="39"/>
      <c r="AT928" s="39">
        <v>200</v>
      </c>
      <c r="AZ928" t="s">
        <v>108</v>
      </c>
      <c r="BC928" t="s">
        <v>336</v>
      </c>
    </row>
    <row r="929" spans="1:71" x14ac:dyDescent="0.25">
      <c r="A929" t="str">
        <f t="shared" si="14"/>
        <v>A69-1601-4944</v>
      </c>
      <c r="B929" t="s">
        <v>398</v>
      </c>
      <c r="C929" t="s">
        <v>324</v>
      </c>
      <c r="D929" t="s">
        <v>345</v>
      </c>
      <c r="F929">
        <v>4944</v>
      </c>
      <c r="G929" t="s">
        <v>346</v>
      </c>
      <c r="H929" t="s">
        <v>327</v>
      </c>
      <c r="I929" s="20">
        <v>41043</v>
      </c>
      <c r="J929">
        <v>101</v>
      </c>
      <c r="L929" t="s">
        <v>109</v>
      </c>
      <c r="M929" t="s">
        <v>328</v>
      </c>
      <c r="N929" t="s">
        <v>329</v>
      </c>
      <c r="O929" t="s">
        <v>330</v>
      </c>
      <c r="P929" s="39" t="s">
        <v>429</v>
      </c>
      <c r="U929">
        <v>0.48</v>
      </c>
      <c r="V929">
        <v>0.23500000000000001</v>
      </c>
      <c r="W929" t="s">
        <v>399</v>
      </c>
      <c r="Y929" t="s">
        <v>332</v>
      </c>
      <c r="AB929" s="36" t="s">
        <v>339</v>
      </c>
      <c r="AC929" s="36" t="s">
        <v>334</v>
      </c>
      <c r="AD929" s="35">
        <v>46.172600000000003</v>
      </c>
      <c r="AE929" s="35">
        <v>-84.079769999999996</v>
      </c>
      <c r="AF929" s="18">
        <v>41046.9375</v>
      </c>
      <c r="AG929" s="19">
        <v>41038.763888888891</v>
      </c>
      <c r="AH929" t="s">
        <v>161</v>
      </c>
      <c r="AL929" t="s">
        <v>335</v>
      </c>
      <c r="AM929" s="20">
        <v>41043</v>
      </c>
      <c r="AR929" s="39" t="s">
        <v>400</v>
      </c>
      <c r="AS929" s="39"/>
      <c r="AT929" s="39">
        <v>200</v>
      </c>
      <c r="AZ929" t="s">
        <v>108</v>
      </c>
      <c r="BC929" t="s">
        <v>336</v>
      </c>
    </row>
    <row r="930" spans="1:71" x14ac:dyDescent="0.25">
      <c r="A930" t="str">
        <f t="shared" si="14"/>
        <v>A69-1601-4945</v>
      </c>
      <c r="B930" t="s">
        <v>398</v>
      </c>
      <c r="C930" t="s">
        <v>324</v>
      </c>
      <c r="D930" t="s">
        <v>345</v>
      </c>
      <c r="F930">
        <v>4945</v>
      </c>
      <c r="G930" t="s">
        <v>346</v>
      </c>
      <c r="H930" t="s">
        <v>327</v>
      </c>
      <c r="I930" s="20">
        <v>41043</v>
      </c>
      <c r="J930">
        <v>101</v>
      </c>
      <c r="L930" t="s">
        <v>109</v>
      </c>
      <c r="M930" t="s">
        <v>328</v>
      </c>
      <c r="N930" t="s">
        <v>329</v>
      </c>
      <c r="O930" t="s">
        <v>330</v>
      </c>
      <c r="P930" s="39" t="s">
        <v>429</v>
      </c>
      <c r="U930">
        <v>0.48</v>
      </c>
      <c r="V930">
        <v>0.27600000000000002</v>
      </c>
      <c r="W930" t="s">
        <v>399</v>
      </c>
      <c r="Y930" t="s">
        <v>332</v>
      </c>
      <c r="AB930" s="36" t="s">
        <v>339</v>
      </c>
      <c r="AC930" s="36" t="s">
        <v>334</v>
      </c>
      <c r="AD930" s="35">
        <v>46.172600000000003</v>
      </c>
      <c r="AE930" s="35">
        <v>-84.079769999999996</v>
      </c>
      <c r="AF930" s="18">
        <v>41046.9375</v>
      </c>
      <c r="AG930" s="19">
        <v>41038.763888888891</v>
      </c>
      <c r="AH930" t="s">
        <v>161</v>
      </c>
      <c r="AL930" t="s">
        <v>335</v>
      </c>
      <c r="AM930" s="20">
        <v>41043</v>
      </c>
      <c r="AR930" s="39" t="s">
        <v>400</v>
      </c>
      <c r="AS930" s="39"/>
      <c r="AT930" s="39">
        <v>200</v>
      </c>
      <c r="AZ930" t="s">
        <v>108</v>
      </c>
      <c r="BC930" t="s">
        <v>163</v>
      </c>
      <c r="BD930" s="20">
        <v>41072</v>
      </c>
      <c r="BF930" s="21" t="s">
        <v>406</v>
      </c>
      <c r="BG930" s="38" t="s">
        <v>113</v>
      </c>
      <c r="BH930" s="1" t="s">
        <v>425</v>
      </c>
      <c r="BI930" s="39">
        <v>46.504829000000001</v>
      </c>
      <c r="BJ930" s="39">
        <v>-84.354651000000004</v>
      </c>
      <c r="BK930" s="1" t="s">
        <v>405</v>
      </c>
      <c r="BL930" s="1" t="s">
        <v>336</v>
      </c>
      <c r="BQ930" s="39" t="s">
        <v>332</v>
      </c>
      <c r="BR930" s="39">
        <v>470</v>
      </c>
      <c r="BS930" s="39">
        <v>256</v>
      </c>
    </row>
    <row r="931" spans="1:71" x14ac:dyDescent="0.25">
      <c r="A931" t="str">
        <f t="shared" si="14"/>
        <v>A69-1601-4946</v>
      </c>
      <c r="B931" t="s">
        <v>398</v>
      </c>
      <c r="C931" t="s">
        <v>324</v>
      </c>
      <c r="D931" t="s">
        <v>345</v>
      </c>
      <c r="F931">
        <v>4946</v>
      </c>
      <c r="G931" t="s">
        <v>346</v>
      </c>
      <c r="H931" t="s">
        <v>327</v>
      </c>
      <c r="I931" s="20">
        <v>41043</v>
      </c>
      <c r="J931">
        <v>101</v>
      </c>
      <c r="L931" t="s">
        <v>109</v>
      </c>
      <c r="M931" t="s">
        <v>328</v>
      </c>
      <c r="N931" t="s">
        <v>329</v>
      </c>
      <c r="O931" t="s">
        <v>330</v>
      </c>
      <c r="P931" s="39" t="s">
        <v>429</v>
      </c>
      <c r="U931">
        <v>0.51</v>
      </c>
      <c r="V931">
        <v>0.27200000000000002</v>
      </c>
      <c r="W931" t="s">
        <v>399</v>
      </c>
      <c r="Y931" t="s">
        <v>332</v>
      </c>
      <c r="AB931" s="36" t="s">
        <v>339</v>
      </c>
      <c r="AC931" s="36" t="s">
        <v>334</v>
      </c>
      <c r="AD931" s="35">
        <v>46.172600000000003</v>
      </c>
      <c r="AE931" s="35">
        <v>-84.079769999999996</v>
      </c>
      <c r="AF931" s="18">
        <v>41046.9375</v>
      </c>
      <c r="AG931" s="19">
        <v>41038.763888888891</v>
      </c>
      <c r="AH931" t="s">
        <v>161</v>
      </c>
      <c r="AL931" t="s">
        <v>335</v>
      </c>
      <c r="AM931" s="20">
        <v>41043</v>
      </c>
      <c r="AR931" s="39" t="s">
        <v>400</v>
      </c>
      <c r="AS931" s="39"/>
      <c r="AT931" s="39">
        <v>200</v>
      </c>
      <c r="AZ931" t="s">
        <v>108</v>
      </c>
      <c r="BC931" t="s">
        <v>336</v>
      </c>
    </row>
    <row r="932" spans="1:71" x14ac:dyDescent="0.25">
      <c r="A932" t="str">
        <f t="shared" si="14"/>
        <v>A69-1601-4947</v>
      </c>
      <c r="B932" t="s">
        <v>398</v>
      </c>
      <c r="C932" t="s">
        <v>324</v>
      </c>
      <c r="D932" t="s">
        <v>345</v>
      </c>
      <c r="F932">
        <v>4947</v>
      </c>
      <c r="G932" t="s">
        <v>346</v>
      </c>
      <c r="H932" t="s">
        <v>327</v>
      </c>
      <c r="I932" s="20">
        <v>41043</v>
      </c>
      <c r="J932">
        <v>101</v>
      </c>
      <c r="L932" t="s">
        <v>109</v>
      </c>
      <c r="M932" t="s">
        <v>328</v>
      </c>
      <c r="N932" t="s">
        <v>329</v>
      </c>
      <c r="O932" t="s">
        <v>330</v>
      </c>
      <c r="P932" s="39" t="s">
        <v>429</v>
      </c>
      <c r="U932">
        <v>0.55000000000000004</v>
      </c>
      <c r="V932">
        <v>0.41000000000000003</v>
      </c>
      <c r="W932" t="s">
        <v>399</v>
      </c>
      <c r="Y932" t="s">
        <v>332</v>
      </c>
      <c r="AB932" s="36" t="s">
        <v>339</v>
      </c>
      <c r="AC932" s="36" t="s">
        <v>334</v>
      </c>
      <c r="AD932" s="35">
        <v>46.172600000000003</v>
      </c>
      <c r="AE932" s="35">
        <v>-84.079769999999996</v>
      </c>
      <c r="AF932" s="18">
        <v>41046.9375</v>
      </c>
      <c r="AG932" s="19">
        <v>41038.763888888891</v>
      </c>
      <c r="AH932" t="s">
        <v>161</v>
      </c>
      <c r="AL932" t="s">
        <v>335</v>
      </c>
      <c r="AM932" s="20">
        <v>41043</v>
      </c>
      <c r="AR932" s="39" t="s">
        <v>400</v>
      </c>
      <c r="AS932" s="39"/>
      <c r="AT932" s="39">
        <v>200</v>
      </c>
      <c r="AZ932" t="s">
        <v>108</v>
      </c>
      <c r="BC932" t="s">
        <v>336</v>
      </c>
    </row>
    <row r="933" spans="1:71" x14ac:dyDescent="0.25">
      <c r="A933" t="str">
        <f t="shared" si="14"/>
        <v>A69-1601-4948</v>
      </c>
      <c r="B933" t="s">
        <v>398</v>
      </c>
      <c r="C933" t="s">
        <v>324</v>
      </c>
      <c r="D933" t="s">
        <v>345</v>
      </c>
      <c r="F933">
        <v>4948</v>
      </c>
      <c r="G933" t="s">
        <v>346</v>
      </c>
      <c r="H933" t="s">
        <v>327</v>
      </c>
      <c r="I933" s="20">
        <v>41043</v>
      </c>
      <c r="J933">
        <v>101</v>
      </c>
      <c r="L933" t="s">
        <v>109</v>
      </c>
      <c r="M933" t="s">
        <v>328</v>
      </c>
      <c r="N933" t="s">
        <v>329</v>
      </c>
      <c r="O933" t="s">
        <v>330</v>
      </c>
      <c r="P933" s="39" t="s">
        <v>429</v>
      </c>
      <c r="U933">
        <v>0.52</v>
      </c>
      <c r="V933">
        <v>0.32200000000000001</v>
      </c>
      <c r="W933" t="s">
        <v>399</v>
      </c>
      <c r="Y933" t="s">
        <v>332</v>
      </c>
      <c r="AB933" s="36" t="s">
        <v>339</v>
      </c>
      <c r="AC933" s="36" t="s">
        <v>334</v>
      </c>
      <c r="AD933" s="35">
        <v>46.172600000000003</v>
      </c>
      <c r="AE933" s="35">
        <v>-84.079769999999996</v>
      </c>
      <c r="AF933" s="18">
        <v>41046.9375</v>
      </c>
      <c r="AG933" s="19">
        <v>41038.763888888891</v>
      </c>
      <c r="AH933" t="s">
        <v>161</v>
      </c>
      <c r="AL933" t="s">
        <v>335</v>
      </c>
      <c r="AM933" s="20">
        <v>41043</v>
      </c>
      <c r="AR933" s="39" t="s">
        <v>400</v>
      </c>
      <c r="AS933" s="39"/>
      <c r="AT933" s="39">
        <v>200</v>
      </c>
      <c r="AZ933" t="s">
        <v>108</v>
      </c>
      <c r="BC933" t="s">
        <v>336</v>
      </c>
    </row>
    <row r="934" spans="1:71" x14ac:dyDescent="0.25">
      <c r="A934" t="str">
        <f t="shared" si="14"/>
        <v>A69-1601-4949</v>
      </c>
      <c r="B934" t="s">
        <v>398</v>
      </c>
      <c r="C934" t="s">
        <v>324</v>
      </c>
      <c r="D934" t="s">
        <v>345</v>
      </c>
      <c r="F934">
        <v>4949</v>
      </c>
      <c r="G934" t="s">
        <v>346</v>
      </c>
      <c r="H934" t="s">
        <v>327</v>
      </c>
      <c r="I934" s="20">
        <v>41043</v>
      </c>
      <c r="J934">
        <v>101</v>
      </c>
      <c r="L934" t="s">
        <v>109</v>
      </c>
      <c r="M934" t="s">
        <v>328</v>
      </c>
      <c r="N934" t="s">
        <v>329</v>
      </c>
      <c r="O934" t="s">
        <v>330</v>
      </c>
      <c r="P934" s="39" t="s">
        <v>429</v>
      </c>
      <c r="U934">
        <v>0.54</v>
      </c>
      <c r="V934">
        <v>0.34800000000000003</v>
      </c>
      <c r="W934" t="s">
        <v>399</v>
      </c>
      <c r="Y934" t="s">
        <v>332</v>
      </c>
      <c r="AB934" s="36" t="s">
        <v>339</v>
      </c>
      <c r="AC934" s="36" t="s">
        <v>334</v>
      </c>
      <c r="AD934" s="35">
        <v>46.172600000000003</v>
      </c>
      <c r="AE934" s="35">
        <v>-84.079769999999996</v>
      </c>
      <c r="AF934" s="18">
        <v>41046.9375</v>
      </c>
      <c r="AG934" s="19">
        <v>41038.763888888891</v>
      </c>
      <c r="AH934" t="s">
        <v>161</v>
      </c>
      <c r="AL934" t="s">
        <v>335</v>
      </c>
      <c r="AM934" s="20">
        <v>41043</v>
      </c>
      <c r="AR934" s="39" t="s">
        <v>400</v>
      </c>
      <c r="AS934" s="39"/>
      <c r="AT934" s="39">
        <v>200</v>
      </c>
      <c r="AZ934" t="s">
        <v>108</v>
      </c>
      <c r="BC934" t="s">
        <v>336</v>
      </c>
    </row>
    <row r="935" spans="1:71" x14ac:dyDescent="0.25">
      <c r="A935" t="str">
        <f t="shared" si="14"/>
        <v>A69-1601-4950</v>
      </c>
      <c r="B935" t="s">
        <v>398</v>
      </c>
      <c r="C935" t="s">
        <v>324</v>
      </c>
      <c r="D935" t="s">
        <v>345</v>
      </c>
      <c r="F935">
        <v>4950</v>
      </c>
      <c r="G935" t="s">
        <v>346</v>
      </c>
      <c r="H935" t="s">
        <v>327</v>
      </c>
      <c r="I935" s="20">
        <v>41043</v>
      </c>
      <c r="J935">
        <v>101</v>
      </c>
      <c r="L935" t="s">
        <v>109</v>
      </c>
      <c r="M935" t="s">
        <v>328</v>
      </c>
      <c r="N935" t="s">
        <v>329</v>
      </c>
      <c r="O935" t="s">
        <v>330</v>
      </c>
      <c r="P935" s="39" t="s">
        <v>429</v>
      </c>
      <c r="U935">
        <v>0.49</v>
      </c>
      <c r="V935">
        <v>0.251</v>
      </c>
      <c r="W935" t="s">
        <v>399</v>
      </c>
      <c r="Y935" t="s">
        <v>332</v>
      </c>
      <c r="AB935" s="36" t="s">
        <v>339</v>
      </c>
      <c r="AC935" s="36" t="s">
        <v>334</v>
      </c>
      <c r="AD935" s="35">
        <v>46.172600000000003</v>
      </c>
      <c r="AE935" s="35">
        <v>-84.079769999999996</v>
      </c>
      <c r="AF935" s="18">
        <v>41046.9375</v>
      </c>
      <c r="AG935" s="19">
        <v>41038.763888888891</v>
      </c>
      <c r="AH935" t="s">
        <v>161</v>
      </c>
      <c r="AL935" t="s">
        <v>335</v>
      </c>
      <c r="AM935" s="20">
        <v>41043</v>
      </c>
      <c r="AR935" s="39" t="s">
        <v>400</v>
      </c>
      <c r="AS935" s="39"/>
      <c r="AT935" s="39">
        <v>200</v>
      </c>
      <c r="AZ935" t="s">
        <v>108</v>
      </c>
      <c r="BC935" t="s">
        <v>336</v>
      </c>
    </row>
    <row r="936" spans="1:71" x14ac:dyDescent="0.25">
      <c r="A936" t="str">
        <f t="shared" si="14"/>
        <v>A69-1601-4951</v>
      </c>
      <c r="B936" t="s">
        <v>398</v>
      </c>
      <c r="C936" t="s">
        <v>324</v>
      </c>
      <c r="D936" t="s">
        <v>345</v>
      </c>
      <c r="F936">
        <v>4951</v>
      </c>
      <c r="G936" t="s">
        <v>346</v>
      </c>
      <c r="H936" t="s">
        <v>327</v>
      </c>
      <c r="I936" s="20">
        <v>41043</v>
      </c>
      <c r="J936">
        <v>101</v>
      </c>
      <c r="L936" t="s">
        <v>109</v>
      </c>
      <c r="M936" t="s">
        <v>328</v>
      </c>
      <c r="N936" t="s">
        <v>329</v>
      </c>
      <c r="O936" t="s">
        <v>330</v>
      </c>
      <c r="P936" s="39" t="s">
        <v>429</v>
      </c>
      <c r="U936">
        <v>0.53</v>
      </c>
      <c r="V936">
        <v>0.33500000000000002</v>
      </c>
      <c r="W936" t="s">
        <v>399</v>
      </c>
      <c r="Y936" t="s">
        <v>332</v>
      </c>
      <c r="AB936" s="36" t="s">
        <v>339</v>
      </c>
      <c r="AC936" s="36" t="s">
        <v>334</v>
      </c>
      <c r="AD936" s="35">
        <v>46.172600000000003</v>
      </c>
      <c r="AE936" s="35">
        <v>-84.079769999999996</v>
      </c>
      <c r="AF936" s="18">
        <v>41046.9375</v>
      </c>
      <c r="AG936" s="19">
        <v>41038.763888888891</v>
      </c>
      <c r="AH936" t="s">
        <v>161</v>
      </c>
      <c r="AL936" t="s">
        <v>335</v>
      </c>
      <c r="AM936" s="20">
        <v>41043</v>
      </c>
      <c r="AR936" s="39" t="s">
        <v>400</v>
      </c>
      <c r="AS936" s="39"/>
      <c r="AT936" s="39">
        <v>200</v>
      </c>
      <c r="AZ936" t="s">
        <v>108</v>
      </c>
      <c r="BC936" t="s">
        <v>336</v>
      </c>
    </row>
    <row r="937" spans="1:71" x14ac:dyDescent="0.25">
      <c r="A937" t="str">
        <f t="shared" si="14"/>
        <v>A69-1601-4952</v>
      </c>
      <c r="B937" t="s">
        <v>398</v>
      </c>
      <c r="C937" t="s">
        <v>324</v>
      </c>
      <c r="D937" t="s">
        <v>345</v>
      </c>
      <c r="F937">
        <v>4952</v>
      </c>
      <c r="G937" t="s">
        <v>346</v>
      </c>
      <c r="H937" t="s">
        <v>327</v>
      </c>
      <c r="I937" s="20">
        <v>41043</v>
      </c>
      <c r="J937">
        <v>101</v>
      </c>
      <c r="L937" t="s">
        <v>109</v>
      </c>
      <c r="M937" t="s">
        <v>328</v>
      </c>
      <c r="N937" t="s">
        <v>329</v>
      </c>
      <c r="O937" t="s">
        <v>330</v>
      </c>
      <c r="P937" s="39" t="s">
        <v>429</v>
      </c>
      <c r="U937">
        <v>0.53</v>
      </c>
      <c r="V937">
        <v>0.34500000000000003</v>
      </c>
      <c r="W937" t="s">
        <v>399</v>
      </c>
      <c r="Y937" t="s">
        <v>332</v>
      </c>
      <c r="AB937" s="36" t="s">
        <v>339</v>
      </c>
      <c r="AC937" s="36" t="s">
        <v>334</v>
      </c>
      <c r="AD937" s="35">
        <v>46.172600000000003</v>
      </c>
      <c r="AE937" s="35">
        <v>-84.079769999999996</v>
      </c>
      <c r="AF937" s="18">
        <v>41046.9375</v>
      </c>
      <c r="AG937" s="19">
        <v>41038.763888888891</v>
      </c>
      <c r="AH937" t="s">
        <v>161</v>
      </c>
      <c r="AL937" t="s">
        <v>335</v>
      </c>
      <c r="AM937" s="20">
        <v>41043</v>
      </c>
      <c r="AR937" s="39" t="s">
        <v>400</v>
      </c>
      <c r="AS937" s="39"/>
      <c r="AT937" s="39">
        <v>200</v>
      </c>
      <c r="AZ937" t="s">
        <v>108</v>
      </c>
      <c r="BC937" t="s">
        <v>336</v>
      </c>
    </row>
    <row r="938" spans="1:71" x14ac:dyDescent="0.25">
      <c r="A938" t="str">
        <f t="shared" si="14"/>
        <v>A69-1601-4953</v>
      </c>
      <c r="B938" t="s">
        <v>398</v>
      </c>
      <c r="C938" t="s">
        <v>324</v>
      </c>
      <c r="D938" t="s">
        <v>345</v>
      </c>
      <c r="F938">
        <v>4953</v>
      </c>
      <c r="G938" t="s">
        <v>346</v>
      </c>
      <c r="H938" t="s">
        <v>327</v>
      </c>
      <c r="I938" s="20">
        <v>41043</v>
      </c>
      <c r="J938">
        <v>101</v>
      </c>
      <c r="L938" t="s">
        <v>109</v>
      </c>
      <c r="M938" t="s">
        <v>328</v>
      </c>
      <c r="N938" t="s">
        <v>329</v>
      </c>
      <c r="O938" t="s">
        <v>330</v>
      </c>
      <c r="P938" s="39" t="s">
        <v>429</v>
      </c>
      <c r="U938">
        <v>0.47000000000000003</v>
      </c>
      <c r="V938">
        <v>0.22800000000000001</v>
      </c>
      <c r="W938" t="s">
        <v>399</v>
      </c>
      <c r="Y938" t="s">
        <v>332</v>
      </c>
      <c r="AB938" s="36" t="s">
        <v>339</v>
      </c>
      <c r="AC938" s="36" t="s">
        <v>334</v>
      </c>
      <c r="AD938" s="35">
        <v>46.172600000000003</v>
      </c>
      <c r="AE938" s="35">
        <v>-84.079769999999996</v>
      </c>
      <c r="AF938" s="18">
        <v>41046.9375</v>
      </c>
      <c r="AG938" s="19">
        <v>41038.763888888891</v>
      </c>
      <c r="AH938" t="s">
        <v>161</v>
      </c>
      <c r="AL938" t="s">
        <v>335</v>
      </c>
      <c r="AM938" s="20">
        <v>41043</v>
      </c>
      <c r="AR938" s="39" t="s">
        <v>400</v>
      </c>
      <c r="AS938" s="39"/>
      <c r="AT938" s="39">
        <v>200</v>
      </c>
      <c r="AZ938" t="s">
        <v>108</v>
      </c>
      <c r="BC938" t="s">
        <v>336</v>
      </c>
    </row>
    <row r="939" spans="1:71" x14ac:dyDescent="0.25">
      <c r="A939" t="str">
        <f t="shared" si="14"/>
        <v>A69-1601-4955</v>
      </c>
      <c r="B939" t="s">
        <v>398</v>
      </c>
      <c r="C939" t="s">
        <v>324</v>
      </c>
      <c r="D939" t="s">
        <v>345</v>
      </c>
      <c r="F939">
        <v>4955</v>
      </c>
      <c r="G939" t="s">
        <v>346</v>
      </c>
      <c r="H939" t="s">
        <v>327</v>
      </c>
      <c r="I939" s="20">
        <v>41043</v>
      </c>
      <c r="J939">
        <v>101</v>
      </c>
      <c r="L939" t="s">
        <v>109</v>
      </c>
      <c r="M939" t="s">
        <v>328</v>
      </c>
      <c r="N939" t="s">
        <v>329</v>
      </c>
      <c r="O939" t="s">
        <v>330</v>
      </c>
      <c r="P939" s="39" t="s">
        <v>429</v>
      </c>
      <c r="U939">
        <v>0.55000000000000004</v>
      </c>
      <c r="V939">
        <v>0.34300000000000003</v>
      </c>
      <c r="W939" t="s">
        <v>399</v>
      </c>
      <c r="Y939" t="s">
        <v>332</v>
      </c>
      <c r="AB939" s="36" t="s">
        <v>339</v>
      </c>
      <c r="AC939" s="36" t="s">
        <v>334</v>
      </c>
      <c r="AD939" s="35">
        <v>46.172600000000003</v>
      </c>
      <c r="AE939" s="35">
        <v>-84.079769999999996</v>
      </c>
      <c r="AF939" s="18">
        <v>41046.9375</v>
      </c>
      <c r="AG939" s="19">
        <v>41038.763888888891</v>
      </c>
      <c r="AH939" t="s">
        <v>161</v>
      </c>
      <c r="AL939" t="s">
        <v>335</v>
      </c>
      <c r="AM939" s="20">
        <v>41043</v>
      </c>
      <c r="AR939" s="39" t="s">
        <v>400</v>
      </c>
      <c r="AS939" s="39"/>
      <c r="AT939" s="39">
        <v>200</v>
      </c>
      <c r="AZ939" t="s">
        <v>108</v>
      </c>
      <c r="BC939" t="s">
        <v>336</v>
      </c>
    </row>
    <row r="940" spans="1:71" x14ac:dyDescent="0.25">
      <c r="A940" t="str">
        <f t="shared" si="14"/>
        <v>A69-1601-4956</v>
      </c>
      <c r="B940" t="s">
        <v>398</v>
      </c>
      <c r="C940" t="s">
        <v>324</v>
      </c>
      <c r="D940" t="s">
        <v>345</v>
      </c>
      <c r="F940">
        <v>4956</v>
      </c>
      <c r="G940" t="s">
        <v>346</v>
      </c>
      <c r="H940" t="s">
        <v>327</v>
      </c>
      <c r="I940" s="20">
        <v>41043</v>
      </c>
      <c r="J940">
        <v>101</v>
      </c>
      <c r="L940" t="s">
        <v>109</v>
      </c>
      <c r="M940" t="s">
        <v>328</v>
      </c>
      <c r="N940" t="s">
        <v>329</v>
      </c>
      <c r="O940" t="s">
        <v>330</v>
      </c>
      <c r="P940" s="39" t="s">
        <v>429</v>
      </c>
      <c r="U940">
        <v>0.57999999999999996</v>
      </c>
      <c r="V940">
        <v>0.37</v>
      </c>
      <c r="W940" t="s">
        <v>399</v>
      </c>
      <c r="Y940" t="s">
        <v>332</v>
      </c>
      <c r="AB940" s="36" t="s">
        <v>339</v>
      </c>
      <c r="AC940" s="36" t="s">
        <v>334</v>
      </c>
      <c r="AD940" s="35">
        <v>46.172600000000003</v>
      </c>
      <c r="AE940" s="35">
        <v>-84.079769999999996</v>
      </c>
      <c r="AF940" s="18">
        <v>41046.9375</v>
      </c>
      <c r="AG940" s="19">
        <v>41038.763888888891</v>
      </c>
      <c r="AH940" t="s">
        <v>161</v>
      </c>
      <c r="AL940" t="s">
        <v>335</v>
      </c>
      <c r="AM940" s="20">
        <v>41043</v>
      </c>
      <c r="AR940" s="39" t="s">
        <v>400</v>
      </c>
      <c r="AS940" s="39"/>
      <c r="AT940" s="39">
        <v>200</v>
      </c>
      <c r="AZ940" t="s">
        <v>108</v>
      </c>
      <c r="BC940" t="s">
        <v>336</v>
      </c>
    </row>
    <row r="941" spans="1:71" x14ac:dyDescent="0.25">
      <c r="A941" t="str">
        <f t="shared" si="14"/>
        <v>A69-1601-4957</v>
      </c>
      <c r="B941" t="s">
        <v>398</v>
      </c>
      <c r="C941" t="s">
        <v>324</v>
      </c>
      <c r="D941" t="s">
        <v>345</v>
      </c>
      <c r="F941">
        <v>4957</v>
      </c>
      <c r="G941" t="s">
        <v>346</v>
      </c>
      <c r="H941" t="s">
        <v>327</v>
      </c>
      <c r="I941" s="20">
        <v>41043</v>
      </c>
      <c r="J941">
        <v>101</v>
      </c>
      <c r="L941" t="s">
        <v>109</v>
      </c>
      <c r="M941" t="s">
        <v>328</v>
      </c>
      <c r="N941" t="s">
        <v>329</v>
      </c>
      <c r="O941" t="s">
        <v>330</v>
      </c>
      <c r="P941" s="39" t="s">
        <v>429</v>
      </c>
      <c r="U941">
        <v>0.54</v>
      </c>
      <c r="V941">
        <v>0.3</v>
      </c>
      <c r="W941" t="s">
        <v>399</v>
      </c>
      <c r="Y941" t="s">
        <v>332</v>
      </c>
      <c r="AB941" s="36" t="s">
        <v>339</v>
      </c>
      <c r="AC941" s="36" t="s">
        <v>334</v>
      </c>
      <c r="AD941" s="35">
        <v>46.172600000000003</v>
      </c>
      <c r="AE941" s="35">
        <v>-84.079769999999996</v>
      </c>
      <c r="AF941" s="18">
        <v>41046.9375</v>
      </c>
      <c r="AG941" s="19">
        <v>41038.763888888891</v>
      </c>
      <c r="AH941" t="s">
        <v>161</v>
      </c>
      <c r="AL941" t="s">
        <v>335</v>
      </c>
      <c r="AM941" s="20">
        <v>41043</v>
      </c>
      <c r="AR941" s="39" t="s">
        <v>400</v>
      </c>
      <c r="AS941" s="39"/>
      <c r="AT941" s="39">
        <v>200</v>
      </c>
      <c r="AZ941" t="s">
        <v>108</v>
      </c>
      <c r="BC941" t="s">
        <v>336</v>
      </c>
    </row>
    <row r="942" spans="1:71" x14ac:dyDescent="0.25">
      <c r="A942" t="str">
        <f t="shared" si="14"/>
        <v>A69-1601-4958</v>
      </c>
      <c r="B942" t="s">
        <v>398</v>
      </c>
      <c r="C942" t="s">
        <v>324</v>
      </c>
      <c r="D942" t="s">
        <v>345</v>
      </c>
      <c r="F942">
        <v>4958</v>
      </c>
      <c r="G942" t="s">
        <v>346</v>
      </c>
      <c r="H942" t="s">
        <v>327</v>
      </c>
      <c r="I942" s="20">
        <v>41043</v>
      </c>
      <c r="J942">
        <v>101</v>
      </c>
      <c r="L942" t="s">
        <v>109</v>
      </c>
      <c r="M942" t="s">
        <v>328</v>
      </c>
      <c r="N942" t="s">
        <v>329</v>
      </c>
      <c r="O942" t="s">
        <v>330</v>
      </c>
      <c r="P942" s="39" t="s">
        <v>429</v>
      </c>
      <c r="U942">
        <v>0.49</v>
      </c>
      <c r="V942">
        <v>0.22</v>
      </c>
      <c r="W942" t="s">
        <v>399</v>
      </c>
      <c r="Y942" t="s">
        <v>332</v>
      </c>
      <c r="AB942" s="36" t="s">
        <v>339</v>
      </c>
      <c r="AC942" s="36" t="s">
        <v>334</v>
      </c>
      <c r="AD942" s="35">
        <v>46.172600000000003</v>
      </c>
      <c r="AE942" s="35">
        <v>-84.079769999999996</v>
      </c>
      <c r="AF942" s="18">
        <v>41046.9375</v>
      </c>
      <c r="AG942" s="19">
        <v>41038.763888888891</v>
      </c>
      <c r="AH942" t="s">
        <v>161</v>
      </c>
      <c r="AL942" t="s">
        <v>335</v>
      </c>
      <c r="AM942" s="20">
        <v>41043</v>
      </c>
      <c r="AR942" s="39" t="s">
        <v>400</v>
      </c>
      <c r="AS942" s="39"/>
      <c r="AT942" s="39">
        <v>200</v>
      </c>
      <c r="AZ942" t="s">
        <v>108</v>
      </c>
      <c r="BC942" t="s">
        <v>336</v>
      </c>
    </row>
    <row r="943" spans="1:71" x14ac:dyDescent="0.25">
      <c r="A943" t="str">
        <f t="shared" si="14"/>
        <v>A69-1601-4959</v>
      </c>
      <c r="B943" t="s">
        <v>398</v>
      </c>
      <c r="C943" t="s">
        <v>324</v>
      </c>
      <c r="D943" t="s">
        <v>345</v>
      </c>
      <c r="F943">
        <v>4959</v>
      </c>
      <c r="G943" t="s">
        <v>346</v>
      </c>
      <c r="H943" t="s">
        <v>327</v>
      </c>
      <c r="I943" s="20">
        <v>41043</v>
      </c>
      <c r="J943">
        <v>101</v>
      </c>
      <c r="L943" t="s">
        <v>109</v>
      </c>
      <c r="M943" t="s">
        <v>328</v>
      </c>
      <c r="N943" t="s">
        <v>329</v>
      </c>
      <c r="O943" t="s">
        <v>330</v>
      </c>
      <c r="P943" s="39" t="s">
        <v>429</v>
      </c>
      <c r="U943">
        <v>0.51</v>
      </c>
      <c r="V943">
        <v>0.29699999999999999</v>
      </c>
      <c r="W943" t="s">
        <v>399</v>
      </c>
      <c r="Y943" t="s">
        <v>332</v>
      </c>
      <c r="AB943" s="36" t="s">
        <v>339</v>
      </c>
      <c r="AC943" s="36" t="s">
        <v>334</v>
      </c>
      <c r="AD943" s="35">
        <v>46.172600000000003</v>
      </c>
      <c r="AE943" s="35">
        <v>-84.079769999999996</v>
      </c>
      <c r="AF943" s="18">
        <v>41046.9375</v>
      </c>
      <c r="AG943" s="19">
        <v>41038.763888888891</v>
      </c>
      <c r="AH943" t="s">
        <v>161</v>
      </c>
      <c r="AL943" t="s">
        <v>335</v>
      </c>
      <c r="AM943" s="20">
        <v>41043</v>
      </c>
      <c r="AR943" s="39" t="s">
        <v>400</v>
      </c>
      <c r="AS943" s="39"/>
      <c r="AT943" s="39">
        <v>200</v>
      </c>
      <c r="AZ943" t="s">
        <v>108</v>
      </c>
      <c r="BC943" t="s">
        <v>336</v>
      </c>
    </row>
    <row r="944" spans="1:71" x14ac:dyDescent="0.25">
      <c r="A944" t="str">
        <f t="shared" si="14"/>
        <v>A69-1601-4960</v>
      </c>
      <c r="B944" t="s">
        <v>398</v>
      </c>
      <c r="C944" t="s">
        <v>324</v>
      </c>
      <c r="D944" t="s">
        <v>345</v>
      </c>
      <c r="F944">
        <v>4960</v>
      </c>
      <c r="G944" t="s">
        <v>346</v>
      </c>
      <c r="H944" t="s">
        <v>327</v>
      </c>
      <c r="I944" s="20">
        <v>41043</v>
      </c>
      <c r="J944">
        <v>101</v>
      </c>
      <c r="L944" t="s">
        <v>109</v>
      </c>
      <c r="M944" t="s">
        <v>328</v>
      </c>
      <c r="N944" t="s">
        <v>329</v>
      </c>
      <c r="O944" t="s">
        <v>330</v>
      </c>
      <c r="P944" s="39" t="s">
        <v>429</v>
      </c>
      <c r="U944">
        <v>0.51</v>
      </c>
      <c r="V944">
        <v>0.28600000000000003</v>
      </c>
      <c r="W944" t="s">
        <v>399</v>
      </c>
      <c r="Y944" t="s">
        <v>332</v>
      </c>
      <c r="AB944" s="36" t="s">
        <v>339</v>
      </c>
      <c r="AC944" s="36" t="s">
        <v>334</v>
      </c>
      <c r="AD944" s="35">
        <v>46.172600000000003</v>
      </c>
      <c r="AE944" s="35">
        <v>-84.079769999999996</v>
      </c>
      <c r="AF944" s="18">
        <v>41046.9375</v>
      </c>
      <c r="AG944" s="19">
        <v>41038.763888888891</v>
      </c>
      <c r="AH944" t="s">
        <v>161</v>
      </c>
      <c r="AL944" t="s">
        <v>335</v>
      </c>
      <c r="AM944" s="20">
        <v>41043</v>
      </c>
      <c r="AR944" s="39" t="s">
        <v>400</v>
      </c>
      <c r="AS944" s="39"/>
      <c r="AT944" s="39">
        <v>200</v>
      </c>
      <c r="AZ944" t="s">
        <v>108</v>
      </c>
      <c r="BC944" t="s">
        <v>336</v>
      </c>
    </row>
    <row r="945" spans="1:55" x14ac:dyDescent="0.25">
      <c r="A945" t="str">
        <f t="shared" si="14"/>
        <v>A69-9002-7205</v>
      </c>
      <c r="B945" t="s">
        <v>398</v>
      </c>
      <c r="C945" t="s">
        <v>324</v>
      </c>
      <c r="D945" t="s">
        <v>325</v>
      </c>
      <c r="F945">
        <v>7205</v>
      </c>
      <c r="G945" t="s">
        <v>326</v>
      </c>
      <c r="H945" t="s">
        <v>327</v>
      </c>
      <c r="I945" s="20">
        <v>41043</v>
      </c>
      <c r="J945">
        <v>77</v>
      </c>
      <c r="L945" t="s">
        <v>109</v>
      </c>
      <c r="M945" t="s">
        <v>328</v>
      </c>
      <c r="N945" t="s">
        <v>329</v>
      </c>
      <c r="O945" t="s">
        <v>330</v>
      </c>
      <c r="P945" s="39" t="s">
        <v>429</v>
      </c>
      <c r="U945">
        <v>0.49</v>
      </c>
      <c r="V945">
        <v>0.27600000000000002</v>
      </c>
      <c r="W945" t="s">
        <v>399</v>
      </c>
      <c r="Y945" t="s">
        <v>332</v>
      </c>
      <c r="AB945" s="36" t="s">
        <v>339</v>
      </c>
      <c r="AC945" s="36" t="s">
        <v>334</v>
      </c>
      <c r="AD945" s="35">
        <v>46.172600000000003</v>
      </c>
      <c r="AE945" s="35">
        <v>-84.079769999999996</v>
      </c>
      <c r="AF945" s="18">
        <v>41046.9375</v>
      </c>
      <c r="AG945" s="19">
        <v>41038.763888888891</v>
      </c>
      <c r="AH945" t="s">
        <v>161</v>
      </c>
      <c r="AL945" t="s">
        <v>335</v>
      </c>
      <c r="AM945" s="20">
        <v>41043</v>
      </c>
      <c r="AR945" s="39" t="s">
        <v>400</v>
      </c>
      <c r="AS945" s="39"/>
      <c r="AT945" s="39">
        <v>200</v>
      </c>
      <c r="AZ945" t="s">
        <v>108</v>
      </c>
      <c r="BC945" t="s">
        <v>336</v>
      </c>
    </row>
    <row r="946" spans="1:55" x14ac:dyDescent="0.25">
      <c r="A946" t="str">
        <f t="shared" si="14"/>
        <v>A69-9002-7206</v>
      </c>
      <c r="B946" t="s">
        <v>398</v>
      </c>
      <c r="C946" t="s">
        <v>324</v>
      </c>
      <c r="D946" t="s">
        <v>325</v>
      </c>
      <c r="F946">
        <v>7206</v>
      </c>
      <c r="G946" t="s">
        <v>326</v>
      </c>
      <c r="H946" t="s">
        <v>327</v>
      </c>
      <c r="I946" s="20">
        <v>41043</v>
      </c>
      <c r="J946">
        <v>77</v>
      </c>
      <c r="L946" t="s">
        <v>109</v>
      </c>
      <c r="M946" t="s">
        <v>328</v>
      </c>
      <c r="N946" t="s">
        <v>329</v>
      </c>
      <c r="O946" t="s">
        <v>330</v>
      </c>
      <c r="P946" s="39" t="s">
        <v>429</v>
      </c>
      <c r="U946">
        <v>0.54</v>
      </c>
      <c r="V946">
        <v>0.29299999999999998</v>
      </c>
      <c r="W946" t="s">
        <v>399</v>
      </c>
      <c r="Y946" t="s">
        <v>332</v>
      </c>
      <c r="AB946" s="36" t="s">
        <v>339</v>
      </c>
      <c r="AC946" s="36" t="s">
        <v>334</v>
      </c>
      <c r="AD946" s="35">
        <v>46.172600000000003</v>
      </c>
      <c r="AE946" s="35">
        <v>-84.079769999999996</v>
      </c>
      <c r="AF946" s="18">
        <v>41046.9375</v>
      </c>
      <c r="AG946" s="19">
        <v>41038.763888888891</v>
      </c>
      <c r="AH946" t="s">
        <v>161</v>
      </c>
      <c r="AL946" t="s">
        <v>335</v>
      </c>
      <c r="AM946" s="20">
        <v>41043</v>
      </c>
      <c r="AR946" s="39" t="s">
        <v>400</v>
      </c>
      <c r="AS946" s="39"/>
      <c r="AT946" s="39">
        <v>200</v>
      </c>
      <c r="AZ946" t="s">
        <v>108</v>
      </c>
      <c r="BC946" t="s">
        <v>336</v>
      </c>
    </row>
    <row r="947" spans="1:55" x14ac:dyDescent="0.25">
      <c r="A947" t="str">
        <f t="shared" si="14"/>
        <v>A69-9002-7188</v>
      </c>
      <c r="B947" t="s">
        <v>398</v>
      </c>
      <c r="C947" t="s">
        <v>324</v>
      </c>
      <c r="D947" t="s">
        <v>325</v>
      </c>
      <c r="F947">
        <v>7188</v>
      </c>
      <c r="G947" t="s">
        <v>326</v>
      </c>
      <c r="H947" t="s">
        <v>327</v>
      </c>
      <c r="I947" s="20">
        <v>41043</v>
      </c>
      <c r="J947">
        <v>77</v>
      </c>
      <c r="L947" t="s">
        <v>109</v>
      </c>
      <c r="M947" t="s">
        <v>328</v>
      </c>
      <c r="N947" t="s">
        <v>329</v>
      </c>
      <c r="O947" t="s">
        <v>330</v>
      </c>
      <c r="P947" s="39" t="s">
        <v>429</v>
      </c>
      <c r="U947">
        <v>0.49</v>
      </c>
      <c r="V947">
        <v>0.249</v>
      </c>
      <c r="W947" t="s">
        <v>399</v>
      </c>
      <c r="Y947" t="s">
        <v>332</v>
      </c>
      <c r="AB947" s="36" t="s">
        <v>339</v>
      </c>
      <c r="AC947" s="36" t="s">
        <v>334</v>
      </c>
      <c r="AD947" s="35">
        <v>46.172600000000003</v>
      </c>
      <c r="AE947" s="35">
        <v>-84.079769999999996</v>
      </c>
      <c r="AF947" s="18">
        <v>41046.9375</v>
      </c>
      <c r="AG947" s="19">
        <v>41038.763888888891</v>
      </c>
      <c r="AH947" t="s">
        <v>161</v>
      </c>
      <c r="AL947" t="s">
        <v>335</v>
      </c>
      <c r="AM947" s="20">
        <v>41043</v>
      </c>
      <c r="AR947" s="39" t="s">
        <v>400</v>
      </c>
      <c r="AS947" s="39"/>
      <c r="AT947" s="39">
        <v>200</v>
      </c>
      <c r="AZ947" t="s">
        <v>108</v>
      </c>
      <c r="BC947" t="s">
        <v>336</v>
      </c>
    </row>
    <row r="948" spans="1:55" x14ac:dyDescent="0.25">
      <c r="A948" t="str">
        <f t="shared" si="14"/>
        <v>A69-9002-7203</v>
      </c>
      <c r="B948" t="s">
        <v>398</v>
      </c>
      <c r="C948" t="s">
        <v>324</v>
      </c>
      <c r="D948" t="s">
        <v>325</v>
      </c>
      <c r="F948">
        <v>7203</v>
      </c>
      <c r="G948" t="s">
        <v>326</v>
      </c>
      <c r="H948" t="s">
        <v>327</v>
      </c>
      <c r="I948" s="20">
        <v>41043</v>
      </c>
      <c r="J948">
        <v>77</v>
      </c>
      <c r="L948" t="s">
        <v>109</v>
      </c>
      <c r="M948" t="s">
        <v>328</v>
      </c>
      <c r="N948" t="s">
        <v>329</v>
      </c>
      <c r="O948" t="s">
        <v>330</v>
      </c>
      <c r="P948" s="39" t="s">
        <v>429</v>
      </c>
      <c r="U948">
        <v>0.55000000000000004</v>
      </c>
      <c r="V948">
        <v>0.32100000000000001</v>
      </c>
      <c r="W948" t="s">
        <v>399</v>
      </c>
      <c r="Y948" t="s">
        <v>332</v>
      </c>
      <c r="AB948" s="36" t="s">
        <v>339</v>
      </c>
      <c r="AC948" s="36" t="s">
        <v>334</v>
      </c>
      <c r="AD948" s="35">
        <v>46.172600000000003</v>
      </c>
      <c r="AE948" s="35">
        <v>-84.079769999999996</v>
      </c>
      <c r="AF948" s="18">
        <v>41046.9375</v>
      </c>
      <c r="AG948" s="19">
        <v>41038.763888888891</v>
      </c>
      <c r="AH948" t="s">
        <v>161</v>
      </c>
      <c r="AL948" t="s">
        <v>335</v>
      </c>
      <c r="AM948" s="20">
        <v>41043</v>
      </c>
      <c r="AR948" s="39" t="s">
        <v>400</v>
      </c>
      <c r="AS948" s="39"/>
      <c r="AT948" s="39">
        <v>200</v>
      </c>
      <c r="AZ948" t="s">
        <v>108</v>
      </c>
      <c r="BC948" t="s">
        <v>336</v>
      </c>
    </row>
    <row r="949" spans="1:55" x14ac:dyDescent="0.25">
      <c r="A949" t="str">
        <f t="shared" si="14"/>
        <v>A69-9002-7190</v>
      </c>
      <c r="B949" t="s">
        <v>398</v>
      </c>
      <c r="C949" t="s">
        <v>324</v>
      </c>
      <c r="D949" t="s">
        <v>325</v>
      </c>
      <c r="F949">
        <v>7190</v>
      </c>
      <c r="G949" t="s">
        <v>326</v>
      </c>
      <c r="H949" t="s">
        <v>327</v>
      </c>
      <c r="I949" s="20">
        <v>41043</v>
      </c>
      <c r="J949">
        <v>77</v>
      </c>
      <c r="L949" t="s">
        <v>109</v>
      </c>
      <c r="M949" t="s">
        <v>328</v>
      </c>
      <c r="N949" t="s">
        <v>329</v>
      </c>
      <c r="O949" t="s">
        <v>330</v>
      </c>
      <c r="P949" s="39" t="s">
        <v>429</v>
      </c>
      <c r="U949">
        <v>0.47000000000000003</v>
      </c>
      <c r="V949">
        <v>0.20200000000000001</v>
      </c>
      <c r="W949" t="s">
        <v>399</v>
      </c>
      <c r="Y949" t="s">
        <v>332</v>
      </c>
      <c r="AB949" s="36" t="s">
        <v>339</v>
      </c>
      <c r="AC949" s="36" t="s">
        <v>334</v>
      </c>
      <c r="AD949" s="35">
        <v>46.172600000000003</v>
      </c>
      <c r="AE949" s="35">
        <v>-84.079769999999996</v>
      </c>
      <c r="AF949" s="18">
        <v>41046.9375</v>
      </c>
      <c r="AG949" s="19">
        <v>41038.763888888891</v>
      </c>
      <c r="AH949" t="s">
        <v>161</v>
      </c>
      <c r="AL949" t="s">
        <v>335</v>
      </c>
      <c r="AM949" s="20">
        <v>41043</v>
      </c>
      <c r="AR949" s="39" t="s">
        <v>400</v>
      </c>
      <c r="AS949" s="39"/>
      <c r="AT949" s="39">
        <v>200</v>
      </c>
      <c r="AZ949" t="s">
        <v>108</v>
      </c>
      <c r="BC949" t="s">
        <v>336</v>
      </c>
    </row>
    <row r="950" spans="1:55" x14ac:dyDescent="0.25">
      <c r="A950" t="str">
        <f t="shared" si="14"/>
        <v>A69-9002-7191</v>
      </c>
      <c r="B950" t="s">
        <v>398</v>
      </c>
      <c r="C950" t="s">
        <v>324</v>
      </c>
      <c r="D950" t="s">
        <v>325</v>
      </c>
      <c r="F950">
        <v>7191</v>
      </c>
      <c r="G950" t="s">
        <v>326</v>
      </c>
      <c r="H950" t="s">
        <v>327</v>
      </c>
      <c r="I950" s="20">
        <v>41043</v>
      </c>
      <c r="J950">
        <v>77</v>
      </c>
      <c r="L950" t="s">
        <v>109</v>
      </c>
      <c r="M950" t="s">
        <v>328</v>
      </c>
      <c r="N950" t="s">
        <v>329</v>
      </c>
      <c r="O950" t="s">
        <v>330</v>
      </c>
      <c r="P950" s="39" t="s">
        <v>429</v>
      </c>
      <c r="U950">
        <v>0.51</v>
      </c>
      <c r="V950">
        <v>0.31900000000000001</v>
      </c>
      <c r="W950" t="s">
        <v>399</v>
      </c>
      <c r="Y950" t="s">
        <v>332</v>
      </c>
      <c r="AB950" s="36" t="s">
        <v>339</v>
      </c>
      <c r="AC950" s="36" t="s">
        <v>334</v>
      </c>
      <c r="AD950" s="35">
        <v>46.172600000000003</v>
      </c>
      <c r="AE950" s="35">
        <v>-84.079769999999996</v>
      </c>
      <c r="AF950" s="18">
        <v>41046.9375</v>
      </c>
      <c r="AG950" s="19">
        <v>41038.763888888891</v>
      </c>
      <c r="AH950" t="s">
        <v>161</v>
      </c>
      <c r="AL950" t="s">
        <v>335</v>
      </c>
      <c r="AM950" s="20">
        <v>41043</v>
      </c>
      <c r="AR950" s="39" t="s">
        <v>400</v>
      </c>
      <c r="AS950" s="39"/>
      <c r="AT950" s="39">
        <v>200</v>
      </c>
      <c r="AZ950" t="s">
        <v>108</v>
      </c>
      <c r="BC950" t="s">
        <v>336</v>
      </c>
    </row>
    <row r="951" spans="1:55" x14ac:dyDescent="0.25">
      <c r="A951" t="str">
        <f t="shared" si="14"/>
        <v>A69-9002-7211</v>
      </c>
      <c r="B951" t="s">
        <v>398</v>
      </c>
      <c r="C951" t="s">
        <v>324</v>
      </c>
      <c r="D951" t="s">
        <v>325</v>
      </c>
      <c r="F951">
        <v>7211</v>
      </c>
      <c r="G951" t="s">
        <v>326</v>
      </c>
      <c r="H951" t="s">
        <v>327</v>
      </c>
      <c r="I951" s="20">
        <v>41043</v>
      </c>
      <c r="J951">
        <v>77</v>
      </c>
      <c r="L951" t="s">
        <v>109</v>
      </c>
      <c r="M951" t="s">
        <v>328</v>
      </c>
      <c r="N951" t="s">
        <v>329</v>
      </c>
      <c r="O951" t="s">
        <v>330</v>
      </c>
      <c r="P951" s="39" t="s">
        <v>429</v>
      </c>
      <c r="U951">
        <v>0.49</v>
      </c>
      <c r="V951">
        <v>0.24099999999999999</v>
      </c>
      <c r="W951" t="s">
        <v>399</v>
      </c>
      <c r="Y951" t="s">
        <v>332</v>
      </c>
      <c r="AB951" s="36" t="s">
        <v>339</v>
      </c>
      <c r="AC951" s="36" t="s">
        <v>334</v>
      </c>
      <c r="AD951" s="35">
        <v>46.172600000000003</v>
      </c>
      <c r="AE951" s="35">
        <v>-84.079769999999996</v>
      </c>
      <c r="AF951" s="18">
        <v>41046.9375</v>
      </c>
      <c r="AG951" s="19">
        <v>41038.763888888891</v>
      </c>
      <c r="AH951" t="s">
        <v>161</v>
      </c>
      <c r="AL951" t="s">
        <v>335</v>
      </c>
      <c r="AM951" s="20">
        <v>41043</v>
      </c>
      <c r="AR951" s="39" t="s">
        <v>400</v>
      </c>
      <c r="AS951" s="39"/>
      <c r="AT951" s="39">
        <v>200</v>
      </c>
      <c r="AZ951" t="s">
        <v>108</v>
      </c>
      <c r="BC951" t="s">
        <v>336</v>
      </c>
    </row>
    <row r="952" spans="1:55" x14ac:dyDescent="0.25">
      <c r="A952" t="str">
        <f t="shared" si="14"/>
        <v>A69-9002-7257</v>
      </c>
      <c r="B952" t="s">
        <v>398</v>
      </c>
      <c r="C952" t="s">
        <v>324</v>
      </c>
      <c r="D952" t="s">
        <v>325</v>
      </c>
      <c r="F952">
        <v>7257</v>
      </c>
      <c r="G952" t="s">
        <v>326</v>
      </c>
      <c r="H952" t="s">
        <v>327</v>
      </c>
      <c r="I952" s="20">
        <v>41043</v>
      </c>
      <c r="J952">
        <v>77</v>
      </c>
      <c r="L952" t="s">
        <v>109</v>
      </c>
      <c r="M952" t="s">
        <v>328</v>
      </c>
      <c r="N952" t="s">
        <v>329</v>
      </c>
      <c r="O952" t="s">
        <v>330</v>
      </c>
      <c r="P952" s="39" t="s">
        <v>429</v>
      </c>
      <c r="U952">
        <v>0.48</v>
      </c>
      <c r="V952">
        <v>0.25</v>
      </c>
      <c r="W952" t="s">
        <v>399</v>
      </c>
      <c r="Y952" t="s">
        <v>332</v>
      </c>
      <c r="AB952" s="36" t="s">
        <v>339</v>
      </c>
      <c r="AC952" s="36" t="s">
        <v>334</v>
      </c>
      <c r="AD952" s="35">
        <v>46.172600000000003</v>
      </c>
      <c r="AE952" s="35">
        <v>-84.079769999999996</v>
      </c>
      <c r="AF952" s="18">
        <v>41046.9375</v>
      </c>
      <c r="AG952" s="19">
        <v>41038.763888888891</v>
      </c>
      <c r="AH952" t="s">
        <v>161</v>
      </c>
      <c r="AL952" t="s">
        <v>335</v>
      </c>
      <c r="AM952" s="20">
        <v>41043</v>
      </c>
      <c r="AR952" s="39" t="s">
        <v>400</v>
      </c>
      <c r="AS952" s="39"/>
      <c r="AT952" s="39">
        <v>200</v>
      </c>
      <c r="AZ952" t="s">
        <v>108</v>
      </c>
      <c r="BC952" t="s">
        <v>336</v>
      </c>
    </row>
    <row r="953" spans="1:55" x14ac:dyDescent="0.25">
      <c r="A953" t="str">
        <f t="shared" si="14"/>
        <v>A69-9002-7252</v>
      </c>
      <c r="B953" t="s">
        <v>398</v>
      </c>
      <c r="C953" t="s">
        <v>324</v>
      </c>
      <c r="D953" t="s">
        <v>325</v>
      </c>
      <c r="F953">
        <v>7252</v>
      </c>
      <c r="G953" t="s">
        <v>326</v>
      </c>
      <c r="H953" t="s">
        <v>327</v>
      </c>
      <c r="I953" s="20">
        <v>41043</v>
      </c>
      <c r="J953">
        <v>77</v>
      </c>
      <c r="L953" t="s">
        <v>109</v>
      </c>
      <c r="M953" t="s">
        <v>328</v>
      </c>
      <c r="N953" t="s">
        <v>329</v>
      </c>
      <c r="O953" t="s">
        <v>330</v>
      </c>
      <c r="P953" s="39" t="s">
        <v>429</v>
      </c>
      <c r="U953">
        <v>0.47000000000000003</v>
      </c>
      <c r="V953">
        <v>0.214</v>
      </c>
      <c r="W953" t="s">
        <v>399</v>
      </c>
      <c r="Y953" t="s">
        <v>332</v>
      </c>
      <c r="AB953" s="36" t="s">
        <v>339</v>
      </c>
      <c r="AC953" s="36" t="s">
        <v>334</v>
      </c>
      <c r="AD953" s="35">
        <v>46.172600000000003</v>
      </c>
      <c r="AE953" s="35">
        <v>-84.079769999999996</v>
      </c>
      <c r="AF953" s="18">
        <v>41046.9375</v>
      </c>
      <c r="AG953" s="19">
        <v>41038.763888888891</v>
      </c>
      <c r="AH953" t="s">
        <v>161</v>
      </c>
      <c r="AL953" t="s">
        <v>335</v>
      </c>
      <c r="AM953" s="20">
        <v>41043</v>
      </c>
      <c r="AR953" s="39" t="s">
        <v>400</v>
      </c>
      <c r="AS953" s="39"/>
      <c r="AT953" s="39">
        <v>200</v>
      </c>
      <c r="AZ953" t="s">
        <v>108</v>
      </c>
      <c r="BC953" t="s">
        <v>336</v>
      </c>
    </row>
    <row r="954" spans="1:55" x14ac:dyDescent="0.25">
      <c r="A954" t="str">
        <f t="shared" si="14"/>
        <v>A69-9002-7247</v>
      </c>
      <c r="B954" t="s">
        <v>398</v>
      </c>
      <c r="C954" t="s">
        <v>324</v>
      </c>
      <c r="D954" t="s">
        <v>325</v>
      </c>
      <c r="F954">
        <v>7247</v>
      </c>
      <c r="G954" t="s">
        <v>326</v>
      </c>
      <c r="H954" t="s">
        <v>327</v>
      </c>
      <c r="I954" s="20">
        <v>41043</v>
      </c>
      <c r="J954">
        <v>77</v>
      </c>
      <c r="L954" t="s">
        <v>109</v>
      </c>
      <c r="M954" t="s">
        <v>328</v>
      </c>
      <c r="N954" t="s">
        <v>329</v>
      </c>
      <c r="O954" t="s">
        <v>330</v>
      </c>
      <c r="P954" s="39" t="s">
        <v>429</v>
      </c>
      <c r="U954">
        <v>0.47000000000000003</v>
      </c>
      <c r="V954">
        <v>0.28300000000000003</v>
      </c>
      <c r="W954" t="s">
        <v>399</v>
      </c>
      <c r="Y954" t="s">
        <v>337</v>
      </c>
      <c r="AB954" s="36" t="s">
        <v>339</v>
      </c>
      <c r="AC954" s="36" t="s">
        <v>334</v>
      </c>
      <c r="AD954" s="35">
        <v>46.172600000000003</v>
      </c>
      <c r="AE954" s="35">
        <v>-84.079769999999996</v>
      </c>
      <c r="AF954" s="18">
        <v>41046.9375</v>
      </c>
      <c r="AG954" s="19">
        <v>41038.763888888891</v>
      </c>
      <c r="AH954" t="s">
        <v>161</v>
      </c>
      <c r="AL954" t="s">
        <v>335</v>
      </c>
      <c r="AM954" s="20">
        <v>41043</v>
      </c>
      <c r="AR954" s="39" t="s">
        <v>400</v>
      </c>
      <c r="AS954" s="39"/>
      <c r="AT954" s="39">
        <v>200</v>
      </c>
      <c r="AZ954" t="s">
        <v>108</v>
      </c>
      <c r="BC954" t="s">
        <v>336</v>
      </c>
    </row>
    <row r="955" spans="1:55" x14ac:dyDescent="0.25">
      <c r="A955" t="str">
        <f t="shared" si="14"/>
        <v>A69-9002-7242</v>
      </c>
      <c r="B955" t="s">
        <v>398</v>
      </c>
      <c r="C955" t="s">
        <v>324</v>
      </c>
      <c r="D955" t="s">
        <v>325</v>
      </c>
      <c r="F955">
        <v>7242</v>
      </c>
      <c r="G955" t="s">
        <v>326</v>
      </c>
      <c r="H955" t="s">
        <v>327</v>
      </c>
      <c r="I955" s="20">
        <v>41043</v>
      </c>
      <c r="J955">
        <v>77</v>
      </c>
      <c r="L955" t="s">
        <v>109</v>
      </c>
      <c r="M955" t="s">
        <v>328</v>
      </c>
      <c r="N955" t="s">
        <v>329</v>
      </c>
      <c r="O955" t="s">
        <v>330</v>
      </c>
      <c r="P955" s="39" t="s">
        <v>429</v>
      </c>
      <c r="U955">
        <v>0.44</v>
      </c>
      <c r="V955">
        <v>0.23700000000000002</v>
      </c>
      <c r="W955" t="s">
        <v>399</v>
      </c>
      <c r="Y955" t="s">
        <v>337</v>
      </c>
      <c r="AB955" s="36" t="s">
        <v>339</v>
      </c>
      <c r="AC955" s="36" t="s">
        <v>334</v>
      </c>
      <c r="AD955" s="35">
        <v>46.172600000000003</v>
      </c>
      <c r="AE955" s="35">
        <v>-84.079769999999996</v>
      </c>
      <c r="AF955" s="18">
        <v>41046.9375</v>
      </c>
      <c r="AG955" s="19">
        <v>41038.763888888891</v>
      </c>
      <c r="AH955" t="s">
        <v>161</v>
      </c>
      <c r="AL955" t="s">
        <v>335</v>
      </c>
      <c r="AM955" s="20">
        <v>41043</v>
      </c>
      <c r="AR955" s="39" t="s">
        <v>400</v>
      </c>
      <c r="AS955" s="39"/>
      <c r="AT955" s="39">
        <v>200</v>
      </c>
      <c r="AZ955" t="s">
        <v>108</v>
      </c>
      <c r="BC955" t="s">
        <v>336</v>
      </c>
    </row>
    <row r="956" spans="1:55" x14ac:dyDescent="0.25">
      <c r="A956" t="str">
        <f t="shared" si="14"/>
        <v>A69-9002-7248</v>
      </c>
      <c r="B956" t="s">
        <v>398</v>
      </c>
      <c r="C956" t="s">
        <v>324</v>
      </c>
      <c r="D956" t="s">
        <v>325</v>
      </c>
      <c r="F956">
        <v>7248</v>
      </c>
      <c r="G956" t="s">
        <v>326</v>
      </c>
      <c r="H956" t="s">
        <v>327</v>
      </c>
      <c r="I956" s="20">
        <v>41043</v>
      </c>
      <c r="J956">
        <v>77</v>
      </c>
      <c r="L956" t="s">
        <v>109</v>
      </c>
      <c r="M956" t="s">
        <v>328</v>
      </c>
      <c r="N956" t="s">
        <v>329</v>
      </c>
      <c r="O956" t="s">
        <v>330</v>
      </c>
      <c r="P956" s="39" t="s">
        <v>429</v>
      </c>
      <c r="U956">
        <v>0.51</v>
      </c>
      <c r="V956">
        <v>0.29899999999999999</v>
      </c>
      <c r="W956" t="s">
        <v>399</v>
      </c>
      <c r="Y956" t="s">
        <v>337</v>
      </c>
      <c r="AB956" s="36" t="s">
        <v>339</v>
      </c>
      <c r="AC956" s="36" t="s">
        <v>334</v>
      </c>
      <c r="AD956" s="35">
        <v>46.172600000000003</v>
      </c>
      <c r="AE956" s="35">
        <v>-84.079769999999996</v>
      </c>
      <c r="AF956" s="18">
        <v>41046.9375</v>
      </c>
      <c r="AG956" s="19">
        <v>41038.763888888891</v>
      </c>
      <c r="AH956" t="s">
        <v>161</v>
      </c>
      <c r="AL956" t="s">
        <v>335</v>
      </c>
      <c r="AM956" s="20">
        <v>41043</v>
      </c>
      <c r="AR956" s="39" t="s">
        <v>400</v>
      </c>
      <c r="AS956" s="39"/>
      <c r="AT956" s="39">
        <v>200</v>
      </c>
      <c r="AZ956" t="s">
        <v>108</v>
      </c>
      <c r="BC956" t="s">
        <v>336</v>
      </c>
    </row>
    <row r="957" spans="1:55" x14ac:dyDescent="0.25">
      <c r="A957" t="str">
        <f t="shared" si="14"/>
        <v>A69-9002-7258</v>
      </c>
      <c r="B957" t="s">
        <v>398</v>
      </c>
      <c r="C957" t="s">
        <v>324</v>
      </c>
      <c r="D957" t="s">
        <v>325</v>
      </c>
      <c r="F957">
        <v>7258</v>
      </c>
      <c r="G957" t="s">
        <v>326</v>
      </c>
      <c r="H957" t="s">
        <v>327</v>
      </c>
      <c r="I957" s="20">
        <v>41043</v>
      </c>
      <c r="J957">
        <v>77</v>
      </c>
      <c r="L957" t="s">
        <v>109</v>
      </c>
      <c r="M957" t="s">
        <v>328</v>
      </c>
      <c r="N957" t="s">
        <v>329</v>
      </c>
      <c r="O957" t="s">
        <v>330</v>
      </c>
      <c r="P957" s="39" t="s">
        <v>429</v>
      </c>
      <c r="U957">
        <v>0.53</v>
      </c>
      <c r="V957">
        <v>0.33200000000000002</v>
      </c>
      <c r="W957" t="s">
        <v>399</v>
      </c>
      <c r="Y957" t="s">
        <v>337</v>
      </c>
      <c r="AB957" s="36" t="s">
        <v>339</v>
      </c>
      <c r="AC957" s="36" t="s">
        <v>334</v>
      </c>
      <c r="AD957" s="35">
        <v>46.172600000000003</v>
      </c>
      <c r="AE957" s="35">
        <v>-84.079769999999996</v>
      </c>
      <c r="AF957" s="18">
        <v>41046.9375</v>
      </c>
      <c r="AG957" s="19">
        <v>41038.763888888891</v>
      </c>
      <c r="AH957" t="s">
        <v>161</v>
      </c>
      <c r="AL957" t="s">
        <v>335</v>
      </c>
      <c r="AM957" s="20">
        <v>41043</v>
      </c>
      <c r="AR957" s="39" t="s">
        <v>400</v>
      </c>
      <c r="AS957" s="39"/>
      <c r="AT957" s="39">
        <v>200</v>
      </c>
      <c r="AZ957" t="s">
        <v>108</v>
      </c>
      <c r="BC957" t="s">
        <v>336</v>
      </c>
    </row>
    <row r="958" spans="1:55" x14ac:dyDescent="0.25">
      <c r="A958" t="str">
        <f t="shared" si="14"/>
        <v>A69-9002-7253</v>
      </c>
      <c r="B958" t="s">
        <v>398</v>
      </c>
      <c r="C958" t="s">
        <v>324</v>
      </c>
      <c r="D958" t="s">
        <v>325</v>
      </c>
      <c r="F958">
        <v>7253</v>
      </c>
      <c r="G958" t="s">
        <v>326</v>
      </c>
      <c r="H958" t="s">
        <v>327</v>
      </c>
      <c r="I958" s="20">
        <v>41043</v>
      </c>
      <c r="J958">
        <v>77</v>
      </c>
      <c r="L958" t="s">
        <v>109</v>
      </c>
      <c r="M958" t="s">
        <v>328</v>
      </c>
      <c r="N958" t="s">
        <v>329</v>
      </c>
      <c r="O958" t="s">
        <v>330</v>
      </c>
      <c r="P958" s="39" t="s">
        <v>429</v>
      </c>
      <c r="U958">
        <v>0.54</v>
      </c>
      <c r="V958">
        <v>0.35199999999999998</v>
      </c>
      <c r="W958" t="s">
        <v>399</v>
      </c>
      <c r="Y958" t="s">
        <v>337</v>
      </c>
      <c r="AB958" s="36" t="s">
        <v>339</v>
      </c>
      <c r="AC958" s="36" t="s">
        <v>334</v>
      </c>
      <c r="AD958" s="35">
        <v>46.172600000000003</v>
      </c>
      <c r="AE958" s="35">
        <v>-84.079769999999996</v>
      </c>
      <c r="AF958" s="18">
        <v>41046.9375</v>
      </c>
      <c r="AG958" s="19">
        <v>41038.763888888891</v>
      </c>
      <c r="AH958" t="s">
        <v>161</v>
      </c>
      <c r="AL958" t="s">
        <v>335</v>
      </c>
      <c r="AM958" s="20">
        <v>41043</v>
      </c>
      <c r="AR958" s="39" t="s">
        <v>400</v>
      </c>
      <c r="AS958" s="39"/>
      <c r="AT958" s="39">
        <v>200</v>
      </c>
      <c r="AZ958" t="s">
        <v>108</v>
      </c>
      <c r="BC958" t="s">
        <v>336</v>
      </c>
    </row>
    <row r="959" spans="1:55" x14ac:dyDescent="0.25">
      <c r="A959" t="str">
        <f t="shared" si="14"/>
        <v>A69-9002-7260</v>
      </c>
      <c r="B959" t="s">
        <v>398</v>
      </c>
      <c r="C959" t="s">
        <v>324</v>
      </c>
      <c r="D959" t="s">
        <v>325</v>
      </c>
      <c r="F959">
        <v>7260</v>
      </c>
      <c r="G959" t="s">
        <v>326</v>
      </c>
      <c r="H959" t="s">
        <v>327</v>
      </c>
      <c r="I959" s="20">
        <v>41043</v>
      </c>
      <c r="J959">
        <v>77</v>
      </c>
      <c r="L959" t="s">
        <v>109</v>
      </c>
      <c r="M959" t="s">
        <v>328</v>
      </c>
      <c r="N959" t="s">
        <v>329</v>
      </c>
      <c r="O959" t="s">
        <v>330</v>
      </c>
      <c r="P959" s="39" t="s">
        <v>429</v>
      </c>
      <c r="U959">
        <v>0.57000000000000006</v>
      </c>
      <c r="V959">
        <v>0.36299999999999999</v>
      </c>
      <c r="W959" t="s">
        <v>399</v>
      </c>
      <c r="Y959" t="s">
        <v>337</v>
      </c>
      <c r="AB959" s="36" t="s">
        <v>339</v>
      </c>
      <c r="AC959" s="36" t="s">
        <v>334</v>
      </c>
      <c r="AD959" s="35">
        <v>46.172600000000003</v>
      </c>
      <c r="AE959" s="35">
        <v>-84.079769999999996</v>
      </c>
      <c r="AF959" s="18">
        <v>41046.9375</v>
      </c>
      <c r="AG959" s="19">
        <v>41038.763888888891</v>
      </c>
      <c r="AH959" t="s">
        <v>161</v>
      </c>
      <c r="AL959" t="s">
        <v>335</v>
      </c>
      <c r="AM959" s="20">
        <v>41043</v>
      </c>
      <c r="AR959" s="39" t="s">
        <v>400</v>
      </c>
      <c r="AS959" s="39"/>
      <c r="AT959" s="39">
        <v>200</v>
      </c>
      <c r="AZ959" t="s">
        <v>108</v>
      </c>
      <c r="BC959" t="s">
        <v>336</v>
      </c>
    </row>
    <row r="960" spans="1:55" x14ac:dyDescent="0.25">
      <c r="A960" t="str">
        <f t="shared" si="14"/>
        <v>A69-9002-7238</v>
      </c>
      <c r="B960" t="s">
        <v>398</v>
      </c>
      <c r="C960" t="s">
        <v>324</v>
      </c>
      <c r="D960" t="s">
        <v>325</v>
      </c>
      <c r="F960">
        <v>7238</v>
      </c>
      <c r="G960" t="s">
        <v>326</v>
      </c>
      <c r="H960" t="s">
        <v>327</v>
      </c>
      <c r="I960" s="20">
        <v>41043</v>
      </c>
      <c r="J960">
        <v>77</v>
      </c>
      <c r="L960" t="s">
        <v>109</v>
      </c>
      <c r="M960" t="s">
        <v>328</v>
      </c>
      <c r="N960" t="s">
        <v>329</v>
      </c>
      <c r="O960" t="s">
        <v>330</v>
      </c>
      <c r="P960" s="39" t="s">
        <v>429</v>
      </c>
      <c r="U960">
        <v>0.49</v>
      </c>
      <c r="V960">
        <v>0.28100000000000003</v>
      </c>
      <c r="W960" t="s">
        <v>399</v>
      </c>
      <c r="Y960" t="s">
        <v>337</v>
      </c>
      <c r="AB960" s="36" t="s">
        <v>339</v>
      </c>
      <c r="AC960" s="36" t="s">
        <v>334</v>
      </c>
      <c r="AD960" s="35">
        <v>46.172600000000003</v>
      </c>
      <c r="AE960" s="35">
        <v>-84.079769999999996</v>
      </c>
      <c r="AF960" s="18">
        <v>41046.9375</v>
      </c>
      <c r="AG960" s="19">
        <v>41038.763888888891</v>
      </c>
      <c r="AH960" t="s">
        <v>161</v>
      </c>
      <c r="AL960" t="s">
        <v>335</v>
      </c>
      <c r="AM960" s="20">
        <v>41043</v>
      </c>
      <c r="AR960" s="39" t="s">
        <v>400</v>
      </c>
      <c r="AS960" s="39"/>
      <c r="AT960" s="39">
        <v>200</v>
      </c>
      <c r="AZ960" t="s">
        <v>108</v>
      </c>
      <c r="BC960" t="s">
        <v>336</v>
      </c>
    </row>
    <row r="961" spans="1:72" x14ac:dyDescent="0.25">
      <c r="A961" t="str">
        <f t="shared" si="14"/>
        <v>A69-9002-7243</v>
      </c>
      <c r="B961" t="s">
        <v>398</v>
      </c>
      <c r="C961" t="s">
        <v>324</v>
      </c>
      <c r="D961" t="s">
        <v>325</v>
      </c>
      <c r="F961">
        <v>7243</v>
      </c>
      <c r="G961" t="s">
        <v>326</v>
      </c>
      <c r="H961" t="s">
        <v>327</v>
      </c>
      <c r="I961" s="20">
        <v>41043</v>
      </c>
      <c r="J961">
        <v>77</v>
      </c>
      <c r="L961" t="s">
        <v>109</v>
      </c>
      <c r="M961" t="s">
        <v>328</v>
      </c>
      <c r="N961" t="s">
        <v>329</v>
      </c>
      <c r="O961" t="s">
        <v>330</v>
      </c>
      <c r="P961" s="39" t="s">
        <v>429</v>
      </c>
      <c r="U961">
        <v>0.47000000000000003</v>
      </c>
      <c r="V961">
        <v>0.19900000000000001</v>
      </c>
      <c r="W961" t="s">
        <v>399</v>
      </c>
      <c r="Y961" t="s">
        <v>337</v>
      </c>
      <c r="AB961" s="36" t="s">
        <v>339</v>
      </c>
      <c r="AC961" s="36" t="s">
        <v>334</v>
      </c>
      <c r="AD961" s="35">
        <v>46.172600000000003</v>
      </c>
      <c r="AE961" s="35">
        <v>-84.079769999999996</v>
      </c>
      <c r="AF961" s="18">
        <v>41046.9375</v>
      </c>
      <c r="AG961" s="19">
        <v>41038.763888888891</v>
      </c>
      <c r="AH961" t="s">
        <v>161</v>
      </c>
      <c r="AL961" t="s">
        <v>335</v>
      </c>
      <c r="AM961" s="20">
        <v>41043</v>
      </c>
      <c r="AR961" s="39" t="s">
        <v>400</v>
      </c>
      <c r="AS961" s="39"/>
      <c r="AT961" s="39">
        <v>200</v>
      </c>
      <c r="AZ961" t="s">
        <v>108</v>
      </c>
      <c r="BC961" t="s">
        <v>336</v>
      </c>
    </row>
    <row r="962" spans="1:72" x14ac:dyDescent="0.25">
      <c r="A962" t="str">
        <f t="shared" si="14"/>
        <v>A69-9002-7254</v>
      </c>
      <c r="B962" t="s">
        <v>398</v>
      </c>
      <c r="C962" t="s">
        <v>324</v>
      </c>
      <c r="D962" t="s">
        <v>325</v>
      </c>
      <c r="F962">
        <v>7254</v>
      </c>
      <c r="G962" t="s">
        <v>326</v>
      </c>
      <c r="H962" t="s">
        <v>327</v>
      </c>
      <c r="I962" s="20">
        <v>41043</v>
      </c>
      <c r="J962">
        <v>77</v>
      </c>
      <c r="L962" t="s">
        <v>109</v>
      </c>
      <c r="M962" t="s">
        <v>328</v>
      </c>
      <c r="N962" t="s">
        <v>329</v>
      </c>
      <c r="O962" t="s">
        <v>330</v>
      </c>
      <c r="P962" s="39" t="s">
        <v>429</v>
      </c>
      <c r="U962">
        <v>0.57999999999999996</v>
      </c>
      <c r="V962">
        <v>0.35799999999999998</v>
      </c>
      <c r="W962" t="s">
        <v>399</v>
      </c>
      <c r="Y962" t="s">
        <v>337</v>
      </c>
      <c r="AB962" s="36" t="s">
        <v>339</v>
      </c>
      <c r="AC962" s="36" t="s">
        <v>334</v>
      </c>
      <c r="AD962" s="35">
        <v>46.172600000000003</v>
      </c>
      <c r="AE962" s="35">
        <v>-84.079769999999996</v>
      </c>
      <c r="AF962" s="18">
        <v>41046.9375</v>
      </c>
      <c r="AG962" s="19">
        <v>41038.763888888891</v>
      </c>
      <c r="AH962" t="s">
        <v>161</v>
      </c>
      <c r="AL962" t="s">
        <v>335</v>
      </c>
      <c r="AM962" s="20">
        <v>41043</v>
      </c>
      <c r="AR962" s="39" t="s">
        <v>400</v>
      </c>
      <c r="AS962" s="39"/>
      <c r="AT962" s="39">
        <v>200</v>
      </c>
      <c r="AZ962" t="s">
        <v>108</v>
      </c>
      <c r="BC962" t="s">
        <v>336</v>
      </c>
    </row>
    <row r="963" spans="1:72" x14ac:dyDescent="0.25">
      <c r="A963" t="str">
        <f t="shared" si="14"/>
        <v>A69-1601-5109</v>
      </c>
      <c r="B963" t="s">
        <v>398</v>
      </c>
      <c r="C963" t="s">
        <v>324</v>
      </c>
      <c r="D963" t="s">
        <v>345</v>
      </c>
      <c r="F963">
        <v>5109</v>
      </c>
      <c r="G963" t="s">
        <v>346</v>
      </c>
      <c r="H963" t="s">
        <v>327</v>
      </c>
      <c r="I963" s="20">
        <v>41051</v>
      </c>
      <c r="J963">
        <v>101</v>
      </c>
      <c r="L963" t="s">
        <v>109</v>
      </c>
      <c r="M963" t="s">
        <v>328</v>
      </c>
      <c r="N963" t="s">
        <v>329</v>
      </c>
      <c r="O963" t="s">
        <v>330</v>
      </c>
      <c r="P963" t="s">
        <v>331</v>
      </c>
      <c r="U963">
        <v>0.51</v>
      </c>
      <c r="V963">
        <v>0.29599999999999999</v>
      </c>
      <c r="W963" t="s">
        <v>399</v>
      </c>
      <c r="Y963" t="s">
        <v>332</v>
      </c>
      <c r="AB963" t="s">
        <v>344</v>
      </c>
      <c r="AC963" t="s">
        <v>342</v>
      </c>
      <c r="AD963" s="36">
        <v>46.306280000000001</v>
      </c>
      <c r="AE963" s="36">
        <v>-84.061220000000006</v>
      </c>
      <c r="AF963" s="18">
        <v>41053.930555555555</v>
      </c>
      <c r="AG963" s="19">
        <v>41038.763888888891</v>
      </c>
      <c r="AH963" t="s">
        <v>161</v>
      </c>
      <c r="AL963" t="s">
        <v>335</v>
      </c>
      <c r="AM963" s="20">
        <v>41051</v>
      </c>
      <c r="AR963" s="39" t="s">
        <v>400</v>
      </c>
      <c r="AS963" s="39"/>
      <c r="AT963" s="39">
        <v>200</v>
      </c>
      <c r="AZ963" t="s">
        <v>108</v>
      </c>
      <c r="BC963" t="s">
        <v>336</v>
      </c>
    </row>
    <row r="964" spans="1:72" x14ac:dyDescent="0.25">
      <c r="A964" t="str">
        <f t="shared" ref="A964:A1027" si="15">CONCATENATE(G964,"-",F964)</f>
        <v>A69-1601-5110</v>
      </c>
      <c r="B964" t="s">
        <v>398</v>
      </c>
      <c r="C964" t="s">
        <v>324</v>
      </c>
      <c r="D964" t="s">
        <v>345</v>
      </c>
      <c r="F964">
        <v>5110</v>
      </c>
      <c r="G964" t="s">
        <v>346</v>
      </c>
      <c r="H964" t="s">
        <v>327</v>
      </c>
      <c r="I964" s="20">
        <v>41051</v>
      </c>
      <c r="J964">
        <v>101</v>
      </c>
      <c r="L964" t="s">
        <v>109</v>
      </c>
      <c r="M964" t="s">
        <v>328</v>
      </c>
      <c r="N964" t="s">
        <v>329</v>
      </c>
      <c r="O964" t="s">
        <v>330</v>
      </c>
      <c r="P964" t="s">
        <v>331</v>
      </c>
      <c r="U964">
        <v>0.54</v>
      </c>
      <c r="V964">
        <v>0.313</v>
      </c>
      <c r="W964" t="s">
        <v>399</v>
      </c>
      <c r="Y964" t="s">
        <v>332</v>
      </c>
      <c r="AB964" t="s">
        <v>344</v>
      </c>
      <c r="AC964" t="s">
        <v>342</v>
      </c>
      <c r="AD964" s="36">
        <v>46.306280000000001</v>
      </c>
      <c r="AE964" s="36">
        <v>-84.061220000000006</v>
      </c>
      <c r="AF964" s="18">
        <v>41053.930555555555</v>
      </c>
      <c r="AG964" s="19">
        <v>41038.763888888891</v>
      </c>
      <c r="AH964" t="s">
        <v>161</v>
      </c>
      <c r="AL964" t="s">
        <v>335</v>
      </c>
      <c r="AM964" s="20">
        <v>41051</v>
      </c>
      <c r="AR964" s="39" t="s">
        <v>400</v>
      </c>
      <c r="AS964" s="39"/>
      <c r="AT964" s="39">
        <v>200</v>
      </c>
      <c r="AZ964" t="s">
        <v>108</v>
      </c>
      <c r="BC964" t="s">
        <v>336</v>
      </c>
    </row>
    <row r="965" spans="1:72" x14ac:dyDescent="0.25">
      <c r="A965" t="str">
        <f t="shared" si="15"/>
        <v>A69-1601-5111</v>
      </c>
      <c r="B965" t="s">
        <v>398</v>
      </c>
      <c r="C965" t="s">
        <v>324</v>
      </c>
      <c r="D965" t="s">
        <v>345</v>
      </c>
      <c r="F965">
        <v>5111</v>
      </c>
      <c r="G965" t="s">
        <v>346</v>
      </c>
      <c r="H965" t="s">
        <v>327</v>
      </c>
      <c r="I965" s="20">
        <v>41051</v>
      </c>
      <c r="J965">
        <v>101</v>
      </c>
      <c r="L965" t="s">
        <v>109</v>
      </c>
      <c r="M965" t="s">
        <v>328</v>
      </c>
      <c r="N965" t="s">
        <v>329</v>
      </c>
      <c r="O965" t="s">
        <v>330</v>
      </c>
      <c r="P965" t="s">
        <v>331</v>
      </c>
      <c r="U965">
        <v>0.49</v>
      </c>
      <c r="V965">
        <v>0.25600000000000001</v>
      </c>
      <c r="W965" t="s">
        <v>399</v>
      </c>
      <c r="Y965" t="s">
        <v>332</v>
      </c>
      <c r="AB965" t="s">
        <v>344</v>
      </c>
      <c r="AC965" t="s">
        <v>342</v>
      </c>
      <c r="AD965" s="36">
        <v>46.306280000000001</v>
      </c>
      <c r="AE965" s="36">
        <v>-84.061220000000006</v>
      </c>
      <c r="AF965" s="18">
        <v>41053.930555555555</v>
      </c>
      <c r="AG965" s="19">
        <v>41038.763888888891</v>
      </c>
      <c r="AH965" t="s">
        <v>161</v>
      </c>
      <c r="AL965" t="s">
        <v>335</v>
      </c>
      <c r="AM965" s="20">
        <v>41051</v>
      </c>
      <c r="AR965" s="39" t="s">
        <v>400</v>
      </c>
      <c r="AS965" s="39"/>
      <c r="AT965" s="39">
        <v>200</v>
      </c>
      <c r="AZ965" t="s">
        <v>108</v>
      </c>
      <c r="BC965" t="s">
        <v>336</v>
      </c>
    </row>
    <row r="966" spans="1:72" x14ac:dyDescent="0.25">
      <c r="A966" t="str">
        <f t="shared" si="15"/>
        <v>A69-1601-5112</v>
      </c>
      <c r="B966" t="s">
        <v>398</v>
      </c>
      <c r="C966" t="s">
        <v>324</v>
      </c>
      <c r="D966" t="s">
        <v>345</v>
      </c>
      <c r="F966">
        <v>5112</v>
      </c>
      <c r="G966" t="s">
        <v>346</v>
      </c>
      <c r="H966" t="s">
        <v>327</v>
      </c>
      <c r="I966" s="20">
        <v>41051</v>
      </c>
      <c r="J966">
        <v>101</v>
      </c>
      <c r="L966" t="s">
        <v>109</v>
      </c>
      <c r="M966" t="s">
        <v>328</v>
      </c>
      <c r="N966" t="s">
        <v>329</v>
      </c>
      <c r="O966" t="s">
        <v>330</v>
      </c>
      <c r="P966" t="s">
        <v>331</v>
      </c>
      <c r="U966">
        <v>0.51</v>
      </c>
      <c r="V966">
        <v>0.26300000000000001</v>
      </c>
      <c r="W966" t="s">
        <v>399</v>
      </c>
      <c r="Y966" t="s">
        <v>332</v>
      </c>
      <c r="AB966" t="s">
        <v>344</v>
      </c>
      <c r="AC966" t="s">
        <v>342</v>
      </c>
      <c r="AD966" s="36">
        <v>46.306280000000001</v>
      </c>
      <c r="AE966" s="36">
        <v>-84.061220000000006</v>
      </c>
      <c r="AF966" s="18">
        <v>41053.930555555555</v>
      </c>
      <c r="AG966" s="19">
        <v>41038.763888888891</v>
      </c>
      <c r="AH966" t="s">
        <v>161</v>
      </c>
      <c r="AL966" t="s">
        <v>335</v>
      </c>
      <c r="AM966" s="20">
        <v>41051</v>
      </c>
      <c r="AR966" s="39" t="s">
        <v>400</v>
      </c>
      <c r="AS966" s="39"/>
      <c r="AT966" s="39">
        <v>200</v>
      </c>
      <c r="AZ966" t="s">
        <v>108</v>
      </c>
      <c r="BC966" t="s">
        <v>336</v>
      </c>
    </row>
    <row r="967" spans="1:72" x14ac:dyDescent="0.25">
      <c r="A967" t="str">
        <f t="shared" si="15"/>
        <v>A69-1601-5113</v>
      </c>
      <c r="B967" t="s">
        <v>398</v>
      </c>
      <c r="C967" t="s">
        <v>324</v>
      </c>
      <c r="D967" t="s">
        <v>345</v>
      </c>
      <c r="F967">
        <v>5113</v>
      </c>
      <c r="G967" t="s">
        <v>346</v>
      </c>
      <c r="H967" t="s">
        <v>327</v>
      </c>
      <c r="I967" s="20">
        <v>41051</v>
      </c>
      <c r="J967">
        <v>101</v>
      </c>
      <c r="L967" t="s">
        <v>109</v>
      </c>
      <c r="M967" t="s">
        <v>328</v>
      </c>
      <c r="N967" t="s">
        <v>329</v>
      </c>
      <c r="O967" t="s">
        <v>330</v>
      </c>
      <c r="P967" t="s">
        <v>331</v>
      </c>
      <c r="U967">
        <v>0.5</v>
      </c>
      <c r="V967">
        <v>0.29699999999999999</v>
      </c>
      <c r="W967" t="s">
        <v>399</v>
      </c>
      <c r="Y967" t="s">
        <v>332</v>
      </c>
      <c r="AB967" t="s">
        <v>344</v>
      </c>
      <c r="AC967" t="s">
        <v>342</v>
      </c>
      <c r="AD967" s="36">
        <v>46.306280000000001</v>
      </c>
      <c r="AE967" s="36">
        <v>-84.061220000000006</v>
      </c>
      <c r="AF967" s="18">
        <v>41053.930555555555</v>
      </c>
      <c r="AG967" s="19">
        <v>41038.763888888891</v>
      </c>
      <c r="AH967" t="s">
        <v>161</v>
      </c>
      <c r="AL967" t="s">
        <v>335</v>
      </c>
      <c r="AM967" s="20">
        <v>41051</v>
      </c>
      <c r="AR967" s="39" t="s">
        <v>400</v>
      </c>
      <c r="AS967" s="39"/>
      <c r="AT967" s="39">
        <v>200</v>
      </c>
      <c r="AZ967" t="s">
        <v>108</v>
      </c>
      <c r="BC967" t="s">
        <v>336</v>
      </c>
    </row>
    <row r="968" spans="1:72" x14ac:dyDescent="0.25">
      <c r="A968" t="str">
        <f t="shared" si="15"/>
        <v>A69-1601-5114</v>
      </c>
      <c r="B968" t="s">
        <v>398</v>
      </c>
      <c r="C968" t="s">
        <v>324</v>
      </c>
      <c r="D968" t="s">
        <v>345</v>
      </c>
      <c r="F968">
        <v>5114</v>
      </c>
      <c r="G968" t="s">
        <v>346</v>
      </c>
      <c r="H968" t="s">
        <v>327</v>
      </c>
      <c r="I968" s="20">
        <v>41051</v>
      </c>
      <c r="J968">
        <v>101</v>
      </c>
      <c r="L968" t="s">
        <v>109</v>
      </c>
      <c r="M968" t="s">
        <v>328</v>
      </c>
      <c r="N968" t="s">
        <v>329</v>
      </c>
      <c r="O968" t="s">
        <v>330</v>
      </c>
      <c r="P968" t="s">
        <v>331</v>
      </c>
      <c r="U968">
        <v>0.5</v>
      </c>
      <c r="V968">
        <v>0.217</v>
      </c>
      <c r="W968" t="s">
        <v>399</v>
      </c>
      <c r="Y968" t="s">
        <v>332</v>
      </c>
      <c r="AB968" t="s">
        <v>344</v>
      </c>
      <c r="AC968" t="s">
        <v>342</v>
      </c>
      <c r="AD968" s="36">
        <v>46.306280000000001</v>
      </c>
      <c r="AE968" s="36">
        <v>-84.061220000000006</v>
      </c>
      <c r="AF968" s="18">
        <v>41053.930555555555</v>
      </c>
      <c r="AG968" s="19">
        <v>41038.763888888891</v>
      </c>
      <c r="AH968" t="s">
        <v>161</v>
      </c>
      <c r="AL968" t="s">
        <v>335</v>
      </c>
      <c r="AM968" s="20">
        <v>41051</v>
      </c>
      <c r="AR968" s="39" t="s">
        <v>400</v>
      </c>
      <c r="AS968" s="39"/>
      <c r="AT968" s="39">
        <v>200</v>
      </c>
      <c r="AZ968" t="s">
        <v>108</v>
      </c>
      <c r="BC968" t="s">
        <v>336</v>
      </c>
    </row>
    <row r="969" spans="1:72" x14ac:dyDescent="0.25">
      <c r="A969" t="str">
        <f t="shared" si="15"/>
        <v>A69-1601-5115</v>
      </c>
      <c r="B969" t="s">
        <v>398</v>
      </c>
      <c r="C969" t="s">
        <v>324</v>
      </c>
      <c r="D969" t="s">
        <v>345</v>
      </c>
      <c r="F969">
        <v>5115</v>
      </c>
      <c r="G969" t="s">
        <v>346</v>
      </c>
      <c r="H969" t="s">
        <v>327</v>
      </c>
      <c r="I969" s="20">
        <v>41051</v>
      </c>
      <c r="J969">
        <v>101</v>
      </c>
      <c r="L969" t="s">
        <v>109</v>
      </c>
      <c r="M969" t="s">
        <v>328</v>
      </c>
      <c r="N969" t="s">
        <v>329</v>
      </c>
      <c r="O969" t="s">
        <v>330</v>
      </c>
      <c r="P969" t="s">
        <v>331</v>
      </c>
      <c r="U969">
        <v>0.53</v>
      </c>
      <c r="V969">
        <v>0.32300000000000001</v>
      </c>
      <c r="W969" t="s">
        <v>399</v>
      </c>
      <c r="Y969" t="s">
        <v>332</v>
      </c>
      <c r="AB969" t="s">
        <v>344</v>
      </c>
      <c r="AC969" t="s">
        <v>342</v>
      </c>
      <c r="AD969" s="36">
        <v>46.306280000000001</v>
      </c>
      <c r="AE969" s="36">
        <v>-84.061220000000006</v>
      </c>
      <c r="AF969" s="18">
        <v>41053.930555555555</v>
      </c>
      <c r="AG969" s="19">
        <v>41038.763888888891</v>
      </c>
      <c r="AH969" t="s">
        <v>161</v>
      </c>
      <c r="AL969" t="s">
        <v>335</v>
      </c>
      <c r="AM969" s="20">
        <v>41051</v>
      </c>
      <c r="AR969" s="39" t="s">
        <v>400</v>
      </c>
      <c r="AS969" s="39"/>
      <c r="AT969" s="39">
        <v>200</v>
      </c>
      <c r="AZ969" t="s">
        <v>108</v>
      </c>
      <c r="BC969" t="s">
        <v>336</v>
      </c>
    </row>
    <row r="970" spans="1:72" x14ac:dyDescent="0.25">
      <c r="A970" t="str">
        <f t="shared" si="15"/>
        <v>A69-1601-5116</v>
      </c>
      <c r="B970" t="s">
        <v>398</v>
      </c>
      <c r="C970" t="s">
        <v>324</v>
      </c>
      <c r="D970" t="s">
        <v>345</v>
      </c>
      <c r="F970">
        <v>5116</v>
      </c>
      <c r="G970" t="s">
        <v>346</v>
      </c>
      <c r="H970" t="s">
        <v>327</v>
      </c>
      <c r="I970" s="20">
        <v>41051</v>
      </c>
      <c r="J970">
        <v>101</v>
      </c>
      <c r="L970" t="s">
        <v>109</v>
      </c>
      <c r="M970" t="s">
        <v>328</v>
      </c>
      <c r="N970" t="s">
        <v>329</v>
      </c>
      <c r="O970" t="s">
        <v>330</v>
      </c>
      <c r="P970" t="s">
        <v>331</v>
      </c>
      <c r="U970">
        <v>0.51</v>
      </c>
      <c r="V970">
        <v>0.26200000000000001</v>
      </c>
      <c r="W970" t="s">
        <v>399</v>
      </c>
      <c r="Y970" t="s">
        <v>332</v>
      </c>
      <c r="AB970" t="s">
        <v>344</v>
      </c>
      <c r="AC970" t="s">
        <v>342</v>
      </c>
      <c r="AD970" s="36">
        <v>46.306280000000001</v>
      </c>
      <c r="AE970" s="36">
        <v>-84.061220000000006</v>
      </c>
      <c r="AF970" s="18">
        <v>41053.930555555555</v>
      </c>
      <c r="AG970" s="19">
        <v>41038.763888888891</v>
      </c>
      <c r="AH970" t="s">
        <v>161</v>
      </c>
      <c r="AL970" t="s">
        <v>335</v>
      </c>
      <c r="AM970" s="20">
        <v>41051</v>
      </c>
      <c r="AR970" s="39" t="s">
        <v>400</v>
      </c>
      <c r="AS970" s="39"/>
      <c r="AT970" s="39">
        <v>200</v>
      </c>
      <c r="AZ970" t="s">
        <v>108</v>
      </c>
      <c r="BC970" t="s">
        <v>336</v>
      </c>
    </row>
    <row r="971" spans="1:72" x14ac:dyDescent="0.25">
      <c r="A971" t="str">
        <f t="shared" si="15"/>
        <v>A69-1601-5117</v>
      </c>
      <c r="B971" t="s">
        <v>398</v>
      </c>
      <c r="C971" t="s">
        <v>324</v>
      </c>
      <c r="D971" t="s">
        <v>345</v>
      </c>
      <c r="F971">
        <v>5117</v>
      </c>
      <c r="G971" t="s">
        <v>346</v>
      </c>
      <c r="H971" t="s">
        <v>327</v>
      </c>
      <c r="I971" s="20">
        <v>41051</v>
      </c>
      <c r="J971">
        <v>101</v>
      </c>
      <c r="L971" t="s">
        <v>109</v>
      </c>
      <c r="M971" t="s">
        <v>328</v>
      </c>
      <c r="N971" t="s">
        <v>329</v>
      </c>
      <c r="O971" t="s">
        <v>330</v>
      </c>
      <c r="P971" t="s">
        <v>331</v>
      </c>
      <c r="U971">
        <v>0.5</v>
      </c>
      <c r="V971">
        <v>0.29399999999999998</v>
      </c>
      <c r="W971" t="s">
        <v>399</v>
      </c>
      <c r="Y971" t="s">
        <v>332</v>
      </c>
      <c r="AB971" t="s">
        <v>344</v>
      </c>
      <c r="AC971" t="s">
        <v>342</v>
      </c>
      <c r="AD971" s="36">
        <v>46.306280000000001</v>
      </c>
      <c r="AE971" s="36">
        <v>-84.061220000000006</v>
      </c>
      <c r="AF971" s="18">
        <v>41053.930555555555</v>
      </c>
      <c r="AG971" s="19">
        <v>41038.763888888891</v>
      </c>
      <c r="AH971" t="s">
        <v>161</v>
      </c>
      <c r="AL971" t="s">
        <v>335</v>
      </c>
      <c r="AM971" s="20">
        <v>41051</v>
      </c>
      <c r="AR971" s="39" t="s">
        <v>400</v>
      </c>
      <c r="AS971" s="39"/>
      <c r="AT971" s="39">
        <v>200</v>
      </c>
      <c r="AZ971" t="s">
        <v>108</v>
      </c>
      <c r="BC971" t="s">
        <v>336</v>
      </c>
    </row>
    <row r="972" spans="1:72" x14ac:dyDescent="0.25">
      <c r="A972" t="str">
        <f t="shared" si="15"/>
        <v>A69-1601-5118</v>
      </c>
      <c r="B972" t="s">
        <v>398</v>
      </c>
      <c r="C972" t="s">
        <v>324</v>
      </c>
      <c r="D972" t="s">
        <v>345</v>
      </c>
      <c r="F972">
        <v>5118</v>
      </c>
      <c r="G972" t="s">
        <v>346</v>
      </c>
      <c r="H972" t="s">
        <v>327</v>
      </c>
      <c r="I972" s="20">
        <v>41051</v>
      </c>
      <c r="J972">
        <v>101</v>
      </c>
      <c r="L972" t="s">
        <v>109</v>
      </c>
      <c r="M972" t="s">
        <v>328</v>
      </c>
      <c r="N972" t="s">
        <v>329</v>
      </c>
      <c r="O972" t="s">
        <v>330</v>
      </c>
      <c r="P972" t="s">
        <v>331</v>
      </c>
      <c r="U972">
        <v>0.47000000000000003</v>
      </c>
      <c r="V972">
        <v>0.19600000000000001</v>
      </c>
      <c r="W972" t="s">
        <v>399</v>
      </c>
      <c r="Y972" t="s">
        <v>332</v>
      </c>
      <c r="AB972" t="s">
        <v>344</v>
      </c>
      <c r="AC972" t="s">
        <v>342</v>
      </c>
      <c r="AD972" s="36">
        <v>46.306280000000001</v>
      </c>
      <c r="AE972" s="36">
        <v>-84.061220000000006</v>
      </c>
      <c r="AF972" s="18">
        <v>41053.930555555555</v>
      </c>
      <c r="AG972" s="19">
        <v>41038.763888888891</v>
      </c>
      <c r="AH972" t="s">
        <v>161</v>
      </c>
      <c r="AL972" t="s">
        <v>335</v>
      </c>
      <c r="AM972" s="20">
        <v>41051</v>
      </c>
      <c r="AR972" s="39" t="s">
        <v>400</v>
      </c>
      <c r="AS972" s="39"/>
      <c r="AT972" s="39">
        <v>200</v>
      </c>
      <c r="AZ972" t="s">
        <v>108</v>
      </c>
      <c r="BC972" t="s">
        <v>336</v>
      </c>
    </row>
    <row r="973" spans="1:72" x14ac:dyDescent="0.25">
      <c r="A973" t="str">
        <f t="shared" si="15"/>
        <v>A69-1601-5119</v>
      </c>
      <c r="B973" t="s">
        <v>398</v>
      </c>
      <c r="C973" t="s">
        <v>324</v>
      </c>
      <c r="D973" t="s">
        <v>345</v>
      </c>
      <c r="F973">
        <v>5119</v>
      </c>
      <c r="G973" t="s">
        <v>346</v>
      </c>
      <c r="H973" t="s">
        <v>327</v>
      </c>
      <c r="I973" s="20">
        <v>41051</v>
      </c>
      <c r="J973">
        <v>101</v>
      </c>
      <c r="L973" t="s">
        <v>109</v>
      </c>
      <c r="M973" t="s">
        <v>328</v>
      </c>
      <c r="N973" t="s">
        <v>329</v>
      </c>
      <c r="O973" t="s">
        <v>330</v>
      </c>
      <c r="P973" t="s">
        <v>331</v>
      </c>
      <c r="U973">
        <v>0.53</v>
      </c>
      <c r="V973">
        <v>0.30299999999999999</v>
      </c>
      <c r="W973" t="s">
        <v>399</v>
      </c>
      <c r="Y973" t="s">
        <v>332</v>
      </c>
      <c r="AB973" t="s">
        <v>344</v>
      </c>
      <c r="AC973" t="s">
        <v>342</v>
      </c>
      <c r="AD973" s="36">
        <v>46.306280000000001</v>
      </c>
      <c r="AE973" s="36">
        <v>-84.061220000000006</v>
      </c>
      <c r="AF973" s="18">
        <v>41053.930555555555</v>
      </c>
      <c r="AG973" s="19">
        <v>41038.763888888891</v>
      </c>
      <c r="AH973" t="s">
        <v>161</v>
      </c>
      <c r="AL973" t="s">
        <v>335</v>
      </c>
      <c r="AM973" s="20">
        <v>41051</v>
      </c>
      <c r="AR973" s="39" t="s">
        <v>400</v>
      </c>
      <c r="AS973" s="39"/>
      <c r="AT973" s="39">
        <v>200</v>
      </c>
      <c r="AZ973" t="s">
        <v>108</v>
      </c>
      <c r="BC973" t="s">
        <v>336</v>
      </c>
    </row>
    <row r="974" spans="1:72" x14ac:dyDescent="0.25">
      <c r="A974" t="str">
        <f t="shared" si="15"/>
        <v>A69-1601-5120</v>
      </c>
      <c r="B974" t="s">
        <v>398</v>
      </c>
      <c r="C974" t="s">
        <v>324</v>
      </c>
      <c r="D974" t="s">
        <v>345</v>
      </c>
      <c r="F974">
        <v>5120</v>
      </c>
      <c r="G974" t="s">
        <v>346</v>
      </c>
      <c r="H974" t="s">
        <v>327</v>
      </c>
      <c r="I974" s="20">
        <v>41051</v>
      </c>
      <c r="J974">
        <v>101</v>
      </c>
      <c r="L974" t="s">
        <v>109</v>
      </c>
      <c r="M974" t="s">
        <v>328</v>
      </c>
      <c r="N974" t="s">
        <v>329</v>
      </c>
      <c r="O974" t="s">
        <v>330</v>
      </c>
      <c r="P974" t="s">
        <v>331</v>
      </c>
      <c r="U974">
        <v>0.51</v>
      </c>
      <c r="V974">
        <v>0.28400000000000003</v>
      </c>
      <c r="W974" t="s">
        <v>399</v>
      </c>
      <c r="Y974" t="s">
        <v>332</v>
      </c>
      <c r="AB974" t="s">
        <v>344</v>
      </c>
      <c r="AC974" t="s">
        <v>342</v>
      </c>
      <c r="AD974" s="36">
        <v>46.306280000000001</v>
      </c>
      <c r="AE974" s="36">
        <v>-84.061220000000006</v>
      </c>
      <c r="AF974" s="18">
        <v>41053.930555555555</v>
      </c>
      <c r="AG974" s="19">
        <v>41038.763888888891</v>
      </c>
      <c r="AH974" t="s">
        <v>161</v>
      </c>
      <c r="AL974" t="s">
        <v>335</v>
      </c>
      <c r="AM974" s="20">
        <v>41051</v>
      </c>
      <c r="AR974" s="39" t="s">
        <v>400</v>
      </c>
      <c r="AS974" s="39"/>
      <c r="AT974" s="39">
        <v>200</v>
      </c>
      <c r="AZ974" t="s">
        <v>108</v>
      </c>
      <c r="BC974" t="s">
        <v>336</v>
      </c>
    </row>
    <row r="975" spans="1:72" x14ac:dyDescent="0.25">
      <c r="A975" t="str">
        <f t="shared" si="15"/>
        <v>A69-1601-5121</v>
      </c>
      <c r="B975" t="s">
        <v>398</v>
      </c>
      <c r="C975" t="s">
        <v>324</v>
      </c>
      <c r="D975" t="s">
        <v>345</v>
      </c>
      <c r="F975">
        <v>5121</v>
      </c>
      <c r="G975" t="s">
        <v>346</v>
      </c>
      <c r="H975" t="s">
        <v>327</v>
      </c>
      <c r="I975" s="20">
        <v>41051</v>
      </c>
      <c r="J975">
        <v>101</v>
      </c>
      <c r="L975" t="s">
        <v>109</v>
      </c>
      <c r="M975" t="s">
        <v>328</v>
      </c>
      <c r="N975" t="s">
        <v>329</v>
      </c>
      <c r="O975" t="s">
        <v>330</v>
      </c>
      <c r="P975" t="s">
        <v>331</v>
      </c>
      <c r="U975">
        <v>0.47000000000000003</v>
      </c>
      <c r="V975">
        <v>0.22600000000000001</v>
      </c>
      <c r="W975" t="s">
        <v>399</v>
      </c>
      <c r="Y975" t="s">
        <v>332</v>
      </c>
      <c r="AB975" t="s">
        <v>344</v>
      </c>
      <c r="AC975" t="s">
        <v>342</v>
      </c>
      <c r="AD975" s="36">
        <v>46.306280000000001</v>
      </c>
      <c r="AE975" s="36">
        <v>-84.061220000000006</v>
      </c>
      <c r="AF975" s="18">
        <v>41053.930555555555</v>
      </c>
      <c r="AG975" s="19">
        <v>41038.763888888891</v>
      </c>
      <c r="AH975" t="s">
        <v>161</v>
      </c>
      <c r="AL975" t="s">
        <v>335</v>
      </c>
      <c r="AM975" s="20">
        <v>41051</v>
      </c>
      <c r="AR975" s="39" t="s">
        <v>400</v>
      </c>
      <c r="AS975" s="39"/>
      <c r="AT975" s="39">
        <v>200</v>
      </c>
      <c r="AZ975" t="s">
        <v>108</v>
      </c>
      <c r="BC975" t="s">
        <v>163</v>
      </c>
      <c r="BD975" s="20">
        <v>41069</v>
      </c>
      <c r="BF975" s="21" t="s">
        <v>406</v>
      </c>
      <c r="BG975" s="38" t="s">
        <v>113</v>
      </c>
      <c r="BH975" s="1" t="s">
        <v>408</v>
      </c>
      <c r="BI975" s="1">
        <v>46.514783999999999</v>
      </c>
      <c r="BJ975" s="1">
        <v>-84.346945000000005</v>
      </c>
      <c r="BK975" s="1" t="s">
        <v>404</v>
      </c>
      <c r="BL975" s="1" t="s">
        <v>336</v>
      </c>
      <c r="BQ975" s="39" t="s">
        <v>332</v>
      </c>
      <c r="BR975" s="39">
        <v>466</v>
      </c>
      <c r="BS975" s="39">
        <v>211</v>
      </c>
      <c r="BT975" s="36">
        <v>180844663</v>
      </c>
    </row>
    <row r="976" spans="1:72" x14ac:dyDescent="0.25">
      <c r="A976" t="str">
        <f t="shared" si="15"/>
        <v>A69-1601-5122</v>
      </c>
      <c r="B976" t="s">
        <v>398</v>
      </c>
      <c r="C976" t="s">
        <v>324</v>
      </c>
      <c r="D976" t="s">
        <v>345</v>
      </c>
      <c r="F976">
        <v>5122</v>
      </c>
      <c r="G976" t="s">
        <v>346</v>
      </c>
      <c r="H976" t="s">
        <v>327</v>
      </c>
      <c r="I976" s="20">
        <v>41051</v>
      </c>
      <c r="J976">
        <v>101</v>
      </c>
      <c r="L976" t="s">
        <v>109</v>
      </c>
      <c r="M976" t="s">
        <v>328</v>
      </c>
      <c r="N976" t="s">
        <v>329</v>
      </c>
      <c r="O976" t="s">
        <v>330</v>
      </c>
      <c r="P976" t="s">
        <v>331</v>
      </c>
      <c r="U976">
        <v>0.51</v>
      </c>
      <c r="V976">
        <v>0.27600000000000002</v>
      </c>
      <c r="W976" t="s">
        <v>399</v>
      </c>
      <c r="Y976" t="s">
        <v>332</v>
      </c>
      <c r="AB976" t="s">
        <v>344</v>
      </c>
      <c r="AC976" t="s">
        <v>342</v>
      </c>
      <c r="AD976" s="36">
        <v>46.306280000000001</v>
      </c>
      <c r="AE976" s="36">
        <v>-84.061220000000006</v>
      </c>
      <c r="AF976" s="18">
        <v>41053.930555555555</v>
      </c>
      <c r="AG976" s="19">
        <v>41038.763888888891</v>
      </c>
      <c r="AH976" t="s">
        <v>161</v>
      </c>
      <c r="AL976" t="s">
        <v>335</v>
      </c>
      <c r="AM976" s="20">
        <v>41051</v>
      </c>
      <c r="AR976" s="39" t="s">
        <v>400</v>
      </c>
      <c r="AS976" s="39"/>
      <c r="AT976" s="39">
        <v>200</v>
      </c>
      <c r="AZ976" t="s">
        <v>108</v>
      </c>
      <c r="BC976" t="s">
        <v>336</v>
      </c>
    </row>
    <row r="977" spans="1:73" x14ac:dyDescent="0.25">
      <c r="A977" t="str">
        <f t="shared" si="15"/>
        <v>A69-1601-5123</v>
      </c>
      <c r="B977" t="s">
        <v>398</v>
      </c>
      <c r="C977" t="s">
        <v>324</v>
      </c>
      <c r="D977" t="s">
        <v>345</v>
      </c>
      <c r="F977">
        <v>5123</v>
      </c>
      <c r="G977" t="s">
        <v>346</v>
      </c>
      <c r="H977" t="s">
        <v>327</v>
      </c>
      <c r="I977" s="20">
        <v>41051</v>
      </c>
      <c r="J977">
        <v>101</v>
      </c>
      <c r="L977" t="s">
        <v>109</v>
      </c>
      <c r="M977" t="s">
        <v>328</v>
      </c>
      <c r="N977" t="s">
        <v>329</v>
      </c>
      <c r="O977" t="s">
        <v>330</v>
      </c>
      <c r="P977" t="s">
        <v>331</v>
      </c>
      <c r="U977">
        <v>0.53</v>
      </c>
      <c r="V977">
        <v>0.29799999999999999</v>
      </c>
      <c r="W977" t="s">
        <v>399</v>
      </c>
      <c r="Y977" t="s">
        <v>332</v>
      </c>
      <c r="AB977" t="s">
        <v>344</v>
      </c>
      <c r="AC977" t="s">
        <v>342</v>
      </c>
      <c r="AD977" s="36">
        <v>46.306280000000001</v>
      </c>
      <c r="AE977" s="36">
        <v>-84.061220000000006</v>
      </c>
      <c r="AF977" s="18">
        <v>41053.930555555555</v>
      </c>
      <c r="AG977" s="19">
        <v>41038.763888888891</v>
      </c>
      <c r="AH977" t="s">
        <v>161</v>
      </c>
      <c r="AL977" t="s">
        <v>335</v>
      </c>
      <c r="AM977" s="20">
        <v>41051</v>
      </c>
      <c r="AR977" s="39" t="s">
        <v>400</v>
      </c>
      <c r="AS977" s="39"/>
      <c r="AT977" s="39">
        <v>200</v>
      </c>
      <c r="AZ977" t="s">
        <v>108</v>
      </c>
      <c r="BC977" t="s">
        <v>336</v>
      </c>
    </row>
    <row r="978" spans="1:73" x14ac:dyDescent="0.25">
      <c r="A978" t="str">
        <f t="shared" si="15"/>
        <v>A69-1601-5124</v>
      </c>
      <c r="B978" t="s">
        <v>398</v>
      </c>
      <c r="C978" t="s">
        <v>324</v>
      </c>
      <c r="D978" t="s">
        <v>345</v>
      </c>
      <c r="F978">
        <v>5124</v>
      </c>
      <c r="G978" t="s">
        <v>346</v>
      </c>
      <c r="H978" t="s">
        <v>327</v>
      </c>
      <c r="I978" s="20">
        <v>41051</v>
      </c>
      <c r="J978">
        <v>101</v>
      </c>
      <c r="L978" t="s">
        <v>109</v>
      </c>
      <c r="M978" t="s">
        <v>328</v>
      </c>
      <c r="N978" t="s">
        <v>329</v>
      </c>
      <c r="O978" t="s">
        <v>330</v>
      </c>
      <c r="P978" t="s">
        <v>331</v>
      </c>
      <c r="U978">
        <v>0.51</v>
      </c>
      <c r="V978">
        <v>0.28100000000000003</v>
      </c>
      <c r="W978" t="s">
        <v>399</v>
      </c>
      <c r="Y978" t="s">
        <v>332</v>
      </c>
      <c r="AB978" t="s">
        <v>344</v>
      </c>
      <c r="AC978" t="s">
        <v>342</v>
      </c>
      <c r="AD978" s="36">
        <v>46.306280000000001</v>
      </c>
      <c r="AE978" s="36">
        <v>-84.061220000000006</v>
      </c>
      <c r="AF978" s="18">
        <v>41053.930555555555</v>
      </c>
      <c r="AG978" s="19">
        <v>41038.763888888891</v>
      </c>
      <c r="AH978" t="s">
        <v>161</v>
      </c>
      <c r="AL978" t="s">
        <v>335</v>
      </c>
      <c r="AM978" s="20">
        <v>41051</v>
      </c>
      <c r="AR978" s="39" t="s">
        <v>400</v>
      </c>
      <c r="AS978" s="39"/>
      <c r="AT978" s="39">
        <v>200</v>
      </c>
      <c r="AZ978" t="s">
        <v>108</v>
      </c>
      <c r="BC978" t="s">
        <v>336</v>
      </c>
    </row>
    <row r="979" spans="1:73" x14ac:dyDescent="0.25">
      <c r="A979" t="str">
        <f t="shared" si="15"/>
        <v>A69-1601-5125</v>
      </c>
      <c r="B979" t="s">
        <v>398</v>
      </c>
      <c r="C979" t="s">
        <v>324</v>
      </c>
      <c r="D979" t="s">
        <v>345</v>
      </c>
      <c r="F979">
        <v>5125</v>
      </c>
      <c r="G979" t="s">
        <v>346</v>
      </c>
      <c r="H979" t="s">
        <v>327</v>
      </c>
      <c r="I979" s="20">
        <v>41051</v>
      </c>
      <c r="J979">
        <v>101</v>
      </c>
      <c r="L979" t="s">
        <v>109</v>
      </c>
      <c r="M979" t="s">
        <v>328</v>
      </c>
      <c r="N979" t="s">
        <v>329</v>
      </c>
      <c r="O979" t="s">
        <v>330</v>
      </c>
      <c r="P979" t="s">
        <v>331</v>
      </c>
      <c r="U979">
        <v>0.52</v>
      </c>
      <c r="V979">
        <v>0.30199999999999999</v>
      </c>
      <c r="W979" t="s">
        <v>399</v>
      </c>
      <c r="Y979" t="s">
        <v>332</v>
      </c>
      <c r="AB979" t="s">
        <v>344</v>
      </c>
      <c r="AC979" t="s">
        <v>342</v>
      </c>
      <c r="AD979" s="36">
        <v>46.306280000000001</v>
      </c>
      <c r="AE979" s="36">
        <v>-84.061220000000006</v>
      </c>
      <c r="AF979" s="18">
        <v>41053.930555555555</v>
      </c>
      <c r="AG979" s="19">
        <v>41038.763888888891</v>
      </c>
      <c r="AH979" t="s">
        <v>161</v>
      </c>
      <c r="AL979" t="s">
        <v>335</v>
      </c>
      <c r="AM979" s="20">
        <v>41051</v>
      </c>
      <c r="AR979" s="39" t="s">
        <v>400</v>
      </c>
      <c r="AS979" s="39"/>
      <c r="AT979" s="39">
        <v>200</v>
      </c>
      <c r="AZ979" t="s">
        <v>108</v>
      </c>
      <c r="BC979" t="s">
        <v>163</v>
      </c>
      <c r="BD979" s="20">
        <v>41086</v>
      </c>
      <c r="BF979" s="21" t="s">
        <v>406</v>
      </c>
      <c r="BG979" s="38" t="s">
        <v>113</v>
      </c>
      <c r="BH979" s="1" t="s">
        <v>408</v>
      </c>
      <c r="BI979" s="1">
        <v>46.514783999999999</v>
      </c>
      <c r="BJ979" s="1">
        <v>-84.346945000000005</v>
      </c>
      <c r="BK979" s="1" t="s">
        <v>235</v>
      </c>
      <c r="BL979" s="1" t="s">
        <v>336</v>
      </c>
      <c r="BU979" t="s">
        <v>434</v>
      </c>
    </row>
    <row r="980" spans="1:73" x14ac:dyDescent="0.25">
      <c r="A980" t="str">
        <f t="shared" si="15"/>
        <v>A69-1601-5126</v>
      </c>
      <c r="B980" t="s">
        <v>398</v>
      </c>
      <c r="C980" t="s">
        <v>324</v>
      </c>
      <c r="D980" t="s">
        <v>345</v>
      </c>
      <c r="F980">
        <v>5126</v>
      </c>
      <c r="G980" t="s">
        <v>346</v>
      </c>
      <c r="H980" t="s">
        <v>327</v>
      </c>
      <c r="I980" s="20">
        <v>41051</v>
      </c>
      <c r="J980">
        <v>101</v>
      </c>
      <c r="L980" t="s">
        <v>109</v>
      </c>
      <c r="M980" t="s">
        <v>328</v>
      </c>
      <c r="N980" t="s">
        <v>329</v>
      </c>
      <c r="O980" t="s">
        <v>330</v>
      </c>
      <c r="P980" t="s">
        <v>331</v>
      </c>
      <c r="U980">
        <v>0.46</v>
      </c>
      <c r="V980">
        <v>0.19800000000000001</v>
      </c>
      <c r="W980" t="s">
        <v>399</v>
      </c>
      <c r="Y980" t="s">
        <v>332</v>
      </c>
      <c r="AB980" t="s">
        <v>344</v>
      </c>
      <c r="AC980" t="s">
        <v>342</v>
      </c>
      <c r="AD980" s="36">
        <v>46.306280000000001</v>
      </c>
      <c r="AE980" s="36">
        <v>-84.061220000000006</v>
      </c>
      <c r="AF980" s="18">
        <v>41053.930555555555</v>
      </c>
      <c r="AG980" s="19">
        <v>41038.763888888891</v>
      </c>
      <c r="AH980" t="s">
        <v>161</v>
      </c>
      <c r="AL980" t="s">
        <v>335</v>
      </c>
      <c r="AM980" s="20">
        <v>41051</v>
      </c>
      <c r="AR980" s="39" t="s">
        <v>400</v>
      </c>
      <c r="AS980" s="39"/>
      <c r="AT980" s="39">
        <v>200</v>
      </c>
      <c r="AZ980" t="s">
        <v>108</v>
      </c>
      <c r="BC980" t="s">
        <v>336</v>
      </c>
    </row>
    <row r="981" spans="1:73" x14ac:dyDescent="0.25">
      <c r="A981" t="str">
        <f t="shared" si="15"/>
        <v>A69-1601-5127</v>
      </c>
      <c r="B981" t="s">
        <v>398</v>
      </c>
      <c r="C981" t="s">
        <v>324</v>
      </c>
      <c r="D981" t="s">
        <v>345</v>
      </c>
      <c r="F981">
        <v>5127</v>
      </c>
      <c r="G981" t="s">
        <v>346</v>
      </c>
      <c r="H981" t="s">
        <v>327</v>
      </c>
      <c r="I981" s="20">
        <v>41051</v>
      </c>
      <c r="J981">
        <v>101</v>
      </c>
      <c r="L981" t="s">
        <v>109</v>
      </c>
      <c r="M981" t="s">
        <v>328</v>
      </c>
      <c r="N981" t="s">
        <v>329</v>
      </c>
      <c r="O981" t="s">
        <v>330</v>
      </c>
      <c r="P981" t="s">
        <v>331</v>
      </c>
      <c r="U981">
        <v>0.5</v>
      </c>
      <c r="V981">
        <v>0.24</v>
      </c>
      <c r="W981" t="s">
        <v>399</v>
      </c>
      <c r="Y981" t="s">
        <v>332</v>
      </c>
      <c r="AB981" t="s">
        <v>344</v>
      </c>
      <c r="AC981" t="s">
        <v>342</v>
      </c>
      <c r="AD981" s="36">
        <v>46.306280000000001</v>
      </c>
      <c r="AE981" s="36">
        <v>-84.061220000000006</v>
      </c>
      <c r="AF981" s="18">
        <v>41053.930555555555</v>
      </c>
      <c r="AG981" s="19">
        <v>41038.763888888891</v>
      </c>
      <c r="AH981" t="s">
        <v>161</v>
      </c>
      <c r="AL981" t="s">
        <v>335</v>
      </c>
      <c r="AM981" s="20">
        <v>41051</v>
      </c>
      <c r="AR981" s="39" t="s">
        <v>400</v>
      </c>
      <c r="AS981" s="39"/>
      <c r="AT981" s="39">
        <v>200</v>
      </c>
      <c r="AZ981" t="s">
        <v>108</v>
      </c>
      <c r="BC981" t="s">
        <v>336</v>
      </c>
    </row>
    <row r="982" spans="1:73" x14ac:dyDescent="0.25">
      <c r="A982" t="str">
        <f t="shared" si="15"/>
        <v>A69-1601-5128</v>
      </c>
      <c r="B982" t="s">
        <v>398</v>
      </c>
      <c r="C982" t="s">
        <v>324</v>
      </c>
      <c r="D982" t="s">
        <v>345</v>
      </c>
      <c r="F982">
        <v>5128</v>
      </c>
      <c r="G982" t="s">
        <v>346</v>
      </c>
      <c r="H982" t="s">
        <v>327</v>
      </c>
      <c r="I982" s="20">
        <v>41051</v>
      </c>
      <c r="J982">
        <v>101</v>
      </c>
      <c r="L982" t="s">
        <v>109</v>
      </c>
      <c r="M982" t="s">
        <v>328</v>
      </c>
      <c r="N982" t="s">
        <v>329</v>
      </c>
      <c r="O982" t="s">
        <v>330</v>
      </c>
      <c r="P982" t="s">
        <v>331</v>
      </c>
      <c r="U982">
        <v>0.51</v>
      </c>
      <c r="V982">
        <v>0.29599999999999999</v>
      </c>
      <c r="W982" t="s">
        <v>399</v>
      </c>
      <c r="Y982" t="s">
        <v>332</v>
      </c>
      <c r="AB982" t="s">
        <v>344</v>
      </c>
      <c r="AC982" t="s">
        <v>342</v>
      </c>
      <c r="AD982" s="36">
        <v>46.306280000000001</v>
      </c>
      <c r="AE982" s="36">
        <v>-84.061220000000006</v>
      </c>
      <c r="AF982" s="18">
        <v>41053.930555555555</v>
      </c>
      <c r="AG982" s="19">
        <v>41038.763888888891</v>
      </c>
      <c r="AH982" t="s">
        <v>161</v>
      </c>
      <c r="AL982" t="s">
        <v>335</v>
      </c>
      <c r="AM982" s="20">
        <v>41051</v>
      </c>
      <c r="AR982" s="39" t="s">
        <v>400</v>
      </c>
      <c r="AS982" s="39"/>
      <c r="AT982" s="39">
        <v>200</v>
      </c>
      <c r="AZ982" t="s">
        <v>108</v>
      </c>
      <c r="BC982" t="s">
        <v>336</v>
      </c>
    </row>
    <row r="983" spans="1:73" x14ac:dyDescent="0.25">
      <c r="A983" t="str">
        <f t="shared" si="15"/>
        <v>A69-1601-5129</v>
      </c>
      <c r="B983" t="s">
        <v>398</v>
      </c>
      <c r="C983" t="s">
        <v>324</v>
      </c>
      <c r="D983" t="s">
        <v>345</v>
      </c>
      <c r="F983">
        <v>5129</v>
      </c>
      <c r="G983" t="s">
        <v>346</v>
      </c>
      <c r="H983" t="s">
        <v>327</v>
      </c>
      <c r="I983" s="20">
        <v>41051</v>
      </c>
      <c r="J983">
        <v>101</v>
      </c>
      <c r="L983" t="s">
        <v>109</v>
      </c>
      <c r="M983" t="s">
        <v>328</v>
      </c>
      <c r="N983" t="s">
        <v>329</v>
      </c>
      <c r="O983" t="s">
        <v>330</v>
      </c>
      <c r="P983" t="s">
        <v>331</v>
      </c>
      <c r="U983">
        <v>0.5</v>
      </c>
      <c r="V983">
        <v>0.26400000000000001</v>
      </c>
      <c r="W983" t="s">
        <v>399</v>
      </c>
      <c r="Y983" t="s">
        <v>332</v>
      </c>
      <c r="AB983" t="s">
        <v>344</v>
      </c>
      <c r="AC983" t="s">
        <v>342</v>
      </c>
      <c r="AD983" s="36">
        <v>46.306280000000001</v>
      </c>
      <c r="AE983" s="36">
        <v>-84.061220000000006</v>
      </c>
      <c r="AF983" s="18">
        <v>41053.930555555555</v>
      </c>
      <c r="AG983" s="19">
        <v>41038.763888888891</v>
      </c>
      <c r="AH983" t="s">
        <v>161</v>
      </c>
      <c r="AL983" t="s">
        <v>335</v>
      </c>
      <c r="AM983" s="20">
        <v>41051</v>
      </c>
      <c r="AR983" s="39" t="s">
        <v>400</v>
      </c>
      <c r="AS983" s="39"/>
      <c r="AT983" s="39">
        <v>200</v>
      </c>
      <c r="AZ983" t="s">
        <v>108</v>
      </c>
      <c r="BC983" t="s">
        <v>336</v>
      </c>
    </row>
    <row r="984" spans="1:73" x14ac:dyDescent="0.25">
      <c r="A984" t="str">
        <f t="shared" si="15"/>
        <v>A69-1601-5130</v>
      </c>
      <c r="B984" t="s">
        <v>398</v>
      </c>
      <c r="C984" t="s">
        <v>324</v>
      </c>
      <c r="D984" t="s">
        <v>345</v>
      </c>
      <c r="F984">
        <v>5130</v>
      </c>
      <c r="G984" t="s">
        <v>346</v>
      </c>
      <c r="H984" t="s">
        <v>327</v>
      </c>
      <c r="I984" s="20">
        <v>41051</v>
      </c>
      <c r="J984">
        <v>101</v>
      </c>
      <c r="L984" t="s">
        <v>109</v>
      </c>
      <c r="M984" t="s">
        <v>328</v>
      </c>
      <c r="N984" t="s">
        <v>329</v>
      </c>
      <c r="O984" t="s">
        <v>330</v>
      </c>
      <c r="P984" t="s">
        <v>331</v>
      </c>
      <c r="U984">
        <v>0.49</v>
      </c>
      <c r="V984">
        <v>0.218</v>
      </c>
      <c r="W984" t="s">
        <v>399</v>
      </c>
      <c r="Y984" t="s">
        <v>332</v>
      </c>
      <c r="AB984" t="s">
        <v>344</v>
      </c>
      <c r="AC984" t="s">
        <v>342</v>
      </c>
      <c r="AD984" s="36">
        <v>46.306280000000001</v>
      </c>
      <c r="AE984" s="36">
        <v>-84.061220000000006</v>
      </c>
      <c r="AF984" s="18">
        <v>41053.930555555555</v>
      </c>
      <c r="AG984" s="19">
        <v>41038.763888888891</v>
      </c>
      <c r="AH984" t="s">
        <v>161</v>
      </c>
      <c r="AL984" t="s">
        <v>335</v>
      </c>
      <c r="AM984" s="20">
        <v>41051</v>
      </c>
      <c r="AR984" s="39" t="s">
        <v>400</v>
      </c>
      <c r="AS984" s="39"/>
      <c r="AT984" s="39">
        <v>200</v>
      </c>
      <c r="AZ984" t="s">
        <v>108</v>
      </c>
      <c r="BC984" t="s">
        <v>336</v>
      </c>
    </row>
    <row r="985" spans="1:73" x14ac:dyDescent="0.25">
      <c r="A985" t="str">
        <f t="shared" si="15"/>
        <v>A69-1601-5131</v>
      </c>
      <c r="B985" t="s">
        <v>398</v>
      </c>
      <c r="C985" t="s">
        <v>324</v>
      </c>
      <c r="D985" t="s">
        <v>345</v>
      </c>
      <c r="F985">
        <v>5131</v>
      </c>
      <c r="G985" t="s">
        <v>346</v>
      </c>
      <c r="H985" t="s">
        <v>327</v>
      </c>
      <c r="I985" s="20">
        <v>41051</v>
      </c>
      <c r="J985">
        <v>101</v>
      </c>
      <c r="L985" t="s">
        <v>109</v>
      </c>
      <c r="M985" t="s">
        <v>328</v>
      </c>
      <c r="N985" t="s">
        <v>329</v>
      </c>
      <c r="O985" t="s">
        <v>330</v>
      </c>
      <c r="P985" t="s">
        <v>331</v>
      </c>
      <c r="U985">
        <v>0.5</v>
      </c>
      <c r="V985">
        <v>0.251</v>
      </c>
      <c r="W985" t="s">
        <v>399</v>
      </c>
      <c r="Y985" t="s">
        <v>332</v>
      </c>
      <c r="AB985" t="s">
        <v>344</v>
      </c>
      <c r="AC985" t="s">
        <v>342</v>
      </c>
      <c r="AD985" s="36">
        <v>46.306280000000001</v>
      </c>
      <c r="AE985" s="36">
        <v>-84.061220000000006</v>
      </c>
      <c r="AF985" s="18">
        <v>41053.930555555555</v>
      </c>
      <c r="AG985" s="19">
        <v>41038.763888888891</v>
      </c>
      <c r="AH985" t="s">
        <v>161</v>
      </c>
      <c r="AL985" t="s">
        <v>335</v>
      </c>
      <c r="AM985" s="20">
        <v>41051</v>
      </c>
      <c r="AR985" s="39" t="s">
        <v>400</v>
      </c>
      <c r="AS985" s="39"/>
      <c r="AT985" s="39">
        <v>200</v>
      </c>
      <c r="AZ985" t="s">
        <v>108</v>
      </c>
      <c r="BC985" t="s">
        <v>336</v>
      </c>
    </row>
    <row r="986" spans="1:73" x14ac:dyDescent="0.25">
      <c r="A986" t="str">
        <f t="shared" si="15"/>
        <v>A69-1601-5132</v>
      </c>
      <c r="B986" t="s">
        <v>398</v>
      </c>
      <c r="C986" t="s">
        <v>324</v>
      </c>
      <c r="D986" t="s">
        <v>345</v>
      </c>
      <c r="F986">
        <v>5132</v>
      </c>
      <c r="G986" t="s">
        <v>346</v>
      </c>
      <c r="H986" t="s">
        <v>327</v>
      </c>
      <c r="I986" s="20">
        <v>41051</v>
      </c>
      <c r="J986">
        <v>101</v>
      </c>
      <c r="L986" t="s">
        <v>109</v>
      </c>
      <c r="M986" t="s">
        <v>328</v>
      </c>
      <c r="N986" t="s">
        <v>329</v>
      </c>
      <c r="O986" t="s">
        <v>330</v>
      </c>
      <c r="P986" t="s">
        <v>331</v>
      </c>
      <c r="U986">
        <v>0.51</v>
      </c>
      <c r="V986">
        <v>0.255</v>
      </c>
      <c r="W986" t="s">
        <v>399</v>
      </c>
      <c r="Y986" t="s">
        <v>332</v>
      </c>
      <c r="AB986" t="s">
        <v>344</v>
      </c>
      <c r="AC986" t="s">
        <v>342</v>
      </c>
      <c r="AD986" s="36">
        <v>46.306280000000001</v>
      </c>
      <c r="AE986" s="36">
        <v>-84.061220000000006</v>
      </c>
      <c r="AF986" s="18">
        <v>41053.930555555555</v>
      </c>
      <c r="AG986" s="19">
        <v>41038.763888888891</v>
      </c>
      <c r="AH986" t="s">
        <v>161</v>
      </c>
      <c r="AL986" t="s">
        <v>335</v>
      </c>
      <c r="AM986" s="20">
        <v>41051</v>
      </c>
      <c r="AR986" s="39" t="s">
        <v>400</v>
      </c>
      <c r="AS986" s="39"/>
      <c r="AT986" s="39">
        <v>200</v>
      </c>
      <c r="AZ986" t="s">
        <v>108</v>
      </c>
      <c r="BC986" t="s">
        <v>336</v>
      </c>
    </row>
    <row r="987" spans="1:73" x14ac:dyDescent="0.25">
      <c r="A987" t="str">
        <f t="shared" si="15"/>
        <v>A69-1601-5133</v>
      </c>
      <c r="B987" t="s">
        <v>398</v>
      </c>
      <c r="C987" t="s">
        <v>324</v>
      </c>
      <c r="D987" t="s">
        <v>345</v>
      </c>
      <c r="F987">
        <v>5133</v>
      </c>
      <c r="G987" t="s">
        <v>346</v>
      </c>
      <c r="H987" t="s">
        <v>327</v>
      </c>
      <c r="I987" s="20">
        <v>41051</v>
      </c>
      <c r="J987">
        <v>101</v>
      </c>
      <c r="L987" t="s">
        <v>109</v>
      </c>
      <c r="M987" t="s">
        <v>328</v>
      </c>
      <c r="N987" t="s">
        <v>329</v>
      </c>
      <c r="O987" t="s">
        <v>330</v>
      </c>
      <c r="P987" t="s">
        <v>331</v>
      </c>
      <c r="U987">
        <v>0.48</v>
      </c>
      <c r="V987">
        <v>0.26300000000000001</v>
      </c>
      <c r="W987" t="s">
        <v>399</v>
      </c>
      <c r="Y987" t="s">
        <v>332</v>
      </c>
      <c r="AB987" t="s">
        <v>344</v>
      </c>
      <c r="AC987" t="s">
        <v>342</v>
      </c>
      <c r="AD987" s="36">
        <v>46.306280000000001</v>
      </c>
      <c r="AE987" s="36">
        <v>-84.061220000000006</v>
      </c>
      <c r="AF987" s="18">
        <v>41053.930555555555</v>
      </c>
      <c r="AG987" s="19">
        <v>41038.763888888891</v>
      </c>
      <c r="AH987" t="s">
        <v>161</v>
      </c>
      <c r="AL987" t="s">
        <v>335</v>
      </c>
      <c r="AM987" s="20">
        <v>41051</v>
      </c>
      <c r="AR987" s="39" t="s">
        <v>400</v>
      </c>
      <c r="AS987" s="39"/>
      <c r="AT987" s="39">
        <v>200</v>
      </c>
      <c r="AZ987" t="s">
        <v>108</v>
      </c>
      <c r="BC987" t="s">
        <v>336</v>
      </c>
    </row>
    <row r="988" spans="1:73" x14ac:dyDescent="0.25">
      <c r="A988" t="str">
        <f t="shared" si="15"/>
        <v>A69-1601-5134</v>
      </c>
      <c r="B988" t="s">
        <v>398</v>
      </c>
      <c r="C988" t="s">
        <v>324</v>
      </c>
      <c r="D988" t="s">
        <v>345</v>
      </c>
      <c r="F988">
        <v>5134</v>
      </c>
      <c r="G988" t="s">
        <v>346</v>
      </c>
      <c r="H988" t="s">
        <v>327</v>
      </c>
      <c r="I988" s="20">
        <v>41051</v>
      </c>
      <c r="J988">
        <v>101</v>
      </c>
      <c r="L988" t="s">
        <v>109</v>
      </c>
      <c r="M988" t="s">
        <v>328</v>
      </c>
      <c r="N988" t="s">
        <v>329</v>
      </c>
      <c r="O988" t="s">
        <v>330</v>
      </c>
      <c r="P988" t="s">
        <v>331</v>
      </c>
      <c r="U988">
        <v>0.48</v>
      </c>
      <c r="V988">
        <v>0.224</v>
      </c>
      <c r="W988" t="s">
        <v>399</v>
      </c>
      <c r="Y988" t="s">
        <v>337</v>
      </c>
      <c r="AB988" t="s">
        <v>344</v>
      </c>
      <c r="AC988" t="s">
        <v>342</v>
      </c>
      <c r="AD988" s="36">
        <v>46.306280000000001</v>
      </c>
      <c r="AE988" s="36">
        <v>-84.061220000000006</v>
      </c>
      <c r="AF988" s="18">
        <v>41053.930555555555</v>
      </c>
      <c r="AG988" s="19">
        <v>41038.763888888891</v>
      </c>
      <c r="AH988" t="s">
        <v>161</v>
      </c>
      <c r="AL988" t="s">
        <v>335</v>
      </c>
      <c r="AM988" s="20">
        <v>41051</v>
      </c>
      <c r="AR988" s="39" t="s">
        <v>400</v>
      </c>
      <c r="AS988" s="39"/>
      <c r="AT988" s="39">
        <v>200</v>
      </c>
      <c r="AZ988" t="s">
        <v>108</v>
      </c>
      <c r="BC988" t="s">
        <v>336</v>
      </c>
    </row>
    <row r="989" spans="1:73" x14ac:dyDescent="0.25">
      <c r="A989" t="str">
        <f t="shared" si="15"/>
        <v>A69-1601-5135</v>
      </c>
      <c r="B989" t="s">
        <v>398</v>
      </c>
      <c r="C989" t="s">
        <v>324</v>
      </c>
      <c r="D989" t="s">
        <v>345</v>
      </c>
      <c r="F989">
        <v>5135</v>
      </c>
      <c r="G989" t="s">
        <v>346</v>
      </c>
      <c r="H989" t="s">
        <v>327</v>
      </c>
      <c r="I989" s="20">
        <v>41051</v>
      </c>
      <c r="J989">
        <v>101</v>
      </c>
      <c r="L989" t="s">
        <v>109</v>
      </c>
      <c r="M989" t="s">
        <v>328</v>
      </c>
      <c r="N989" t="s">
        <v>329</v>
      </c>
      <c r="O989" t="s">
        <v>330</v>
      </c>
      <c r="P989" t="s">
        <v>331</v>
      </c>
      <c r="U989">
        <v>0.51</v>
      </c>
      <c r="V989">
        <v>0.22600000000000001</v>
      </c>
      <c r="W989" t="s">
        <v>399</v>
      </c>
      <c r="Y989" t="s">
        <v>337</v>
      </c>
      <c r="AB989" t="s">
        <v>344</v>
      </c>
      <c r="AC989" t="s">
        <v>342</v>
      </c>
      <c r="AD989" s="36">
        <v>46.306280000000001</v>
      </c>
      <c r="AE989" s="36">
        <v>-84.061220000000006</v>
      </c>
      <c r="AF989" s="18">
        <v>41053.930555555555</v>
      </c>
      <c r="AG989" s="19">
        <v>41038.763888888891</v>
      </c>
      <c r="AH989" t="s">
        <v>161</v>
      </c>
      <c r="AL989" t="s">
        <v>335</v>
      </c>
      <c r="AM989" s="20">
        <v>41051</v>
      </c>
      <c r="AR989" s="39" t="s">
        <v>400</v>
      </c>
      <c r="AS989" s="39"/>
      <c r="AT989" s="39">
        <v>200</v>
      </c>
      <c r="AZ989" t="s">
        <v>108</v>
      </c>
      <c r="BC989" t="s">
        <v>336</v>
      </c>
    </row>
    <row r="990" spans="1:73" x14ac:dyDescent="0.25">
      <c r="A990" t="str">
        <f t="shared" si="15"/>
        <v>A69-1601-5136</v>
      </c>
      <c r="B990" t="s">
        <v>398</v>
      </c>
      <c r="C990" t="s">
        <v>324</v>
      </c>
      <c r="D990" t="s">
        <v>345</v>
      </c>
      <c r="F990">
        <v>5136</v>
      </c>
      <c r="G990" t="s">
        <v>346</v>
      </c>
      <c r="H990" t="s">
        <v>327</v>
      </c>
      <c r="I990" s="20">
        <v>41051</v>
      </c>
      <c r="J990">
        <v>101</v>
      </c>
      <c r="L990" t="s">
        <v>109</v>
      </c>
      <c r="M990" t="s">
        <v>328</v>
      </c>
      <c r="N990" t="s">
        <v>329</v>
      </c>
      <c r="O990" t="s">
        <v>330</v>
      </c>
      <c r="P990" t="s">
        <v>331</v>
      </c>
      <c r="U990">
        <v>0.5</v>
      </c>
      <c r="V990">
        <v>0.27800000000000002</v>
      </c>
      <c r="W990" t="s">
        <v>399</v>
      </c>
      <c r="Y990" t="s">
        <v>337</v>
      </c>
      <c r="AB990" t="s">
        <v>344</v>
      </c>
      <c r="AC990" t="s">
        <v>342</v>
      </c>
      <c r="AD990" s="36">
        <v>46.306280000000001</v>
      </c>
      <c r="AE990" s="36">
        <v>-84.061220000000006</v>
      </c>
      <c r="AF990" s="18">
        <v>41053.930555555555</v>
      </c>
      <c r="AG990" s="19">
        <v>41038.763888888891</v>
      </c>
      <c r="AH990" t="s">
        <v>161</v>
      </c>
      <c r="AL990" t="s">
        <v>335</v>
      </c>
      <c r="AM990" s="20">
        <v>41051</v>
      </c>
      <c r="AR990" s="39" t="s">
        <v>400</v>
      </c>
      <c r="AS990" s="39"/>
      <c r="AT990" s="39">
        <v>200</v>
      </c>
      <c r="AZ990" t="s">
        <v>108</v>
      </c>
      <c r="BC990" t="s">
        <v>336</v>
      </c>
    </row>
    <row r="991" spans="1:73" x14ac:dyDescent="0.25">
      <c r="A991" t="str">
        <f t="shared" si="15"/>
        <v>A69-1601-5137</v>
      </c>
      <c r="B991" t="s">
        <v>398</v>
      </c>
      <c r="C991" t="s">
        <v>324</v>
      </c>
      <c r="D991" t="s">
        <v>345</v>
      </c>
      <c r="F991">
        <v>5137</v>
      </c>
      <c r="G991" t="s">
        <v>346</v>
      </c>
      <c r="H991" t="s">
        <v>327</v>
      </c>
      <c r="I991" s="20">
        <v>41051</v>
      </c>
      <c r="J991">
        <v>101</v>
      </c>
      <c r="L991" t="s">
        <v>109</v>
      </c>
      <c r="M991" t="s">
        <v>328</v>
      </c>
      <c r="N991" t="s">
        <v>329</v>
      </c>
      <c r="O991" t="s">
        <v>330</v>
      </c>
      <c r="P991" t="s">
        <v>331</v>
      </c>
      <c r="U991">
        <v>0.45</v>
      </c>
      <c r="V991">
        <v>0.19500000000000001</v>
      </c>
      <c r="W991" t="s">
        <v>399</v>
      </c>
      <c r="Y991" t="s">
        <v>337</v>
      </c>
      <c r="AB991" t="s">
        <v>344</v>
      </c>
      <c r="AC991" t="s">
        <v>342</v>
      </c>
      <c r="AD991" s="36">
        <v>46.306280000000001</v>
      </c>
      <c r="AE991" s="36">
        <v>-84.061220000000006</v>
      </c>
      <c r="AF991" s="18">
        <v>41053.930555555555</v>
      </c>
      <c r="AG991" s="19">
        <v>41038.763888888891</v>
      </c>
      <c r="AH991" t="s">
        <v>161</v>
      </c>
      <c r="AL991" t="s">
        <v>335</v>
      </c>
      <c r="AM991" s="20">
        <v>41051</v>
      </c>
      <c r="AR991" s="39" t="s">
        <v>400</v>
      </c>
      <c r="AS991" s="39"/>
      <c r="AT991" s="39">
        <v>200</v>
      </c>
      <c r="AZ991" t="s">
        <v>108</v>
      </c>
      <c r="BC991" t="s">
        <v>336</v>
      </c>
    </row>
    <row r="992" spans="1:73" x14ac:dyDescent="0.25">
      <c r="A992" t="str">
        <f t="shared" si="15"/>
        <v>A69-1601-5138</v>
      </c>
      <c r="B992" t="s">
        <v>398</v>
      </c>
      <c r="C992" t="s">
        <v>324</v>
      </c>
      <c r="D992" t="s">
        <v>345</v>
      </c>
      <c r="F992">
        <v>5138</v>
      </c>
      <c r="G992" t="s">
        <v>346</v>
      </c>
      <c r="H992" t="s">
        <v>327</v>
      </c>
      <c r="I992" s="20">
        <v>41051</v>
      </c>
      <c r="J992">
        <v>101</v>
      </c>
      <c r="L992" t="s">
        <v>109</v>
      </c>
      <c r="M992" t="s">
        <v>328</v>
      </c>
      <c r="N992" t="s">
        <v>329</v>
      </c>
      <c r="O992" t="s">
        <v>330</v>
      </c>
      <c r="P992" t="s">
        <v>331</v>
      </c>
      <c r="U992">
        <v>0.5</v>
      </c>
      <c r="V992">
        <v>0.30099999999999999</v>
      </c>
      <c r="W992" t="s">
        <v>399</v>
      </c>
      <c r="Y992" t="s">
        <v>337</v>
      </c>
      <c r="AB992" t="s">
        <v>344</v>
      </c>
      <c r="AC992" t="s">
        <v>342</v>
      </c>
      <c r="AD992" s="36">
        <v>46.306280000000001</v>
      </c>
      <c r="AE992" s="36">
        <v>-84.061220000000006</v>
      </c>
      <c r="AF992" s="18">
        <v>41053.930555555555</v>
      </c>
      <c r="AG992" s="19">
        <v>41038.763888888891</v>
      </c>
      <c r="AH992" t="s">
        <v>161</v>
      </c>
      <c r="AL992" t="s">
        <v>335</v>
      </c>
      <c r="AM992" s="20">
        <v>41051</v>
      </c>
      <c r="AR992" s="39" t="s">
        <v>400</v>
      </c>
      <c r="AS992" s="39"/>
      <c r="AT992" s="39">
        <v>200</v>
      </c>
      <c r="AZ992" t="s">
        <v>108</v>
      </c>
      <c r="BC992" t="s">
        <v>336</v>
      </c>
    </row>
    <row r="993" spans="1:55" x14ac:dyDescent="0.25">
      <c r="A993" t="str">
        <f t="shared" si="15"/>
        <v>A69-1601-4962</v>
      </c>
      <c r="B993" t="s">
        <v>398</v>
      </c>
      <c r="C993" t="s">
        <v>324</v>
      </c>
      <c r="D993" t="s">
        <v>345</v>
      </c>
      <c r="F993">
        <v>4962</v>
      </c>
      <c r="G993" t="s">
        <v>346</v>
      </c>
      <c r="H993" t="s">
        <v>327</v>
      </c>
      <c r="I993" s="20">
        <v>41051</v>
      </c>
      <c r="J993">
        <v>101</v>
      </c>
      <c r="L993" t="s">
        <v>109</v>
      </c>
      <c r="M993" t="s">
        <v>328</v>
      </c>
      <c r="N993" t="s">
        <v>329</v>
      </c>
      <c r="O993" t="s">
        <v>330</v>
      </c>
      <c r="P993" t="s">
        <v>331</v>
      </c>
      <c r="U993">
        <v>0.49</v>
      </c>
      <c r="V993">
        <v>0.27100000000000002</v>
      </c>
      <c r="W993" t="s">
        <v>399</v>
      </c>
      <c r="Y993" t="s">
        <v>337</v>
      </c>
      <c r="AB993" t="s">
        <v>344</v>
      </c>
      <c r="AC993" t="s">
        <v>342</v>
      </c>
      <c r="AD993" s="36">
        <v>46.306280000000001</v>
      </c>
      <c r="AE993" s="36">
        <v>-84.061220000000006</v>
      </c>
      <c r="AF993" s="18">
        <v>41053.930555555555</v>
      </c>
      <c r="AG993" s="19">
        <v>41038.763888888891</v>
      </c>
      <c r="AH993" t="s">
        <v>161</v>
      </c>
      <c r="AL993" t="s">
        <v>335</v>
      </c>
      <c r="AM993" s="20">
        <v>41051</v>
      </c>
      <c r="AR993" s="39" t="s">
        <v>400</v>
      </c>
      <c r="AS993" s="39"/>
      <c r="AT993" s="39">
        <v>200</v>
      </c>
      <c r="AZ993" t="s">
        <v>108</v>
      </c>
      <c r="BC993" t="s">
        <v>336</v>
      </c>
    </row>
    <row r="994" spans="1:55" x14ac:dyDescent="0.25">
      <c r="A994" t="str">
        <f t="shared" si="15"/>
        <v>A69-1601-4963</v>
      </c>
      <c r="B994" t="s">
        <v>398</v>
      </c>
      <c r="C994" t="s">
        <v>324</v>
      </c>
      <c r="D994" t="s">
        <v>345</v>
      </c>
      <c r="F994">
        <v>4963</v>
      </c>
      <c r="G994" t="s">
        <v>346</v>
      </c>
      <c r="H994" t="s">
        <v>327</v>
      </c>
      <c r="I994" s="20">
        <v>41051</v>
      </c>
      <c r="J994">
        <v>101</v>
      </c>
      <c r="L994" t="s">
        <v>109</v>
      </c>
      <c r="M994" t="s">
        <v>328</v>
      </c>
      <c r="N994" t="s">
        <v>329</v>
      </c>
      <c r="O994" t="s">
        <v>330</v>
      </c>
      <c r="P994" t="s">
        <v>331</v>
      </c>
      <c r="U994">
        <v>0.47000000000000003</v>
      </c>
      <c r="V994">
        <v>0.20899999999999999</v>
      </c>
      <c r="W994" t="s">
        <v>399</v>
      </c>
      <c r="Y994" t="s">
        <v>337</v>
      </c>
      <c r="AB994" t="s">
        <v>344</v>
      </c>
      <c r="AC994" t="s">
        <v>342</v>
      </c>
      <c r="AD994" s="36">
        <v>46.306280000000001</v>
      </c>
      <c r="AE994" s="36">
        <v>-84.061220000000006</v>
      </c>
      <c r="AF994" s="18">
        <v>41053.930555555555</v>
      </c>
      <c r="AG994" s="19">
        <v>41038.763888888891</v>
      </c>
      <c r="AH994" t="s">
        <v>161</v>
      </c>
      <c r="AL994" t="s">
        <v>335</v>
      </c>
      <c r="AM994" s="20">
        <v>41051</v>
      </c>
      <c r="AR994" s="39" t="s">
        <v>400</v>
      </c>
      <c r="AS994" s="39"/>
      <c r="AT994" s="39">
        <v>200</v>
      </c>
      <c r="AZ994" t="s">
        <v>108</v>
      </c>
      <c r="BC994" t="s">
        <v>336</v>
      </c>
    </row>
    <row r="995" spans="1:55" x14ac:dyDescent="0.25">
      <c r="A995" t="str">
        <f t="shared" si="15"/>
        <v>A69-1601-4964</v>
      </c>
      <c r="B995" t="s">
        <v>398</v>
      </c>
      <c r="C995" t="s">
        <v>324</v>
      </c>
      <c r="D995" t="s">
        <v>345</v>
      </c>
      <c r="F995">
        <v>4964</v>
      </c>
      <c r="G995" t="s">
        <v>346</v>
      </c>
      <c r="H995" t="s">
        <v>327</v>
      </c>
      <c r="I995" s="20">
        <v>41051</v>
      </c>
      <c r="J995">
        <v>101</v>
      </c>
      <c r="L995" t="s">
        <v>109</v>
      </c>
      <c r="M995" t="s">
        <v>328</v>
      </c>
      <c r="N995" t="s">
        <v>329</v>
      </c>
      <c r="O995" t="s">
        <v>330</v>
      </c>
      <c r="P995" t="s">
        <v>331</v>
      </c>
      <c r="U995">
        <v>0.54</v>
      </c>
      <c r="V995">
        <v>0.32500000000000001</v>
      </c>
      <c r="W995" t="s">
        <v>399</v>
      </c>
      <c r="Y995" t="s">
        <v>337</v>
      </c>
      <c r="AB995" t="s">
        <v>344</v>
      </c>
      <c r="AC995" t="s">
        <v>342</v>
      </c>
      <c r="AD995" s="36">
        <v>46.306280000000001</v>
      </c>
      <c r="AE995" s="36">
        <v>-84.061220000000006</v>
      </c>
      <c r="AF995" s="18">
        <v>41053.930555555555</v>
      </c>
      <c r="AG995" s="19">
        <v>41038.763888888891</v>
      </c>
      <c r="AH995" t="s">
        <v>161</v>
      </c>
      <c r="AL995" t="s">
        <v>335</v>
      </c>
      <c r="AM995" s="20">
        <v>41051</v>
      </c>
      <c r="AR995" s="39" t="s">
        <v>400</v>
      </c>
      <c r="AS995" s="39"/>
      <c r="AT995" s="39">
        <v>200</v>
      </c>
      <c r="AZ995" t="s">
        <v>108</v>
      </c>
      <c r="BC995" t="s">
        <v>336</v>
      </c>
    </row>
    <row r="996" spans="1:55" x14ac:dyDescent="0.25">
      <c r="A996" t="str">
        <f t="shared" si="15"/>
        <v>A69-1601-4954</v>
      </c>
      <c r="B996" t="s">
        <v>398</v>
      </c>
      <c r="C996" t="s">
        <v>324</v>
      </c>
      <c r="D996" t="s">
        <v>345</v>
      </c>
      <c r="F996">
        <v>4954</v>
      </c>
      <c r="G996" t="s">
        <v>346</v>
      </c>
      <c r="H996" t="s">
        <v>327</v>
      </c>
      <c r="I996" s="20">
        <v>41051</v>
      </c>
      <c r="J996">
        <v>101</v>
      </c>
      <c r="L996" t="s">
        <v>109</v>
      </c>
      <c r="M996" t="s">
        <v>328</v>
      </c>
      <c r="N996" t="s">
        <v>329</v>
      </c>
      <c r="O996" t="s">
        <v>330</v>
      </c>
      <c r="P996" t="s">
        <v>331</v>
      </c>
      <c r="U996">
        <v>0.49</v>
      </c>
      <c r="V996">
        <v>0.25800000000000001</v>
      </c>
      <c r="W996" t="s">
        <v>399</v>
      </c>
      <c r="Y996" t="s">
        <v>337</v>
      </c>
      <c r="AB996" t="s">
        <v>344</v>
      </c>
      <c r="AC996" t="s">
        <v>342</v>
      </c>
      <c r="AD996" s="36">
        <v>46.306280000000001</v>
      </c>
      <c r="AE996" s="36">
        <v>-84.061220000000006</v>
      </c>
      <c r="AF996" s="18">
        <v>41053.930555555555</v>
      </c>
      <c r="AG996" s="19">
        <v>41038.763888888891</v>
      </c>
      <c r="AH996" t="s">
        <v>161</v>
      </c>
      <c r="AL996" t="s">
        <v>335</v>
      </c>
      <c r="AM996" s="20">
        <v>41051</v>
      </c>
      <c r="AR996" s="39" t="s">
        <v>400</v>
      </c>
      <c r="AS996" s="39"/>
      <c r="AT996" s="39">
        <v>200</v>
      </c>
      <c r="AZ996" t="s">
        <v>108</v>
      </c>
      <c r="BC996" t="s">
        <v>336</v>
      </c>
    </row>
    <row r="997" spans="1:55" x14ac:dyDescent="0.25">
      <c r="A997" t="str">
        <f t="shared" si="15"/>
        <v>A69-1601-4961</v>
      </c>
      <c r="B997" t="s">
        <v>398</v>
      </c>
      <c r="C997" t="s">
        <v>324</v>
      </c>
      <c r="D997" t="s">
        <v>345</v>
      </c>
      <c r="F997">
        <v>4961</v>
      </c>
      <c r="G997" t="s">
        <v>346</v>
      </c>
      <c r="H997" t="s">
        <v>327</v>
      </c>
      <c r="I997" s="20">
        <v>41051</v>
      </c>
      <c r="J997">
        <v>101</v>
      </c>
      <c r="L997" t="s">
        <v>109</v>
      </c>
      <c r="M997" t="s">
        <v>328</v>
      </c>
      <c r="N997" t="s">
        <v>329</v>
      </c>
      <c r="O997" t="s">
        <v>330</v>
      </c>
      <c r="P997" t="s">
        <v>331</v>
      </c>
      <c r="U997">
        <v>0.49</v>
      </c>
      <c r="V997">
        <v>0.27500000000000002</v>
      </c>
      <c r="W997" t="s">
        <v>399</v>
      </c>
      <c r="Y997" t="s">
        <v>337</v>
      </c>
      <c r="AB997" t="s">
        <v>344</v>
      </c>
      <c r="AC997" t="s">
        <v>342</v>
      </c>
      <c r="AD997" s="36">
        <v>46.306280000000001</v>
      </c>
      <c r="AE997" s="36">
        <v>-84.061220000000006</v>
      </c>
      <c r="AF997" s="18">
        <v>41053.930555555555</v>
      </c>
      <c r="AG997" s="19">
        <v>41038.763888888891</v>
      </c>
      <c r="AH997" t="s">
        <v>161</v>
      </c>
      <c r="AL997" t="s">
        <v>335</v>
      </c>
      <c r="AM997" s="20">
        <v>41051</v>
      </c>
      <c r="AR997" s="39" t="s">
        <v>400</v>
      </c>
      <c r="AS997" s="39"/>
      <c r="AT997" s="39">
        <v>200</v>
      </c>
      <c r="AZ997" t="s">
        <v>108</v>
      </c>
      <c r="BC997" t="s">
        <v>336</v>
      </c>
    </row>
    <row r="998" spans="1:55" x14ac:dyDescent="0.25">
      <c r="A998" t="str">
        <f t="shared" si="15"/>
        <v>A69-1601-5013</v>
      </c>
      <c r="B998" t="s">
        <v>398</v>
      </c>
      <c r="C998" t="s">
        <v>324</v>
      </c>
      <c r="D998" t="s">
        <v>345</v>
      </c>
      <c r="F998">
        <v>5013</v>
      </c>
      <c r="G998" t="s">
        <v>346</v>
      </c>
      <c r="H998" t="s">
        <v>327</v>
      </c>
      <c r="I998" s="20">
        <v>41051</v>
      </c>
      <c r="J998">
        <v>101</v>
      </c>
      <c r="L998" t="s">
        <v>109</v>
      </c>
      <c r="M998" t="s">
        <v>328</v>
      </c>
      <c r="N998" t="s">
        <v>329</v>
      </c>
      <c r="O998" t="s">
        <v>330</v>
      </c>
      <c r="P998" t="s">
        <v>331</v>
      </c>
      <c r="U998">
        <v>0.45</v>
      </c>
      <c r="V998">
        <v>0.17200000000000001</v>
      </c>
      <c r="W998" t="s">
        <v>399</v>
      </c>
      <c r="Y998" t="s">
        <v>337</v>
      </c>
      <c r="AB998" t="s">
        <v>344</v>
      </c>
      <c r="AC998" t="s">
        <v>342</v>
      </c>
      <c r="AD998" s="36">
        <v>46.306280000000001</v>
      </c>
      <c r="AE998" s="36">
        <v>-84.061220000000006</v>
      </c>
      <c r="AF998" s="18">
        <v>41053.930555555555</v>
      </c>
      <c r="AG998" s="19">
        <v>41038.763888888891</v>
      </c>
      <c r="AH998" t="s">
        <v>161</v>
      </c>
      <c r="AL998" t="s">
        <v>335</v>
      </c>
      <c r="AM998" s="20">
        <v>41051</v>
      </c>
      <c r="AR998" s="39" t="s">
        <v>400</v>
      </c>
      <c r="AS998" s="39"/>
      <c r="AT998" s="39">
        <v>200</v>
      </c>
      <c r="AZ998" t="s">
        <v>108</v>
      </c>
      <c r="BC998" t="s">
        <v>336</v>
      </c>
    </row>
    <row r="999" spans="1:55" x14ac:dyDescent="0.25">
      <c r="A999" t="str">
        <f t="shared" si="15"/>
        <v>A69-1601-5014</v>
      </c>
      <c r="B999" t="s">
        <v>398</v>
      </c>
      <c r="C999" t="s">
        <v>324</v>
      </c>
      <c r="D999" t="s">
        <v>345</v>
      </c>
      <c r="F999">
        <v>5014</v>
      </c>
      <c r="G999" t="s">
        <v>346</v>
      </c>
      <c r="H999" t="s">
        <v>327</v>
      </c>
      <c r="I999" s="20">
        <v>41051</v>
      </c>
      <c r="J999">
        <v>101</v>
      </c>
      <c r="L999" t="s">
        <v>109</v>
      </c>
      <c r="M999" t="s">
        <v>328</v>
      </c>
      <c r="N999" t="s">
        <v>329</v>
      </c>
      <c r="O999" t="s">
        <v>330</v>
      </c>
      <c r="P999" t="s">
        <v>331</v>
      </c>
      <c r="U999">
        <v>0.45</v>
      </c>
      <c r="V999">
        <v>0.224</v>
      </c>
      <c r="W999" t="s">
        <v>399</v>
      </c>
      <c r="Y999" t="s">
        <v>337</v>
      </c>
      <c r="AB999" t="s">
        <v>344</v>
      </c>
      <c r="AC999" t="s">
        <v>342</v>
      </c>
      <c r="AD999" s="36">
        <v>46.306280000000001</v>
      </c>
      <c r="AE999" s="36">
        <v>-84.061220000000006</v>
      </c>
      <c r="AF999" s="18">
        <v>41053.930555555555</v>
      </c>
      <c r="AG999" s="19">
        <v>41038.763888888891</v>
      </c>
      <c r="AH999" t="s">
        <v>161</v>
      </c>
      <c r="AL999" t="s">
        <v>335</v>
      </c>
      <c r="AM999" s="20">
        <v>41051</v>
      </c>
      <c r="AR999" s="39" t="s">
        <v>400</v>
      </c>
      <c r="AS999" s="39"/>
      <c r="AT999" s="39">
        <v>200</v>
      </c>
      <c r="AZ999" t="s">
        <v>108</v>
      </c>
      <c r="BC999" t="s">
        <v>336</v>
      </c>
    </row>
    <row r="1000" spans="1:55" x14ac:dyDescent="0.25">
      <c r="A1000" t="str">
        <f t="shared" si="15"/>
        <v>A69-1601-5015</v>
      </c>
      <c r="B1000" t="s">
        <v>398</v>
      </c>
      <c r="C1000" t="s">
        <v>324</v>
      </c>
      <c r="D1000" t="s">
        <v>345</v>
      </c>
      <c r="F1000">
        <v>5015</v>
      </c>
      <c r="G1000" t="s">
        <v>346</v>
      </c>
      <c r="H1000" t="s">
        <v>327</v>
      </c>
      <c r="I1000" s="20">
        <v>41051</v>
      </c>
      <c r="J1000">
        <v>101</v>
      </c>
      <c r="L1000" t="s">
        <v>109</v>
      </c>
      <c r="M1000" t="s">
        <v>328</v>
      </c>
      <c r="N1000" t="s">
        <v>329</v>
      </c>
      <c r="O1000" t="s">
        <v>330</v>
      </c>
      <c r="P1000" t="s">
        <v>331</v>
      </c>
      <c r="U1000">
        <v>0.44</v>
      </c>
      <c r="V1000">
        <v>0.17500000000000002</v>
      </c>
      <c r="W1000" t="s">
        <v>399</v>
      </c>
      <c r="Y1000" t="s">
        <v>337</v>
      </c>
      <c r="AB1000" t="s">
        <v>344</v>
      </c>
      <c r="AC1000" t="s">
        <v>342</v>
      </c>
      <c r="AD1000" s="36">
        <v>46.306280000000001</v>
      </c>
      <c r="AE1000" s="36">
        <v>-84.061220000000006</v>
      </c>
      <c r="AF1000" s="18">
        <v>41053.930555555555</v>
      </c>
      <c r="AG1000" s="19">
        <v>41038.763888888891</v>
      </c>
      <c r="AH1000" t="s">
        <v>161</v>
      </c>
      <c r="AL1000" t="s">
        <v>335</v>
      </c>
      <c r="AM1000" s="20">
        <v>41051</v>
      </c>
      <c r="AR1000" s="39" t="s">
        <v>400</v>
      </c>
      <c r="AS1000" s="39"/>
      <c r="AT1000" s="39">
        <v>200</v>
      </c>
      <c r="AZ1000" t="s">
        <v>108</v>
      </c>
      <c r="BC1000" t="s">
        <v>336</v>
      </c>
    </row>
    <row r="1001" spans="1:55" x14ac:dyDescent="0.25">
      <c r="A1001" t="str">
        <f t="shared" si="15"/>
        <v>A69-1601-5016</v>
      </c>
      <c r="B1001" t="s">
        <v>398</v>
      </c>
      <c r="C1001" t="s">
        <v>324</v>
      </c>
      <c r="D1001" t="s">
        <v>345</v>
      </c>
      <c r="F1001">
        <v>5016</v>
      </c>
      <c r="G1001" t="s">
        <v>346</v>
      </c>
      <c r="H1001" t="s">
        <v>327</v>
      </c>
      <c r="I1001" s="20">
        <v>41051</v>
      </c>
      <c r="J1001">
        <v>101</v>
      </c>
      <c r="L1001" t="s">
        <v>109</v>
      </c>
      <c r="M1001" t="s">
        <v>328</v>
      </c>
      <c r="N1001" t="s">
        <v>329</v>
      </c>
      <c r="O1001" t="s">
        <v>330</v>
      </c>
      <c r="P1001" t="s">
        <v>331</v>
      </c>
      <c r="U1001">
        <v>0.49</v>
      </c>
      <c r="V1001">
        <v>0.23700000000000002</v>
      </c>
      <c r="W1001" t="s">
        <v>399</v>
      </c>
      <c r="Y1001" t="s">
        <v>337</v>
      </c>
      <c r="AB1001" t="s">
        <v>344</v>
      </c>
      <c r="AC1001" t="s">
        <v>342</v>
      </c>
      <c r="AD1001" s="36">
        <v>46.306280000000001</v>
      </c>
      <c r="AE1001" s="36">
        <v>-84.061220000000006</v>
      </c>
      <c r="AF1001" s="18">
        <v>41053.930555555555</v>
      </c>
      <c r="AG1001" s="19">
        <v>41038.763888888891</v>
      </c>
      <c r="AH1001" t="s">
        <v>161</v>
      </c>
      <c r="AL1001" t="s">
        <v>335</v>
      </c>
      <c r="AM1001" s="20">
        <v>41051</v>
      </c>
      <c r="AR1001" s="39" t="s">
        <v>400</v>
      </c>
      <c r="AS1001" s="39"/>
      <c r="AT1001" s="39">
        <v>200</v>
      </c>
      <c r="AZ1001" t="s">
        <v>108</v>
      </c>
      <c r="BC1001" t="s">
        <v>336</v>
      </c>
    </row>
    <row r="1002" spans="1:55" x14ac:dyDescent="0.25">
      <c r="A1002" t="str">
        <f t="shared" si="15"/>
        <v>A69-1601-5017</v>
      </c>
      <c r="B1002" t="s">
        <v>398</v>
      </c>
      <c r="C1002" t="s">
        <v>324</v>
      </c>
      <c r="D1002" t="s">
        <v>345</v>
      </c>
      <c r="F1002">
        <v>5017</v>
      </c>
      <c r="G1002" t="s">
        <v>346</v>
      </c>
      <c r="H1002" t="s">
        <v>327</v>
      </c>
      <c r="I1002" s="20">
        <v>41051</v>
      </c>
      <c r="J1002">
        <v>101</v>
      </c>
      <c r="L1002" t="s">
        <v>109</v>
      </c>
      <c r="M1002" t="s">
        <v>328</v>
      </c>
      <c r="N1002" t="s">
        <v>329</v>
      </c>
      <c r="O1002" t="s">
        <v>330</v>
      </c>
      <c r="P1002" t="s">
        <v>331</v>
      </c>
      <c r="U1002">
        <v>0.51</v>
      </c>
      <c r="V1002">
        <v>0.29299999999999998</v>
      </c>
      <c r="W1002" t="s">
        <v>399</v>
      </c>
      <c r="Y1002" t="s">
        <v>337</v>
      </c>
      <c r="AB1002" t="s">
        <v>344</v>
      </c>
      <c r="AC1002" t="s">
        <v>342</v>
      </c>
      <c r="AD1002" s="36">
        <v>46.306280000000001</v>
      </c>
      <c r="AE1002" s="36">
        <v>-84.061220000000006</v>
      </c>
      <c r="AF1002" s="18">
        <v>41053.930555555555</v>
      </c>
      <c r="AG1002" s="19">
        <v>41038.763888888891</v>
      </c>
      <c r="AH1002" t="s">
        <v>161</v>
      </c>
      <c r="AL1002" t="s">
        <v>335</v>
      </c>
      <c r="AM1002" s="20">
        <v>41051</v>
      </c>
      <c r="AR1002" s="39" t="s">
        <v>400</v>
      </c>
      <c r="AS1002" s="39"/>
      <c r="AT1002" s="39">
        <v>200</v>
      </c>
      <c r="AZ1002" t="s">
        <v>108</v>
      </c>
      <c r="BC1002" t="s">
        <v>336</v>
      </c>
    </row>
    <row r="1003" spans="1:55" x14ac:dyDescent="0.25">
      <c r="A1003" t="str">
        <f t="shared" si="15"/>
        <v>A69-1601-5018</v>
      </c>
      <c r="B1003" t="s">
        <v>398</v>
      </c>
      <c r="C1003" t="s">
        <v>324</v>
      </c>
      <c r="D1003" t="s">
        <v>345</v>
      </c>
      <c r="F1003">
        <v>5018</v>
      </c>
      <c r="G1003" t="s">
        <v>346</v>
      </c>
      <c r="H1003" t="s">
        <v>327</v>
      </c>
      <c r="I1003" s="20">
        <v>41051</v>
      </c>
      <c r="J1003">
        <v>101</v>
      </c>
      <c r="L1003" t="s">
        <v>109</v>
      </c>
      <c r="M1003" t="s">
        <v>328</v>
      </c>
      <c r="N1003" t="s">
        <v>329</v>
      </c>
      <c r="O1003" t="s">
        <v>330</v>
      </c>
      <c r="P1003" t="s">
        <v>331</v>
      </c>
      <c r="U1003">
        <v>0.53</v>
      </c>
      <c r="V1003">
        <v>0.30299999999999999</v>
      </c>
      <c r="W1003" t="s">
        <v>399</v>
      </c>
      <c r="Y1003" t="s">
        <v>337</v>
      </c>
      <c r="AB1003" t="s">
        <v>344</v>
      </c>
      <c r="AC1003" t="s">
        <v>342</v>
      </c>
      <c r="AD1003" s="36">
        <v>46.306280000000001</v>
      </c>
      <c r="AE1003" s="36">
        <v>-84.061220000000006</v>
      </c>
      <c r="AF1003" s="18">
        <v>41053.930555555555</v>
      </c>
      <c r="AG1003" s="19">
        <v>41038.763888888891</v>
      </c>
      <c r="AH1003" t="s">
        <v>161</v>
      </c>
      <c r="AL1003" t="s">
        <v>335</v>
      </c>
      <c r="AM1003" s="20">
        <v>41051</v>
      </c>
      <c r="AR1003" s="39" t="s">
        <v>400</v>
      </c>
      <c r="AS1003" s="39"/>
      <c r="AT1003" s="39">
        <v>200</v>
      </c>
      <c r="AZ1003" t="s">
        <v>108</v>
      </c>
      <c r="BC1003" t="s">
        <v>336</v>
      </c>
    </row>
    <row r="1004" spans="1:55" x14ac:dyDescent="0.25">
      <c r="A1004" t="str">
        <f t="shared" si="15"/>
        <v>A69-1601-5019</v>
      </c>
      <c r="B1004" t="s">
        <v>398</v>
      </c>
      <c r="C1004" t="s">
        <v>324</v>
      </c>
      <c r="D1004" t="s">
        <v>345</v>
      </c>
      <c r="F1004">
        <v>5019</v>
      </c>
      <c r="G1004" t="s">
        <v>346</v>
      </c>
      <c r="H1004" t="s">
        <v>327</v>
      </c>
      <c r="I1004" s="20">
        <v>41051</v>
      </c>
      <c r="J1004">
        <v>101</v>
      </c>
      <c r="L1004" t="s">
        <v>109</v>
      </c>
      <c r="M1004" t="s">
        <v>328</v>
      </c>
      <c r="N1004" t="s">
        <v>329</v>
      </c>
      <c r="O1004" t="s">
        <v>330</v>
      </c>
      <c r="P1004" t="s">
        <v>331</v>
      </c>
      <c r="U1004">
        <v>0.47000000000000003</v>
      </c>
      <c r="V1004">
        <v>0.218</v>
      </c>
      <c r="W1004" t="s">
        <v>399</v>
      </c>
      <c r="Y1004" t="s">
        <v>337</v>
      </c>
      <c r="AB1004" t="s">
        <v>344</v>
      </c>
      <c r="AC1004" t="s">
        <v>342</v>
      </c>
      <c r="AD1004" s="36">
        <v>46.306280000000001</v>
      </c>
      <c r="AE1004" s="36">
        <v>-84.061220000000006</v>
      </c>
      <c r="AF1004" s="18">
        <v>41053.930555555555</v>
      </c>
      <c r="AG1004" s="19">
        <v>41038.763888888891</v>
      </c>
      <c r="AH1004" t="s">
        <v>161</v>
      </c>
      <c r="AL1004" t="s">
        <v>335</v>
      </c>
      <c r="AM1004" s="20">
        <v>41051</v>
      </c>
      <c r="AR1004" s="39" t="s">
        <v>400</v>
      </c>
      <c r="AS1004" s="39"/>
      <c r="AT1004" s="39">
        <v>200</v>
      </c>
      <c r="AZ1004" t="s">
        <v>108</v>
      </c>
      <c r="BC1004" t="s">
        <v>336</v>
      </c>
    </row>
    <row r="1005" spans="1:55" x14ac:dyDescent="0.25">
      <c r="A1005" t="str">
        <f t="shared" si="15"/>
        <v>A69-1601-5020</v>
      </c>
      <c r="B1005" t="s">
        <v>398</v>
      </c>
      <c r="C1005" t="s">
        <v>324</v>
      </c>
      <c r="D1005" t="s">
        <v>345</v>
      </c>
      <c r="F1005">
        <v>5020</v>
      </c>
      <c r="G1005" t="s">
        <v>346</v>
      </c>
      <c r="H1005" t="s">
        <v>327</v>
      </c>
      <c r="I1005" s="20">
        <v>41051</v>
      </c>
      <c r="J1005">
        <v>101</v>
      </c>
      <c r="L1005" t="s">
        <v>109</v>
      </c>
      <c r="M1005" t="s">
        <v>328</v>
      </c>
      <c r="N1005" t="s">
        <v>329</v>
      </c>
      <c r="O1005" t="s">
        <v>330</v>
      </c>
      <c r="P1005" t="s">
        <v>331</v>
      </c>
      <c r="U1005">
        <v>0.54</v>
      </c>
      <c r="V1005">
        <v>0.23200000000000001</v>
      </c>
      <c r="W1005" t="s">
        <v>399</v>
      </c>
      <c r="Y1005" t="s">
        <v>337</v>
      </c>
      <c r="AB1005" t="s">
        <v>344</v>
      </c>
      <c r="AC1005" t="s">
        <v>342</v>
      </c>
      <c r="AD1005" s="36">
        <v>46.306280000000001</v>
      </c>
      <c r="AE1005" s="36">
        <v>-84.061220000000006</v>
      </c>
      <c r="AF1005" s="18">
        <v>41053.930555555555</v>
      </c>
      <c r="AG1005" s="19">
        <v>41038.763888888891</v>
      </c>
      <c r="AH1005" t="s">
        <v>161</v>
      </c>
      <c r="AL1005" t="s">
        <v>335</v>
      </c>
      <c r="AM1005" s="20">
        <v>41051</v>
      </c>
      <c r="AR1005" s="39" t="s">
        <v>400</v>
      </c>
      <c r="AS1005" s="39"/>
      <c r="AT1005" s="39">
        <v>200</v>
      </c>
      <c r="AZ1005" t="s">
        <v>108</v>
      </c>
      <c r="BC1005" t="s">
        <v>336</v>
      </c>
    </row>
    <row r="1006" spans="1:55" x14ac:dyDescent="0.25">
      <c r="A1006" t="str">
        <f t="shared" si="15"/>
        <v>A69-1601-5021</v>
      </c>
      <c r="B1006" t="s">
        <v>398</v>
      </c>
      <c r="C1006" t="s">
        <v>324</v>
      </c>
      <c r="D1006" t="s">
        <v>345</v>
      </c>
      <c r="F1006">
        <v>5021</v>
      </c>
      <c r="G1006" t="s">
        <v>346</v>
      </c>
      <c r="H1006" t="s">
        <v>327</v>
      </c>
      <c r="I1006" s="20">
        <v>41051</v>
      </c>
      <c r="J1006">
        <v>101</v>
      </c>
      <c r="L1006" t="s">
        <v>109</v>
      </c>
      <c r="M1006" t="s">
        <v>328</v>
      </c>
      <c r="N1006" t="s">
        <v>329</v>
      </c>
      <c r="O1006" t="s">
        <v>330</v>
      </c>
      <c r="P1006" t="s">
        <v>331</v>
      </c>
      <c r="U1006">
        <v>0.5</v>
      </c>
      <c r="V1006">
        <v>0.22700000000000001</v>
      </c>
      <c r="W1006" t="s">
        <v>399</v>
      </c>
      <c r="Y1006" t="s">
        <v>337</v>
      </c>
      <c r="AB1006" t="s">
        <v>344</v>
      </c>
      <c r="AC1006" t="s">
        <v>342</v>
      </c>
      <c r="AD1006" s="36">
        <v>46.306280000000001</v>
      </c>
      <c r="AE1006" s="36">
        <v>-84.061220000000006</v>
      </c>
      <c r="AF1006" s="18">
        <v>41053.930555555555</v>
      </c>
      <c r="AG1006" s="19">
        <v>41038.763888888891</v>
      </c>
      <c r="AH1006" t="s">
        <v>161</v>
      </c>
      <c r="AL1006" t="s">
        <v>335</v>
      </c>
      <c r="AM1006" s="20">
        <v>41051</v>
      </c>
      <c r="AR1006" s="39" t="s">
        <v>400</v>
      </c>
      <c r="AS1006" s="39"/>
      <c r="AT1006" s="39">
        <v>200</v>
      </c>
      <c r="AZ1006" t="s">
        <v>108</v>
      </c>
      <c r="BC1006" t="s">
        <v>336</v>
      </c>
    </row>
    <row r="1007" spans="1:55" x14ac:dyDescent="0.25">
      <c r="A1007" t="str">
        <f t="shared" si="15"/>
        <v>A69-1601-5022</v>
      </c>
      <c r="B1007" t="s">
        <v>398</v>
      </c>
      <c r="C1007" t="s">
        <v>324</v>
      </c>
      <c r="D1007" t="s">
        <v>345</v>
      </c>
      <c r="F1007">
        <v>5022</v>
      </c>
      <c r="G1007" t="s">
        <v>346</v>
      </c>
      <c r="H1007" t="s">
        <v>327</v>
      </c>
      <c r="I1007" s="20">
        <v>41051</v>
      </c>
      <c r="J1007">
        <v>101</v>
      </c>
      <c r="L1007" t="s">
        <v>109</v>
      </c>
      <c r="M1007" t="s">
        <v>328</v>
      </c>
      <c r="N1007" t="s">
        <v>329</v>
      </c>
      <c r="O1007" t="s">
        <v>330</v>
      </c>
      <c r="P1007" t="s">
        <v>331</v>
      </c>
      <c r="U1007">
        <v>0.51</v>
      </c>
      <c r="V1007">
        <v>0.28800000000000003</v>
      </c>
      <c r="W1007" t="s">
        <v>399</v>
      </c>
      <c r="Y1007" t="s">
        <v>337</v>
      </c>
      <c r="AB1007" t="s">
        <v>344</v>
      </c>
      <c r="AC1007" t="s">
        <v>342</v>
      </c>
      <c r="AD1007" s="36">
        <v>46.306280000000001</v>
      </c>
      <c r="AE1007" s="36">
        <v>-84.061220000000006</v>
      </c>
      <c r="AF1007" s="18">
        <v>41053.930555555555</v>
      </c>
      <c r="AG1007" s="19">
        <v>41038.763888888891</v>
      </c>
      <c r="AH1007" t="s">
        <v>161</v>
      </c>
      <c r="AL1007" t="s">
        <v>335</v>
      </c>
      <c r="AM1007" s="20">
        <v>41051</v>
      </c>
      <c r="AR1007" s="39" t="s">
        <v>400</v>
      </c>
      <c r="AS1007" s="39"/>
      <c r="AT1007" s="39">
        <v>200</v>
      </c>
      <c r="AZ1007" t="s">
        <v>108</v>
      </c>
      <c r="BC1007" t="s">
        <v>336</v>
      </c>
    </row>
    <row r="1008" spans="1:55" x14ac:dyDescent="0.25">
      <c r="A1008" t="str">
        <f t="shared" si="15"/>
        <v>A69-1601-5023</v>
      </c>
      <c r="B1008" t="s">
        <v>398</v>
      </c>
      <c r="C1008" t="s">
        <v>324</v>
      </c>
      <c r="D1008" t="s">
        <v>345</v>
      </c>
      <c r="F1008">
        <v>5023</v>
      </c>
      <c r="G1008" t="s">
        <v>346</v>
      </c>
      <c r="H1008" t="s">
        <v>327</v>
      </c>
      <c r="I1008" s="20">
        <v>41051</v>
      </c>
      <c r="J1008">
        <v>101</v>
      </c>
      <c r="L1008" t="s">
        <v>109</v>
      </c>
      <c r="M1008" t="s">
        <v>328</v>
      </c>
      <c r="N1008" t="s">
        <v>329</v>
      </c>
      <c r="O1008" t="s">
        <v>330</v>
      </c>
      <c r="P1008" t="s">
        <v>331</v>
      </c>
      <c r="U1008">
        <v>0.49</v>
      </c>
      <c r="V1008">
        <v>0.27400000000000002</v>
      </c>
      <c r="W1008" t="s">
        <v>399</v>
      </c>
      <c r="Y1008" t="s">
        <v>337</v>
      </c>
      <c r="AB1008" t="s">
        <v>344</v>
      </c>
      <c r="AC1008" t="s">
        <v>342</v>
      </c>
      <c r="AD1008" s="36">
        <v>46.306280000000001</v>
      </c>
      <c r="AE1008" s="36">
        <v>-84.061220000000006</v>
      </c>
      <c r="AF1008" s="18">
        <v>41053.930555555555</v>
      </c>
      <c r="AG1008" s="19">
        <v>41038.763888888891</v>
      </c>
      <c r="AH1008" t="s">
        <v>161</v>
      </c>
      <c r="AL1008" t="s">
        <v>335</v>
      </c>
      <c r="AM1008" s="20">
        <v>41051</v>
      </c>
      <c r="AR1008" s="39" t="s">
        <v>400</v>
      </c>
      <c r="AS1008" s="39"/>
      <c r="AT1008" s="39">
        <v>200</v>
      </c>
      <c r="AZ1008" t="s">
        <v>108</v>
      </c>
      <c r="BC1008" t="s">
        <v>336</v>
      </c>
    </row>
    <row r="1009" spans="1:55" x14ac:dyDescent="0.25">
      <c r="A1009" t="str">
        <f t="shared" si="15"/>
        <v>A69-1601-5024</v>
      </c>
      <c r="B1009" t="s">
        <v>398</v>
      </c>
      <c r="C1009" t="s">
        <v>324</v>
      </c>
      <c r="D1009" t="s">
        <v>345</v>
      </c>
      <c r="F1009">
        <v>5024</v>
      </c>
      <c r="G1009" t="s">
        <v>346</v>
      </c>
      <c r="H1009" t="s">
        <v>327</v>
      </c>
      <c r="I1009" s="20">
        <v>41051</v>
      </c>
      <c r="J1009">
        <v>101</v>
      </c>
      <c r="L1009" t="s">
        <v>109</v>
      </c>
      <c r="M1009" t="s">
        <v>328</v>
      </c>
      <c r="N1009" t="s">
        <v>329</v>
      </c>
      <c r="O1009" t="s">
        <v>330</v>
      </c>
      <c r="P1009" t="s">
        <v>331</v>
      </c>
      <c r="U1009">
        <v>0.53</v>
      </c>
      <c r="V1009">
        <v>0.315</v>
      </c>
      <c r="W1009" t="s">
        <v>399</v>
      </c>
      <c r="Y1009" t="s">
        <v>337</v>
      </c>
      <c r="AB1009" t="s">
        <v>344</v>
      </c>
      <c r="AC1009" t="s">
        <v>342</v>
      </c>
      <c r="AD1009" s="36">
        <v>46.306280000000001</v>
      </c>
      <c r="AE1009" s="36">
        <v>-84.061220000000006</v>
      </c>
      <c r="AF1009" s="18">
        <v>41053.930555555555</v>
      </c>
      <c r="AG1009" s="19">
        <v>41038.763888888891</v>
      </c>
      <c r="AH1009" t="s">
        <v>161</v>
      </c>
      <c r="AL1009" t="s">
        <v>335</v>
      </c>
      <c r="AM1009" s="20">
        <v>41051</v>
      </c>
      <c r="AR1009" s="39" t="s">
        <v>400</v>
      </c>
      <c r="AS1009" s="39"/>
      <c r="AT1009" s="39">
        <v>200</v>
      </c>
      <c r="AZ1009" t="s">
        <v>108</v>
      </c>
      <c r="BC1009" t="s">
        <v>336</v>
      </c>
    </row>
    <row r="1010" spans="1:55" x14ac:dyDescent="0.25">
      <c r="A1010" t="str">
        <f t="shared" si="15"/>
        <v>A69-1601-5025</v>
      </c>
      <c r="B1010" t="s">
        <v>398</v>
      </c>
      <c r="C1010" t="s">
        <v>324</v>
      </c>
      <c r="D1010" t="s">
        <v>345</v>
      </c>
      <c r="F1010">
        <v>5025</v>
      </c>
      <c r="G1010" t="s">
        <v>346</v>
      </c>
      <c r="H1010" t="s">
        <v>327</v>
      </c>
      <c r="I1010" s="20">
        <v>41051</v>
      </c>
      <c r="J1010">
        <v>101</v>
      </c>
      <c r="L1010" t="s">
        <v>109</v>
      </c>
      <c r="M1010" t="s">
        <v>328</v>
      </c>
      <c r="N1010" t="s">
        <v>329</v>
      </c>
      <c r="O1010" t="s">
        <v>330</v>
      </c>
      <c r="P1010" t="s">
        <v>331</v>
      </c>
      <c r="U1010">
        <v>0.48</v>
      </c>
      <c r="V1010">
        <v>0.22</v>
      </c>
      <c r="W1010" t="s">
        <v>399</v>
      </c>
      <c r="Y1010" t="s">
        <v>337</v>
      </c>
      <c r="AB1010" t="s">
        <v>344</v>
      </c>
      <c r="AC1010" t="s">
        <v>342</v>
      </c>
      <c r="AD1010" s="36">
        <v>46.306280000000001</v>
      </c>
      <c r="AE1010" s="36">
        <v>-84.061220000000006</v>
      </c>
      <c r="AF1010" s="18">
        <v>41053.930555555555</v>
      </c>
      <c r="AG1010" s="19">
        <v>41038.763888888891</v>
      </c>
      <c r="AH1010" t="s">
        <v>161</v>
      </c>
      <c r="AL1010" t="s">
        <v>335</v>
      </c>
      <c r="AM1010" s="20">
        <v>41051</v>
      </c>
      <c r="AR1010" s="39" t="s">
        <v>400</v>
      </c>
      <c r="AS1010" s="39"/>
      <c r="AT1010" s="39">
        <v>200</v>
      </c>
      <c r="AZ1010" t="s">
        <v>108</v>
      </c>
      <c r="BC1010" t="s">
        <v>336</v>
      </c>
    </row>
    <row r="1011" spans="1:55" x14ac:dyDescent="0.25">
      <c r="A1011" t="str">
        <f t="shared" si="15"/>
        <v>A69-1601-5026</v>
      </c>
      <c r="B1011" t="s">
        <v>398</v>
      </c>
      <c r="C1011" t="s">
        <v>324</v>
      </c>
      <c r="D1011" t="s">
        <v>345</v>
      </c>
      <c r="F1011">
        <v>5026</v>
      </c>
      <c r="G1011" t="s">
        <v>346</v>
      </c>
      <c r="H1011" t="s">
        <v>327</v>
      </c>
      <c r="I1011" s="20">
        <v>41051</v>
      </c>
      <c r="J1011">
        <v>101</v>
      </c>
      <c r="L1011" t="s">
        <v>109</v>
      </c>
      <c r="M1011" t="s">
        <v>328</v>
      </c>
      <c r="N1011" t="s">
        <v>329</v>
      </c>
      <c r="O1011" t="s">
        <v>330</v>
      </c>
      <c r="P1011" t="s">
        <v>331</v>
      </c>
      <c r="U1011">
        <v>0.48</v>
      </c>
      <c r="V1011">
        <v>0.215</v>
      </c>
      <c r="W1011" t="s">
        <v>399</v>
      </c>
      <c r="Y1011" t="s">
        <v>337</v>
      </c>
      <c r="AB1011" t="s">
        <v>344</v>
      </c>
      <c r="AC1011" t="s">
        <v>342</v>
      </c>
      <c r="AD1011" s="36">
        <v>46.306280000000001</v>
      </c>
      <c r="AE1011" s="36">
        <v>-84.061220000000006</v>
      </c>
      <c r="AF1011" s="18">
        <v>41053.930555555555</v>
      </c>
      <c r="AG1011" s="19">
        <v>41038.763888888891</v>
      </c>
      <c r="AH1011" t="s">
        <v>161</v>
      </c>
      <c r="AL1011" t="s">
        <v>335</v>
      </c>
      <c r="AM1011" s="20">
        <v>41051</v>
      </c>
      <c r="AR1011" s="39" t="s">
        <v>400</v>
      </c>
      <c r="AS1011" s="39"/>
      <c r="AT1011" s="39">
        <v>200</v>
      </c>
      <c r="AZ1011" t="s">
        <v>108</v>
      </c>
      <c r="BC1011" t="s">
        <v>336</v>
      </c>
    </row>
    <row r="1012" spans="1:55" x14ac:dyDescent="0.25">
      <c r="A1012" t="str">
        <f t="shared" si="15"/>
        <v>A69-1601-5027</v>
      </c>
      <c r="B1012" t="s">
        <v>398</v>
      </c>
      <c r="C1012" t="s">
        <v>324</v>
      </c>
      <c r="D1012" t="s">
        <v>345</v>
      </c>
      <c r="F1012">
        <v>5027</v>
      </c>
      <c r="G1012" t="s">
        <v>346</v>
      </c>
      <c r="H1012" t="s">
        <v>327</v>
      </c>
      <c r="I1012" s="20">
        <v>41051</v>
      </c>
      <c r="J1012">
        <v>101</v>
      </c>
      <c r="L1012" t="s">
        <v>109</v>
      </c>
      <c r="M1012" t="s">
        <v>328</v>
      </c>
      <c r="N1012" t="s">
        <v>329</v>
      </c>
      <c r="O1012" t="s">
        <v>330</v>
      </c>
      <c r="P1012" t="s">
        <v>331</v>
      </c>
      <c r="U1012">
        <v>0.48</v>
      </c>
      <c r="V1012">
        <v>0.218</v>
      </c>
      <c r="W1012" t="s">
        <v>399</v>
      </c>
      <c r="Y1012" t="s">
        <v>337</v>
      </c>
      <c r="AB1012" t="s">
        <v>344</v>
      </c>
      <c r="AC1012" t="s">
        <v>342</v>
      </c>
      <c r="AD1012" s="36">
        <v>46.306280000000001</v>
      </c>
      <c r="AE1012" s="36">
        <v>-84.061220000000006</v>
      </c>
      <c r="AF1012" s="18">
        <v>41053.930555555555</v>
      </c>
      <c r="AG1012" s="19">
        <v>41038.763888888891</v>
      </c>
      <c r="AH1012" t="s">
        <v>161</v>
      </c>
      <c r="AL1012" t="s">
        <v>335</v>
      </c>
      <c r="AM1012" s="20">
        <v>41051</v>
      </c>
      <c r="AR1012" s="39" t="s">
        <v>400</v>
      </c>
      <c r="AS1012" s="39"/>
      <c r="AT1012" s="39">
        <v>200</v>
      </c>
      <c r="AZ1012" t="s">
        <v>108</v>
      </c>
      <c r="BC1012" t="s">
        <v>336</v>
      </c>
    </row>
    <row r="1013" spans="1:55" x14ac:dyDescent="0.25">
      <c r="A1013" t="str">
        <f t="shared" si="15"/>
        <v>A69-9002-7167</v>
      </c>
      <c r="B1013" t="s">
        <v>398</v>
      </c>
      <c r="C1013" t="s">
        <v>324</v>
      </c>
      <c r="D1013" t="s">
        <v>325</v>
      </c>
      <c r="F1013">
        <v>7167</v>
      </c>
      <c r="G1013" t="s">
        <v>326</v>
      </c>
      <c r="H1013" t="s">
        <v>327</v>
      </c>
      <c r="I1013" s="20">
        <v>41051</v>
      </c>
      <c r="J1013">
        <v>77</v>
      </c>
      <c r="L1013" t="s">
        <v>109</v>
      </c>
      <c r="M1013" t="s">
        <v>328</v>
      </c>
      <c r="N1013" t="s">
        <v>329</v>
      </c>
      <c r="O1013" t="s">
        <v>330</v>
      </c>
      <c r="P1013" t="s">
        <v>331</v>
      </c>
      <c r="U1013">
        <v>0.47000000000000003</v>
      </c>
      <c r="V1013">
        <v>0.218</v>
      </c>
      <c r="W1013" t="s">
        <v>399</v>
      </c>
      <c r="Y1013" t="s">
        <v>337</v>
      </c>
      <c r="AB1013" t="s">
        <v>344</v>
      </c>
      <c r="AC1013" t="s">
        <v>342</v>
      </c>
      <c r="AD1013" s="36">
        <v>46.306280000000001</v>
      </c>
      <c r="AE1013" s="36">
        <v>-84.061220000000006</v>
      </c>
      <c r="AF1013" s="18">
        <v>41053.930555555555</v>
      </c>
      <c r="AG1013" s="19">
        <v>41038.763888888891</v>
      </c>
      <c r="AH1013" t="s">
        <v>161</v>
      </c>
      <c r="AL1013" t="s">
        <v>335</v>
      </c>
      <c r="AM1013" s="20">
        <v>41051</v>
      </c>
      <c r="AR1013" s="39" t="s">
        <v>400</v>
      </c>
      <c r="AS1013" s="39"/>
      <c r="AT1013" s="39">
        <v>200</v>
      </c>
      <c r="AZ1013" t="s">
        <v>108</v>
      </c>
      <c r="BC1013" t="s">
        <v>336</v>
      </c>
    </row>
    <row r="1014" spans="1:55" x14ac:dyDescent="0.25">
      <c r="A1014" t="str">
        <f t="shared" si="15"/>
        <v>A69-9002-7162</v>
      </c>
      <c r="B1014" t="s">
        <v>398</v>
      </c>
      <c r="C1014" t="s">
        <v>324</v>
      </c>
      <c r="D1014" t="s">
        <v>325</v>
      </c>
      <c r="F1014">
        <v>7162</v>
      </c>
      <c r="G1014" t="s">
        <v>326</v>
      </c>
      <c r="H1014" t="s">
        <v>327</v>
      </c>
      <c r="I1014" s="20">
        <v>41051</v>
      </c>
      <c r="J1014">
        <v>77</v>
      </c>
      <c r="L1014" t="s">
        <v>109</v>
      </c>
      <c r="M1014" t="s">
        <v>328</v>
      </c>
      <c r="N1014" t="s">
        <v>329</v>
      </c>
      <c r="O1014" t="s">
        <v>330</v>
      </c>
      <c r="P1014" t="s">
        <v>331</v>
      </c>
      <c r="U1014">
        <v>0.52</v>
      </c>
      <c r="V1014">
        <v>0.245</v>
      </c>
      <c r="W1014" t="s">
        <v>399</v>
      </c>
      <c r="Y1014" t="s">
        <v>337</v>
      </c>
      <c r="AB1014" t="s">
        <v>344</v>
      </c>
      <c r="AC1014" t="s">
        <v>342</v>
      </c>
      <c r="AD1014" s="36">
        <v>46.306280000000001</v>
      </c>
      <c r="AE1014" s="36">
        <v>-84.061220000000006</v>
      </c>
      <c r="AF1014" s="18">
        <v>41053.930555555555</v>
      </c>
      <c r="AG1014" s="19">
        <v>41038.763888888891</v>
      </c>
      <c r="AH1014" t="s">
        <v>161</v>
      </c>
      <c r="AL1014" t="s">
        <v>335</v>
      </c>
      <c r="AM1014" s="20">
        <v>41051</v>
      </c>
      <c r="AR1014" s="39" t="s">
        <v>400</v>
      </c>
      <c r="AS1014" s="39"/>
      <c r="AT1014" s="39">
        <v>200</v>
      </c>
      <c r="AZ1014" t="s">
        <v>108</v>
      </c>
      <c r="BC1014" t="s">
        <v>336</v>
      </c>
    </row>
    <row r="1015" spans="1:55" x14ac:dyDescent="0.25">
      <c r="A1015" t="str">
        <f t="shared" si="15"/>
        <v>A69-9002-7172</v>
      </c>
      <c r="B1015" t="s">
        <v>398</v>
      </c>
      <c r="C1015" t="s">
        <v>324</v>
      </c>
      <c r="D1015" t="s">
        <v>325</v>
      </c>
      <c r="F1015">
        <v>7172</v>
      </c>
      <c r="G1015" t="s">
        <v>326</v>
      </c>
      <c r="H1015" t="s">
        <v>327</v>
      </c>
      <c r="I1015" s="20">
        <v>41051</v>
      </c>
      <c r="J1015">
        <v>77</v>
      </c>
      <c r="L1015" t="s">
        <v>109</v>
      </c>
      <c r="M1015" t="s">
        <v>328</v>
      </c>
      <c r="N1015" t="s">
        <v>329</v>
      </c>
      <c r="O1015" t="s">
        <v>330</v>
      </c>
      <c r="P1015" t="s">
        <v>331</v>
      </c>
      <c r="U1015">
        <v>0.48</v>
      </c>
      <c r="V1015">
        <v>0.25800000000000001</v>
      </c>
      <c r="W1015" t="s">
        <v>399</v>
      </c>
      <c r="Y1015" t="s">
        <v>337</v>
      </c>
      <c r="AB1015" t="s">
        <v>344</v>
      </c>
      <c r="AC1015" t="s">
        <v>342</v>
      </c>
      <c r="AD1015" s="36">
        <v>46.306280000000001</v>
      </c>
      <c r="AE1015" s="36">
        <v>-84.061220000000006</v>
      </c>
      <c r="AF1015" s="18">
        <v>41053.930555555555</v>
      </c>
      <c r="AG1015" s="19">
        <v>41038.763888888891</v>
      </c>
      <c r="AH1015" t="s">
        <v>161</v>
      </c>
      <c r="AL1015" t="s">
        <v>335</v>
      </c>
      <c r="AM1015" s="20">
        <v>41051</v>
      </c>
      <c r="AR1015" s="39" t="s">
        <v>400</v>
      </c>
      <c r="AS1015" s="39"/>
      <c r="AT1015" s="39">
        <v>200</v>
      </c>
      <c r="AZ1015" t="s">
        <v>108</v>
      </c>
      <c r="BC1015" t="s">
        <v>336</v>
      </c>
    </row>
    <row r="1016" spans="1:55" x14ac:dyDescent="0.25">
      <c r="A1016" t="str">
        <f t="shared" si="15"/>
        <v>A69-9002-7182</v>
      </c>
      <c r="B1016" t="s">
        <v>398</v>
      </c>
      <c r="C1016" t="s">
        <v>324</v>
      </c>
      <c r="D1016" t="s">
        <v>325</v>
      </c>
      <c r="F1016">
        <v>7182</v>
      </c>
      <c r="G1016" t="s">
        <v>326</v>
      </c>
      <c r="H1016" t="s">
        <v>327</v>
      </c>
      <c r="I1016" s="20">
        <v>41051</v>
      </c>
      <c r="J1016">
        <v>77</v>
      </c>
      <c r="L1016" t="s">
        <v>109</v>
      </c>
      <c r="M1016" t="s">
        <v>328</v>
      </c>
      <c r="N1016" t="s">
        <v>329</v>
      </c>
      <c r="O1016" t="s">
        <v>330</v>
      </c>
      <c r="P1016" t="s">
        <v>331</v>
      </c>
      <c r="U1016">
        <v>0.5</v>
      </c>
      <c r="V1016">
        <v>0.30199999999999999</v>
      </c>
      <c r="W1016" t="s">
        <v>399</v>
      </c>
      <c r="Y1016" t="s">
        <v>337</v>
      </c>
      <c r="AB1016" t="s">
        <v>344</v>
      </c>
      <c r="AC1016" t="s">
        <v>342</v>
      </c>
      <c r="AD1016" s="36">
        <v>46.306280000000001</v>
      </c>
      <c r="AE1016" s="36">
        <v>-84.061220000000006</v>
      </c>
      <c r="AF1016" s="18">
        <v>41053.930555555555</v>
      </c>
      <c r="AG1016" s="19">
        <v>41038.763888888891</v>
      </c>
      <c r="AH1016" t="s">
        <v>161</v>
      </c>
      <c r="AL1016" t="s">
        <v>335</v>
      </c>
      <c r="AM1016" s="20">
        <v>41051</v>
      </c>
      <c r="AR1016" s="39" t="s">
        <v>400</v>
      </c>
      <c r="AS1016" s="39"/>
      <c r="AT1016" s="39">
        <v>200</v>
      </c>
      <c r="AZ1016" t="s">
        <v>108</v>
      </c>
      <c r="BC1016" t="s">
        <v>336</v>
      </c>
    </row>
    <row r="1017" spans="1:55" x14ac:dyDescent="0.25">
      <c r="A1017" t="str">
        <f t="shared" si="15"/>
        <v>A69-9002-7177</v>
      </c>
      <c r="B1017" t="s">
        <v>398</v>
      </c>
      <c r="C1017" t="s">
        <v>324</v>
      </c>
      <c r="D1017" t="s">
        <v>325</v>
      </c>
      <c r="F1017">
        <v>7177</v>
      </c>
      <c r="G1017" t="s">
        <v>326</v>
      </c>
      <c r="H1017" t="s">
        <v>327</v>
      </c>
      <c r="I1017" s="20">
        <v>41051</v>
      </c>
      <c r="J1017">
        <v>77</v>
      </c>
      <c r="L1017" t="s">
        <v>109</v>
      </c>
      <c r="M1017" t="s">
        <v>328</v>
      </c>
      <c r="N1017" t="s">
        <v>329</v>
      </c>
      <c r="O1017" t="s">
        <v>330</v>
      </c>
      <c r="P1017" t="s">
        <v>331</v>
      </c>
      <c r="U1017">
        <v>0.41000000000000003</v>
      </c>
      <c r="V1017">
        <v>0.14200000000000002</v>
      </c>
      <c r="W1017" t="s">
        <v>399</v>
      </c>
      <c r="Y1017" t="s">
        <v>337</v>
      </c>
      <c r="AB1017" t="s">
        <v>344</v>
      </c>
      <c r="AC1017" t="s">
        <v>342</v>
      </c>
      <c r="AD1017" s="36">
        <v>46.306280000000001</v>
      </c>
      <c r="AE1017" s="36">
        <v>-84.061220000000006</v>
      </c>
      <c r="AF1017" s="18">
        <v>41053.930555555555</v>
      </c>
      <c r="AG1017" s="19">
        <v>41038.763888888891</v>
      </c>
      <c r="AH1017" t="s">
        <v>161</v>
      </c>
      <c r="AL1017" t="s">
        <v>335</v>
      </c>
      <c r="AM1017" s="20">
        <v>41051</v>
      </c>
      <c r="AR1017" s="39" t="s">
        <v>400</v>
      </c>
      <c r="AS1017" s="39"/>
      <c r="AT1017" s="39">
        <v>200</v>
      </c>
      <c r="AZ1017" t="s">
        <v>108</v>
      </c>
      <c r="BC1017" t="s">
        <v>336</v>
      </c>
    </row>
    <row r="1018" spans="1:55" x14ac:dyDescent="0.25">
      <c r="A1018" t="str">
        <f t="shared" si="15"/>
        <v>A69-9002-7173</v>
      </c>
      <c r="B1018" t="s">
        <v>398</v>
      </c>
      <c r="C1018" t="s">
        <v>324</v>
      </c>
      <c r="D1018" t="s">
        <v>325</v>
      </c>
      <c r="F1018">
        <v>7173</v>
      </c>
      <c r="G1018" t="s">
        <v>326</v>
      </c>
      <c r="H1018" t="s">
        <v>327</v>
      </c>
      <c r="I1018" s="20">
        <v>41051</v>
      </c>
      <c r="J1018">
        <v>77</v>
      </c>
      <c r="L1018" t="s">
        <v>109</v>
      </c>
      <c r="M1018" t="s">
        <v>328</v>
      </c>
      <c r="N1018" t="s">
        <v>329</v>
      </c>
      <c r="O1018" t="s">
        <v>330</v>
      </c>
      <c r="P1018" t="s">
        <v>331</v>
      </c>
      <c r="U1018">
        <v>0.48</v>
      </c>
      <c r="V1018">
        <v>0.22600000000000001</v>
      </c>
      <c r="W1018" t="s">
        <v>399</v>
      </c>
      <c r="Y1018" t="s">
        <v>337</v>
      </c>
      <c r="AB1018" t="s">
        <v>344</v>
      </c>
      <c r="AC1018" t="s">
        <v>342</v>
      </c>
      <c r="AD1018" s="36">
        <v>46.306280000000001</v>
      </c>
      <c r="AE1018" s="36">
        <v>-84.061220000000006</v>
      </c>
      <c r="AF1018" s="18">
        <v>41053.930555555555</v>
      </c>
      <c r="AG1018" s="19">
        <v>41038.763888888891</v>
      </c>
      <c r="AH1018" t="s">
        <v>161</v>
      </c>
      <c r="AL1018" t="s">
        <v>335</v>
      </c>
      <c r="AM1018" s="20">
        <v>41051</v>
      </c>
      <c r="AR1018" s="39" t="s">
        <v>400</v>
      </c>
      <c r="AS1018" s="39"/>
      <c r="AT1018" s="39">
        <v>200</v>
      </c>
      <c r="AZ1018" t="s">
        <v>108</v>
      </c>
      <c r="BC1018" t="s">
        <v>336</v>
      </c>
    </row>
    <row r="1019" spans="1:55" x14ac:dyDescent="0.25">
      <c r="A1019" t="str">
        <f t="shared" si="15"/>
        <v>A69-9002-7168</v>
      </c>
      <c r="B1019" t="s">
        <v>398</v>
      </c>
      <c r="C1019" t="s">
        <v>324</v>
      </c>
      <c r="D1019" t="s">
        <v>325</v>
      </c>
      <c r="F1019">
        <v>7168</v>
      </c>
      <c r="G1019" t="s">
        <v>326</v>
      </c>
      <c r="H1019" t="s">
        <v>327</v>
      </c>
      <c r="I1019" s="20">
        <v>41051</v>
      </c>
      <c r="J1019">
        <v>77</v>
      </c>
      <c r="L1019" t="s">
        <v>109</v>
      </c>
      <c r="M1019" t="s">
        <v>328</v>
      </c>
      <c r="N1019" t="s">
        <v>329</v>
      </c>
      <c r="O1019" t="s">
        <v>330</v>
      </c>
      <c r="P1019" t="s">
        <v>331</v>
      </c>
      <c r="U1019">
        <v>0.49</v>
      </c>
      <c r="V1019">
        <v>0.24299999999999999</v>
      </c>
      <c r="W1019" t="s">
        <v>399</v>
      </c>
      <c r="Y1019" t="s">
        <v>337</v>
      </c>
      <c r="AB1019" t="s">
        <v>344</v>
      </c>
      <c r="AC1019" t="s">
        <v>342</v>
      </c>
      <c r="AD1019" s="36">
        <v>46.306280000000001</v>
      </c>
      <c r="AE1019" s="36">
        <v>-84.061220000000006</v>
      </c>
      <c r="AF1019" s="18">
        <v>41053.930555555555</v>
      </c>
      <c r="AG1019" s="19">
        <v>41038.763888888891</v>
      </c>
      <c r="AH1019" t="s">
        <v>161</v>
      </c>
      <c r="AL1019" t="s">
        <v>335</v>
      </c>
      <c r="AM1019" s="20">
        <v>41051</v>
      </c>
      <c r="AR1019" s="39" t="s">
        <v>400</v>
      </c>
      <c r="AS1019" s="39"/>
      <c r="AT1019" s="39">
        <v>200</v>
      </c>
      <c r="AZ1019" t="s">
        <v>108</v>
      </c>
      <c r="BC1019" t="s">
        <v>336</v>
      </c>
    </row>
    <row r="1020" spans="1:55" x14ac:dyDescent="0.25">
      <c r="A1020" t="str">
        <f t="shared" si="15"/>
        <v>A69-9002-7163</v>
      </c>
      <c r="B1020" t="s">
        <v>398</v>
      </c>
      <c r="C1020" t="s">
        <v>324</v>
      </c>
      <c r="D1020" t="s">
        <v>325</v>
      </c>
      <c r="F1020">
        <v>7163</v>
      </c>
      <c r="G1020" t="s">
        <v>326</v>
      </c>
      <c r="H1020" t="s">
        <v>327</v>
      </c>
      <c r="I1020" s="20">
        <v>41051</v>
      </c>
      <c r="J1020">
        <v>77</v>
      </c>
      <c r="L1020" t="s">
        <v>109</v>
      </c>
      <c r="M1020" t="s">
        <v>328</v>
      </c>
      <c r="N1020" t="s">
        <v>329</v>
      </c>
      <c r="O1020" t="s">
        <v>330</v>
      </c>
      <c r="P1020" t="s">
        <v>331</v>
      </c>
      <c r="U1020">
        <v>0.53</v>
      </c>
      <c r="V1020">
        <v>0.29199999999999998</v>
      </c>
      <c r="W1020" t="s">
        <v>399</v>
      </c>
      <c r="Y1020" t="s">
        <v>337</v>
      </c>
      <c r="AB1020" t="s">
        <v>344</v>
      </c>
      <c r="AC1020" t="s">
        <v>342</v>
      </c>
      <c r="AD1020" s="36">
        <v>46.306280000000001</v>
      </c>
      <c r="AE1020" s="36">
        <v>-84.061220000000006</v>
      </c>
      <c r="AF1020" s="18">
        <v>41053.930555555555</v>
      </c>
      <c r="AG1020" s="19">
        <v>41038.763888888891</v>
      </c>
      <c r="AH1020" t="s">
        <v>161</v>
      </c>
      <c r="AL1020" t="s">
        <v>335</v>
      </c>
      <c r="AM1020" s="20">
        <v>41051</v>
      </c>
      <c r="AR1020" s="39" t="s">
        <v>400</v>
      </c>
      <c r="AS1020" s="39"/>
      <c r="AT1020" s="39">
        <v>200</v>
      </c>
      <c r="AZ1020" t="s">
        <v>108</v>
      </c>
      <c r="BC1020" t="s">
        <v>336</v>
      </c>
    </row>
    <row r="1021" spans="1:55" x14ac:dyDescent="0.25">
      <c r="A1021" t="str">
        <f t="shared" si="15"/>
        <v>A69-1601-5028</v>
      </c>
      <c r="B1021" t="s">
        <v>398</v>
      </c>
      <c r="C1021" t="s">
        <v>324</v>
      </c>
      <c r="D1021" t="s">
        <v>345</v>
      </c>
      <c r="F1021">
        <v>5028</v>
      </c>
      <c r="G1021" t="s">
        <v>346</v>
      </c>
      <c r="H1021" t="s">
        <v>327</v>
      </c>
      <c r="I1021" s="20">
        <v>41051</v>
      </c>
      <c r="J1021">
        <v>101</v>
      </c>
      <c r="L1021" t="s">
        <v>109</v>
      </c>
      <c r="M1021" t="s">
        <v>328</v>
      </c>
      <c r="N1021" t="s">
        <v>329</v>
      </c>
      <c r="O1021" t="s">
        <v>330</v>
      </c>
      <c r="P1021" t="s">
        <v>331</v>
      </c>
      <c r="U1021">
        <v>0.5</v>
      </c>
      <c r="V1021">
        <v>0.248</v>
      </c>
      <c r="W1021" t="s">
        <v>399</v>
      </c>
      <c r="Y1021" t="s">
        <v>337</v>
      </c>
      <c r="AB1021" t="s">
        <v>340</v>
      </c>
      <c r="AC1021" t="s">
        <v>334</v>
      </c>
      <c r="AD1021" s="35">
        <v>46.172600000000003</v>
      </c>
      <c r="AE1021" s="35">
        <v>-84.079769999999996</v>
      </c>
      <c r="AF1021" s="18">
        <v>41053.896527777775</v>
      </c>
      <c r="AG1021" s="19">
        <v>41038.763888888891</v>
      </c>
      <c r="AH1021" t="s">
        <v>161</v>
      </c>
      <c r="AL1021" t="s">
        <v>335</v>
      </c>
      <c r="AM1021" s="20">
        <v>41051</v>
      </c>
      <c r="AR1021" s="39" t="s">
        <v>400</v>
      </c>
      <c r="AS1021" s="39"/>
      <c r="AT1021" s="39">
        <v>200</v>
      </c>
      <c r="AZ1021" t="s">
        <v>108</v>
      </c>
      <c r="BC1021" t="s">
        <v>336</v>
      </c>
    </row>
    <row r="1022" spans="1:55" x14ac:dyDescent="0.25">
      <c r="A1022" t="str">
        <f t="shared" si="15"/>
        <v>A69-1601-5029</v>
      </c>
      <c r="B1022" t="s">
        <v>398</v>
      </c>
      <c r="C1022" t="s">
        <v>324</v>
      </c>
      <c r="D1022" t="s">
        <v>345</v>
      </c>
      <c r="F1022">
        <v>5029</v>
      </c>
      <c r="G1022" t="s">
        <v>346</v>
      </c>
      <c r="H1022" t="s">
        <v>327</v>
      </c>
      <c r="I1022" s="20">
        <v>41051</v>
      </c>
      <c r="J1022">
        <v>101</v>
      </c>
      <c r="L1022" t="s">
        <v>109</v>
      </c>
      <c r="M1022" t="s">
        <v>328</v>
      </c>
      <c r="N1022" t="s">
        <v>329</v>
      </c>
      <c r="O1022" t="s">
        <v>330</v>
      </c>
      <c r="P1022" t="s">
        <v>331</v>
      </c>
      <c r="U1022">
        <v>0.45</v>
      </c>
      <c r="V1022">
        <v>0.20700000000000002</v>
      </c>
      <c r="W1022" t="s">
        <v>399</v>
      </c>
      <c r="Y1022" t="s">
        <v>337</v>
      </c>
      <c r="AB1022" s="36" t="s">
        <v>340</v>
      </c>
      <c r="AC1022" s="36" t="s">
        <v>334</v>
      </c>
      <c r="AD1022" s="35">
        <v>46.172600000000003</v>
      </c>
      <c r="AE1022" s="35">
        <v>-84.079769999999996</v>
      </c>
      <c r="AF1022" s="18">
        <v>41053.896527777775</v>
      </c>
      <c r="AG1022" s="19">
        <v>41038.763888888891</v>
      </c>
      <c r="AH1022" t="s">
        <v>161</v>
      </c>
      <c r="AL1022" t="s">
        <v>335</v>
      </c>
      <c r="AM1022" s="20">
        <v>41051</v>
      </c>
      <c r="AR1022" s="39" t="s">
        <v>400</v>
      </c>
      <c r="AS1022" s="39"/>
      <c r="AT1022" s="39">
        <v>200</v>
      </c>
      <c r="AZ1022" t="s">
        <v>108</v>
      </c>
      <c r="BC1022" t="s">
        <v>336</v>
      </c>
    </row>
    <row r="1023" spans="1:55" x14ac:dyDescent="0.25">
      <c r="A1023" t="str">
        <f t="shared" si="15"/>
        <v>A69-1601-5030</v>
      </c>
      <c r="B1023" t="s">
        <v>398</v>
      </c>
      <c r="C1023" t="s">
        <v>324</v>
      </c>
      <c r="D1023" t="s">
        <v>345</v>
      </c>
      <c r="F1023">
        <v>5030</v>
      </c>
      <c r="G1023" t="s">
        <v>346</v>
      </c>
      <c r="H1023" t="s">
        <v>327</v>
      </c>
      <c r="I1023" s="20">
        <v>41051</v>
      </c>
      <c r="J1023">
        <v>101</v>
      </c>
      <c r="L1023" t="s">
        <v>109</v>
      </c>
      <c r="M1023" t="s">
        <v>328</v>
      </c>
      <c r="N1023" t="s">
        <v>329</v>
      </c>
      <c r="O1023" t="s">
        <v>330</v>
      </c>
      <c r="P1023" t="s">
        <v>331</v>
      </c>
      <c r="U1023">
        <v>0.43</v>
      </c>
      <c r="V1023">
        <v>0.22500000000000001</v>
      </c>
      <c r="W1023" t="s">
        <v>399</v>
      </c>
      <c r="Y1023" t="s">
        <v>337</v>
      </c>
      <c r="AB1023" s="36" t="s">
        <v>340</v>
      </c>
      <c r="AC1023" s="36" t="s">
        <v>334</v>
      </c>
      <c r="AD1023" s="35">
        <v>46.172600000000003</v>
      </c>
      <c r="AE1023" s="35">
        <v>-84.079769999999996</v>
      </c>
      <c r="AF1023" s="18">
        <v>41053.896527777775</v>
      </c>
      <c r="AG1023" s="19">
        <v>41038.763888888891</v>
      </c>
      <c r="AH1023" t="s">
        <v>161</v>
      </c>
      <c r="AL1023" t="s">
        <v>335</v>
      </c>
      <c r="AM1023" s="20">
        <v>41051</v>
      </c>
      <c r="AR1023" s="39" t="s">
        <v>400</v>
      </c>
      <c r="AS1023" s="39"/>
      <c r="AT1023" s="39">
        <v>200</v>
      </c>
      <c r="AZ1023" t="s">
        <v>108</v>
      </c>
      <c r="BC1023" t="s">
        <v>336</v>
      </c>
    </row>
    <row r="1024" spans="1:55" x14ac:dyDescent="0.25">
      <c r="A1024" t="str">
        <f t="shared" si="15"/>
        <v>A69-1601-5031</v>
      </c>
      <c r="B1024" t="s">
        <v>398</v>
      </c>
      <c r="C1024" t="s">
        <v>324</v>
      </c>
      <c r="D1024" t="s">
        <v>345</v>
      </c>
      <c r="F1024">
        <v>5031</v>
      </c>
      <c r="G1024" t="s">
        <v>346</v>
      </c>
      <c r="H1024" t="s">
        <v>327</v>
      </c>
      <c r="I1024" s="20">
        <v>41051</v>
      </c>
      <c r="J1024">
        <v>101</v>
      </c>
      <c r="L1024" t="s">
        <v>109</v>
      </c>
      <c r="M1024" t="s">
        <v>328</v>
      </c>
      <c r="N1024" t="s">
        <v>329</v>
      </c>
      <c r="O1024" t="s">
        <v>330</v>
      </c>
      <c r="P1024" t="s">
        <v>331</v>
      </c>
      <c r="U1024">
        <v>0.41000000000000003</v>
      </c>
      <c r="V1024">
        <v>0.13100000000000001</v>
      </c>
      <c r="W1024" t="s">
        <v>399</v>
      </c>
      <c r="Y1024" t="s">
        <v>337</v>
      </c>
      <c r="AB1024" s="36" t="s">
        <v>340</v>
      </c>
      <c r="AC1024" s="36" t="s">
        <v>334</v>
      </c>
      <c r="AD1024" s="35">
        <v>46.172600000000003</v>
      </c>
      <c r="AE1024" s="35">
        <v>-84.079769999999996</v>
      </c>
      <c r="AF1024" s="18">
        <v>41053.896527777775</v>
      </c>
      <c r="AG1024" s="19">
        <v>41038.763888888891</v>
      </c>
      <c r="AH1024" t="s">
        <v>161</v>
      </c>
      <c r="AL1024" t="s">
        <v>335</v>
      </c>
      <c r="AM1024" s="20">
        <v>41051</v>
      </c>
      <c r="AR1024" s="39" t="s">
        <v>400</v>
      </c>
      <c r="AS1024" s="39"/>
      <c r="AT1024" s="39">
        <v>200</v>
      </c>
      <c r="AZ1024" t="s">
        <v>108</v>
      </c>
      <c r="BC1024" t="s">
        <v>336</v>
      </c>
    </row>
    <row r="1025" spans="1:72" x14ac:dyDescent="0.25">
      <c r="A1025" t="str">
        <f t="shared" si="15"/>
        <v>A69-1601-5032</v>
      </c>
      <c r="B1025" t="s">
        <v>398</v>
      </c>
      <c r="C1025" t="s">
        <v>324</v>
      </c>
      <c r="D1025" t="s">
        <v>345</v>
      </c>
      <c r="F1025">
        <v>5032</v>
      </c>
      <c r="G1025" t="s">
        <v>346</v>
      </c>
      <c r="H1025" t="s">
        <v>327</v>
      </c>
      <c r="I1025" s="20">
        <v>41051</v>
      </c>
      <c r="J1025">
        <v>101</v>
      </c>
      <c r="L1025" t="s">
        <v>109</v>
      </c>
      <c r="M1025" t="s">
        <v>328</v>
      </c>
      <c r="N1025" t="s">
        <v>329</v>
      </c>
      <c r="O1025" t="s">
        <v>330</v>
      </c>
      <c r="P1025" t="s">
        <v>331</v>
      </c>
      <c r="U1025">
        <v>0.5</v>
      </c>
      <c r="V1025">
        <v>0.249</v>
      </c>
      <c r="W1025" t="s">
        <v>399</v>
      </c>
      <c r="Y1025" t="s">
        <v>337</v>
      </c>
      <c r="AB1025" s="36" t="s">
        <v>340</v>
      </c>
      <c r="AC1025" s="36" t="s">
        <v>334</v>
      </c>
      <c r="AD1025" s="35">
        <v>46.172600000000003</v>
      </c>
      <c r="AE1025" s="35">
        <v>-84.079769999999996</v>
      </c>
      <c r="AF1025" s="18">
        <v>41053.896527777775</v>
      </c>
      <c r="AG1025" s="19">
        <v>41038.763888888891</v>
      </c>
      <c r="AH1025" t="s">
        <v>161</v>
      </c>
      <c r="AL1025" t="s">
        <v>335</v>
      </c>
      <c r="AM1025" s="20">
        <v>41051</v>
      </c>
      <c r="AR1025" s="39" t="s">
        <v>400</v>
      </c>
      <c r="AS1025" s="39"/>
      <c r="AT1025" s="39">
        <v>200</v>
      </c>
      <c r="AZ1025" t="s">
        <v>108</v>
      </c>
      <c r="BC1025" t="s">
        <v>336</v>
      </c>
    </row>
    <row r="1026" spans="1:72" x14ac:dyDescent="0.25">
      <c r="A1026" t="str">
        <f t="shared" si="15"/>
        <v>A69-1601-5033</v>
      </c>
      <c r="B1026" t="s">
        <v>398</v>
      </c>
      <c r="C1026" t="s">
        <v>324</v>
      </c>
      <c r="D1026" t="s">
        <v>345</v>
      </c>
      <c r="F1026">
        <v>5033</v>
      </c>
      <c r="G1026" t="s">
        <v>346</v>
      </c>
      <c r="H1026" t="s">
        <v>327</v>
      </c>
      <c r="I1026" s="20">
        <v>41051</v>
      </c>
      <c r="J1026">
        <v>101</v>
      </c>
      <c r="L1026" t="s">
        <v>109</v>
      </c>
      <c r="M1026" t="s">
        <v>328</v>
      </c>
      <c r="N1026" t="s">
        <v>329</v>
      </c>
      <c r="O1026" t="s">
        <v>330</v>
      </c>
      <c r="P1026" t="s">
        <v>331</v>
      </c>
      <c r="U1026">
        <v>0.49</v>
      </c>
      <c r="V1026">
        <v>0.27500000000000002</v>
      </c>
      <c r="W1026" t="s">
        <v>399</v>
      </c>
      <c r="Y1026" t="s">
        <v>337</v>
      </c>
      <c r="AB1026" s="36" t="s">
        <v>340</v>
      </c>
      <c r="AC1026" s="36" t="s">
        <v>334</v>
      </c>
      <c r="AD1026" s="35">
        <v>46.172600000000003</v>
      </c>
      <c r="AE1026" s="35">
        <v>-84.079769999999996</v>
      </c>
      <c r="AF1026" s="18">
        <v>41053.896527777775</v>
      </c>
      <c r="AG1026" s="19">
        <v>41038.763888888891</v>
      </c>
      <c r="AH1026" t="s">
        <v>161</v>
      </c>
      <c r="AL1026" t="s">
        <v>335</v>
      </c>
      <c r="AM1026" s="20">
        <v>41051</v>
      </c>
      <c r="AR1026" s="39" t="s">
        <v>400</v>
      </c>
      <c r="AS1026" s="39"/>
      <c r="AT1026" s="39">
        <v>200</v>
      </c>
      <c r="AZ1026" t="s">
        <v>108</v>
      </c>
      <c r="BC1026" t="s">
        <v>336</v>
      </c>
    </row>
    <row r="1027" spans="1:72" x14ac:dyDescent="0.25">
      <c r="A1027" t="str">
        <f t="shared" si="15"/>
        <v>A69-1601-5034</v>
      </c>
      <c r="B1027" t="s">
        <v>398</v>
      </c>
      <c r="C1027" t="s">
        <v>324</v>
      </c>
      <c r="D1027" t="s">
        <v>345</v>
      </c>
      <c r="F1027">
        <v>5034</v>
      </c>
      <c r="G1027" t="s">
        <v>346</v>
      </c>
      <c r="H1027" t="s">
        <v>327</v>
      </c>
      <c r="I1027" s="20">
        <v>41051</v>
      </c>
      <c r="J1027">
        <v>101</v>
      </c>
      <c r="L1027" t="s">
        <v>109</v>
      </c>
      <c r="M1027" t="s">
        <v>328</v>
      </c>
      <c r="N1027" t="s">
        <v>329</v>
      </c>
      <c r="O1027" t="s">
        <v>330</v>
      </c>
      <c r="P1027" t="s">
        <v>331</v>
      </c>
      <c r="U1027">
        <v>0.41000000000000003</v>
      </c>
      <c r="V1027">
        <v>0.186</v>
      </c>
      <c r="W1027" t="s">
        <v>399</v>
      </c>
      <c r="Y1027" t="s">
        <v>337</v>
      </c>
      <c r="AB1027" s="36" t="s">
        <v>340</v>
      </c>
      <c r="AC1027" s="36" t="s">
        <v>334</v>
      </c>
      <c r="AD1027" s="35">
        <v>46.172600000000003</v>
      </c>
      <c r="AE1027" s="35">
        <v>-84.079769999999996</v>
      </c>
      <c r="AF1027" s="18">
        <v>41053.896527777775</v>
      </c>
      <c r="AG1027" s="19">
        <v>41038.763888888891</v>
      </c>
      <c r="AH1027" t="s">
        <v>161</v>
      </c>
      <c r="AL1027" t="s">
        <v>335</v>
      </c>
      <c r="AM1027" s="20">
        <v>41051</v>
      </c>
      <c r="AR1027" s="39" t="s">
        <v>400</v>
      </c>
      <c r="AS1027" s="39"/>
      <c r="AT1027" s="39">
        <v>200</v>
      </c>
      <c r="AZ1027" t="s">
        <v>108</v>
      </c>
      <c r="BC1027" t="s">
        <v>336</v>
      </c>
    </row>
    <row r="1028" spans="1:72" x14ac:dyDescent="0.25">
      <c r="A1028" t="str">
        <f t="shared" ref="A1028:A1091" si="16">CONCATENATE(G1028,"-",F1028)</f>
        <v>A69-1601-5035</v>
      </c>
      <c r="B1028" t="s">
        <v>398</v>
      </c>
      <c r="C1028" t="s">
        <v>324</v>
      </c>
      <c r="D1028" t="s">
        <v>345</v>
      </c>
      <c r="F1028">
        <v>5035</v>
      </c>
      <c r="G1028" t="s">
        <v>346</v>
      </c>
      <c r="H1028" t="s">
        <v>327</v>
      </c>
      <c r="I1028" s="20">
        <v>41051</v>
      </c>
      <c r="J1028">
        <v>101</v>
      </c>
      <c r="L1028" t="s">
        <v>109</v>
      </c>
      <c r="M1028" t="s">
        <v>328</v>
      </c>
      <c r="N1028" t="s">
        <v>329</v>
      </c>
      <c r="O1028" t="s">
        <v>330</v>
      </c>
      <c r="P1028" t="s">
        <v>331</v>
      </c>
      <c r="U1028">
        <v>0.46</v>
      </c>
      <c r="V1028">
        <v>0.23100000000000001</v>
      </c>
      <c r="W1028" t="s">
        <v>399</v>
      </c>
      <c r="Y1028" t="s">
        <v>337</v>
      </c>
      <c r="AB1028" s="36" t="s">
        <v>340</v>
      </c>
      <c r="AC1028" s="36" t="s">
        <v>334</v>
      </c>
      <c r="AD1028" s="35">
        <v>46.172600000000003</v>
      </c>
      <c r="AE1028" s="35">
        <v>-84.079769999999996</v>
      </c>
      <c r="AF1028" s="18">
        <v>41053.896527777775</v>
      </c>
      <c r="AG1028" s="19">
        <v>41038.763888888891</v>
      </c>
      <c r="AH1028" t="s">
        <v>161</v>
      </c>
      <c r="AL1028" t="s">
        <v>335</v>
      </c>
      <c r="AM1028" s="20">
        <v>41051</v>
      </c>
      <c r="AR1028" s="39" t="s">
        <v>400</v>
      </c>
      <c r="AS1028" s="39"/>
      <c r="AT1028" s="39">
        <v>200</v>
      </c>
      <c r="AZ1028" t="s">
        <v>108</v>
      </c>
      <c r="BC1028" t="s">
        <v>336</v>
      </c>
    </row>
    <row r="1029" spans="1:72" x14ac:dyDescent="0.25">
      <c r="A1029" t="str">
        <f t="shared" si="16"/>
        <v>A69-1601-5036</v>
      </c>
      <c r="B1029" t="s">
        <v>398</v>
      </c>
      <c r="C1029" t="s">
        <v>324</v>
      </c>
      <c r="D1029" t="s">
        <v>345</v>
      </c>
      <c r="F1029">
        <v>5036</v>
      </c>
      <c r="G1029" t="s">
        <v>346</v>
      </c>
      <c r="H1029" t="s">
        <v>327</v>
      </c>
      <c r="I1029" s="20">
        <v>41051</v>
      </c>
      <c r="J1029">
        <v>101</v>
      </c>
      <c r="L1029" t="s">
        <v>109</v>
      </c>
      <c r="M1029" t="s">
        <v>328</v>
      </c>
      <c r="N1029" t="s">
        <v>329</v>
      </c>
      <c r="O1029" t="s">
        <v>330</v>
      </c>
      <c r="P1029" t="s">
        <v>331</v>
      </c>
      <c r="U1029">
        <v>0.51</v>
      </c>
      <c r="V1029">
        <v>0.27500000000000002</v>
      </c>
      <c r="W1029" t="s">
        <v>399</v>
      </c>
      <c r="Y1029" t="s">
        <v>337</v>
      </c>
      <c r="AB1029" s="36" t="s">
        <v>340</v>
      </c>
      <c r="AC1029" s="36" t="s">
        <v>334</v>
      </c>
      <c r="AD1029" s="35">
        <v>46.172600000000003</v>
      </c>
      <c r="AE1029" s="35">
        <v>-84.079769999999996</v>
      </c>
      <c r="AF1029" s="18">
        <v>41053.896527777775</v>
      </c>
      <c r="AG1029" s="19">
        <v>41038.763888888891</v>
      </c>
      <c r="AH1029" t="s">
        <v>161</v>
      </c>
      <c r="AL1029" t="s">
        <v>335</v>
      </c>
      <c r="AM1029" s="20">
        <v>41051</v>
      </c>
      <c r="AR1029" s="39" t="s">
        <v>400</v>
      </c>
      <c r="AS1029" s="39"/>
      <c r="AT1029" s="39">
        <v>200</v>
      </c>
      <c r="AZ1029" t="s">
        <v>108</v>
      </c>
      <c r="BC1029" t="s">
        <v>336</v>
      </c>
    </row>
    <row r="1030" spans="1:72" x14ac:dyDescent="0.25">
      <c r="A1030" t="str">
        <f t="shared" si="16"/>
        <v>A69-1601-5037</v>
      </c>
      <c r="B1030" t="s">
        <v>398</v>
      </c>
      <c r="C1030" t="s">
        <v>324</v>
      </c>
      <c r="D1030" t="s">
        <v>345</v>
      </c>
      <c r="F1030">
        <v>5037</v>
      </c>
      <c r="G1030" t="s">
        <v>346</v>
      </c>
      <c r="H1030" t="s">
        <v>327</v>
      </c>
      <c r="I1030" s="20">
        <v>41051</v>
      </c>
      <c r="J1030">
        <v>101</v>
      </c>
      <c r="L1030" t="s">
        <v>109</v>
      </c>
      <c r="M1030" t="s">
        <v>328</v>
      </c>
      <c r="N1030" t="s">
        <v>329</v>
      </c>
      <c r="O1030" t="s">
        <v>330</v>
      </c>
      <c r="P1030" t="s">
        <v>331</v>
      </c>
      <c r="U1030">
        <v>0.51</v>
      </c>
      <c r="V1030">
        <v>0.27400000000000002</v>
      </c>
      <c r="W1030" t="s">
        <v>399</v>
      </c>
      <c r="Y1030" t="s">
        <v>337</v>
      </c>
      <c r="AB1030" s="36" t="s">
        <v>340</v>
      </c>
      <c r="AC1030" s="36" t="s">
        <v>334</v>
      </c>
      <c r="AD1030" s="35">
        <v>46.172600000000003</v>
      </c>
      <c r="AE1030" s="35">
        <v>-84.079769999999996</v>
      </c>
      <c r="AF1030" s="18">
        <v>41053.896527777775</v>
      </c>
      <c r="AG1030" s="19">
        <v>41038.763888888891</v>
      </c>
      <c r="AH1030" t="s">
        <v>161</v>
      </c>
      <c r="AL1030" t="s">
        <v>335</v>
      </c>
      <c r="AM1030" s="20">
        <v>41051</v>
      </c>
      <c r="AR1030" s="39" t="s">
        <v>400</v>
      </c>
      <c r="AS1030" s="39"/>
      <c r="AT1030" s="39">
        <v>200</v>
      </c>
      <c r="AZ1030" t="s">
        <v>108</v>
      </c>
      <c r="BC1030" t="s">
        <v>336</v>
      </c>
    </row>
    <row r="1031" spans="1:72" x14ac:dyDescent="0.25">
      <c r="A1031" t="str">
        <f t="shared" si="16"/>
        <v>A69-1601-5038</v>
      </c>
      <c r="B1031" t="s">
        <v>398</v>
      </c>
      <c r="C1031" t="s">
        <v>324</v>
      </c>
      <c r="D1031" t="s">
        <v>345</v>
      </c>
      <c r="F1031">
        <v>5038</v>
      </c>
      <c r="G1031" t="s">
        <v>346</v>
      </c>
      <c r="H1031" t="s">
        <v>327</v>
      </c>
      <c r="I1031" s="20">
        <v>41051</v>
      </c>
      <c r="J1031">
        <v>101</v>
      </c>
      <c r="L1031" t="s">
        <v>109</v>
      </c>
      <c r="M1031" t="s">
        <v>328</v>
      </c>
      <c r="N1031" t="s">
        <v>329</v>
      </c>
      <c r="O1031" t="s">
        <v>330</v>
      </c>
      <c r="P1031" t="s">
        <v>331</v>
      </c>
      <c r="U1031">
        <v>0.45</v>
      </c>
      <c r="V1031">
        <v>0.20400000000000001</v>
      </c>
      <c r="W1031" t="s">
        <v>399</v>
      </c>
      <c r="Y1031" t="s">
        <v>337</v>
      </c>
      <c r="AB1031" s="36" t="s">
        <v>340</v>
      </c>
      <c r="AC1031" s="36" t="s">
        <v>334</v>
      </c>
      <c r="AD1031" s="35">
        <v>46.172600000000003</v>
      </c>
      <c r="AE1031" s="35">
        <v>-84.079769999999996</v>
      </c>
      <c r="AF1031" s="18">
        <v>41053.896527777775</v>
      </c>
      <c r="AG1031" s="19">
        <v>41038.763888888891</v>
      </c>
      <c r="AH1031" t="s">
        <v>161</v>
      </c>
      <c r="AL1031" t="s">
        <v>335</v>
      </c>
      <c r="AM1031" s="20">
        <v>41051</v>
      </c>
      <c r="AR1031" s="39" t="s">
        <v>400</v>
      </c>
      <c r="AS1031" s="39"/>
      <c r="AT1031" s="39">
        <v>200</v>
      </c>
      <c r="AZ1031" t="s">
        <v>108</v>
      </c>
      <c r="BC1031" t="s">
        <v>336</v>
      </c>
    </row>
    <row r="1032" spans="1:72" x14ac:dyDescent="0.25">
      <c r="A1032" t="str">
        <f t="shared" si="16"/>
        <v>A69-1601-5039</v>
      </c>
      <c r="B1032" t="s">
        <v>398</v>
      </c>
      <c r="C1032" t="s">
        <v>324</v>
      </c>
      <c r="D1032" t="s">
        <v>345</v>
      </c>
      <c r="F1032">
        <v>5039</v>
      </c>
      <c r="G1032" t="s">
        <v>346</v>
      </c>
      <c r="H1032" t="s">
        <v>327</v>
      </c>
      <c r="I1032" s="20">
        <v>41051</v>
      </c>
      <c r="J1032">
        <v>101</v>
      </c>
      <c r="L1032" t="s">
        <v>109</v>
      </c>
      <c r="M1032" t="s">
        <v>328</v>
      </c>
      <c r="N1032" t="s">
        <v>329</v>
      </c>
      <c r="O1032" t="s">
        <v>330</v>
      </c>
      <c r="P1032" t="s">
        <v>331</v>
      </c>
      <c r="U1032">
        <v>0.46</v>
      </c>
      <c r="V1032">
        <v>0.29799999999999999</v>
      </c>
      <c r="W1032" t="s">
        <v>399</v>
      </c>
      <c r="Y1032" t="s">
        <v>337</v>
      </c>
      <c r="AB1032" s="36" t="s">
        <v>340</v>
      </c>
      <c r="AC1032" s="36" t="s">
        <v>334</v>
      </c>
      <c r="AD1032" s="35">
        <v>46.172600000000003</v>
      </c>
      <c r="AE1032" s="35">
        <v>-84.079769999999996</v>
      </c>
      <c r="AF1032" s="18">
        <v>41053.896527777775</v>
      </c>
      <c r="AG1032" s="19">
        <v>41038.763888888891</v>
      </c>
      <c r="AH1032" t="s">
        <v>161</v>
      </c>
      <c r="AL1032" t="s">
        <v>335</v>
      </c>
      <c r="AM1032" s="20">
        <v>41051</v>
      </c>
      <c r="AR1032" s="39" t="s">
        <v>400</v>
      </c>
      <c r="AS1032" s="39"/>
      <c r="AT1032" s="39">
        <v>200</v>
      </c>
      <c r="AZ1032" t="s">
        <v>108</v>
      </c>
      <c r="BC1032" t="s">
        <v>336</v>
      </c>
    </row>
    <row r="1033" spans="1:72" x14ac:dyDescent="0.25">
      <c r="A1033" t="str">
        <f t="shared" si="16"/>
        <v>A69-1601-5040</v>
      </c>
      <c r="B1033" t="s">
        <v>398</v>
      </c>
      <c r="C1033" t="s">
        <v>324</v>
      </c>
      <c r="D1033" t="s">
        <v>345</v>
      </c>
      <c r="F1033">
        <v>5040</v>
      </c>
      <c r="G1033" t="s">
        <v>346</v>
      </c>
      <c r="H1033" t="s">
        <v>327</v>
      </c>
      <c r="I1033" s="20">
        <v>41051</v>
      </c>
      <c r="J1033">
        <v>101</v>
      </c>
      <c r="L1033" t="s">
        <v>109</v>
      </c>
      <c r="M1033" t="s">
        <v>328</v>
      </c>
      <c r="N1033" t="s">
        <v>329</v>
      </c>
      <c r="O1033" t="s">
        <v>330</v>
      </c>
      <c r="P1033" t="s">
        <v>331</v>
      </c>
      <c r="U1033">
        <v>0.46</v>
      </c>
      <c r="V1033">
        <v>0.16500000000000001</v>
      </c>
      <c r="W1033" t="s">
        <v>399</v>
      </c>
      <c r="Y1033" t="s">
        <v>337</v>
      </c>
      <c r="AB1033" s="36" t="s">
        <v>340</v>
      </c>
      <c r="AC1033" s="36" t="s">
        <v>334</v>
      </c>
      <c r="AD1033" s="35">
        <v>46.172600000000003</v>
      </c>
      <c r="AE1033" s="35">
        <v>-84.079769999999996</v>
      </c>
      <c r="AF1033" s="18">
        <v>41053.896527777775</v>
      </c>
      <c r="AG1033" s="19">
        <v>41038.763888888891</v>
      </c>
      <c r="AH1033" t="s">
        <v>161</v>
      </c>
      <c r="AL1033" t="s">
        <v>335</v>
      </c>
      <c r="AM1033" s="20">
        <v>41051</v>
      </c>
      <c r="AR1033" s="39" t="s">
        <v>400</v>
      </c>
      <c r="AS1033" s="39"/>
      <c r="AT1033" s="39">
        <v>200</v>
      </c>
      <c r="AZ1033" t="s">
        <v>108</v>
      </c>
      <c r="BC1033" t="s">
        <v>336</v>
      </c>
    </row>
    <row r="1034" spans="1:72" x14ac:dyDescent="0.25">
      <c r="A1034" t="str">
        <f t="shared" si="16"/>
        <v>A69-1601-5041</v>
      </c>
      <c r="B1034" t="s">
        <v>398</v>
      </c>
      <c r="C1034" t="s">
        <v>324</v>
      </c>
      <c r="D1034" t="s">
        <v>345</v>
      </c>
      <c r="F1034">
        <v>5041</v>
      </c>
      <c r="G1034" t="s">
        <v>346</v>
      </c>
      <c r="H1034" t="s">
        <v>327</v>
      </c>
      <c r="I1034" s="20">
        <v>41051</v>
      </c>
      <c r="J1034">
        <v>101</v>
      </c>
      <c r="L1034" t="s">
        <v>109</v>
      </c>
      <c r="M1034" t="s">
        <v>328</v>
      </c>
      <c r="N1034" t="s">
        <v>329</v>
      </c>
      <c r="O1034" t="s">
        <v>330</v>
      </c>
      <c r="P1034" t="s">
        <v>331</v>
      </c>
      <c r="U1034">
        <v>0.51</v>
      </c>
      <c r="V1034">
        <v>0.28000000000000003</v>
      </c>
      <c r="W1034" t="s">
        <v>399</v>
      </c>
      <c r="Y1034" t="s">
        <v>337</v>
      </c>
      <c r="AB1034" s="36" t="s">
        <v>340</v>
      </c>
      <c r="AC1034" s="36" t="s">
        <v>334</v>
      </c>
      <c r="AD1034" s="35">
        <v>46.172600000000003</v>
      </c>
      <c r="AE1034" s="35">
        <v>-84.079769999999996</v>
      </c>
      <c r="AF1034" s="18">
        <v>41053.896527777775</v>
      </c>
      <c r="AG1034" s="19">
        <v>41038.763888888891</v>
      </c>
      <c r="AH1034" t="s">
        <v>161</v>
      </c>
      <c r="AL1034" t="s">
        <v>335</v>
      </c>
      <c r="AM1034" s="20">
        <v>41051</v>
      </c>
      <c r="AR1034" s="39" t="s">
        <v>400</v>
      </c>
      <c r="AS1034" s="39"/>
      <c r="AT1034" s="39">
        <v>200</v>
      </c>
      <c r="AZ1034" t="s">
        <v>108</v>
      </c>
      <c r="BC1034" t="s">
        <v>336</v>
      </c>
    </row>
    <row r="1035" spans="1:72" x14ac:dyDescent="0.25">
      <c r="A1035" t="str">
        <f t="shared" si="16"/>
        <v>A69-1601-5042</v>
      </c>
      <c r="B1035" t="s">
        <v>398</v>
      </c>
      <c r="C1035" t="s">
        <v>324</v>
      </c>
      <c r="D1035" t="s">
        <v>345</v>
      </c>
      <c r="F1035">
        <v>5042</v>
      </c>
      <c r="G1035" t="s">
        <v>346</v>
      </c>
      <c r="H1035" t="s">
        <v>327</v>
      </c>
      <c r="I1035" s="20">
        <v>41051</v>
      </c>
      <c r="J1035">
        <v>101</v>
      </c>
      <c r="L1035" t="s">
        <v>109</v>
      </c>
      <c r="M1035" t="s">
        <v>328</v>
      </c>
      <c r="N1035" t="s">
        <v>329</v>
      </c>
      <c r="O1035" t="s">
        <v>330</v>
      </c>
      <c r="P1035" t="s">
        <v>331</v>
      </c>
      <c r="U1035">
        <v>0.47000000000000003</v>
      </c>
      <c r="V1035">
        <v>0.218</v>
      </c>
      <c r="W1035" t="s">
        <v>399</v>
      </c>
      <c r="Y1035" t="s">
        <v>337</v>
      </c>
      <c r="AB1035" s="36" t="s">
        <v>340</v>
      </c>
      <c r="AC1035" s="36" t="s">
        <v>334</v>
      </c>
      <c r="AD1035" s="35">
        <v>46.172600000000003</v>
      </c>
      <c r="AE1035" s="35">
        <v>-84.079769999999996</v>
      </c>
      <c r="AF1035" s="18">
        <v>41053.896527777775</v>
      </c>
      <c r="AG1035" s="19">
        <v>41038.763888888891</v>
      </c>
      <c r="AH1035" t="s">
        <v>161</v>
      </c>
      <c r="AL1035" t="s">
        <v>335</v>
      </c>
      <c r="AM1035" s="20">
        <v>41051</v>
      </c>
      <c r="AR1035" s="39" t="s">
        <v>400</v>
      </c>
      <c r="AS1035" s="39"/>
      <c r="AT1035" s="39">
        <v>200</v>
      </c>
      <c r="AZ1035" t="s">
        <v>108</v>
      </c>
      <c r="BC1035" t="s">
        <v>336</v>
      </c>
    </row>
    <row r="1036" spans="1:72" x14ac:dyDescent="0.25">
      <c r="A1036" t="str">
        <f t="shared" si="16"/>
        <v>A69-1601-5043</v>
      </c>
      <c r="B1036" t="s">
        <v>398</v>
      </c>
      <c r="C1036" t="s">
        <v>324</v>
      </c>
      <c r="D1036" t="s">
        <v>345</v>
      </c>
      <c r="F1036">
        <v>5043</v>
      </c>
      <c r="G1036" t="s">
        <v>346</v>
      </c>
      <c r="H1036" t="s">
        <v>327</v>
      </c>
      <c r="I1036" s="20">
        <v>41051</v>
      </c>
      <c r="J1036">
        <v>101</v>
      </c>
      <c r="L1036" t="s">
        <v>109</v>
      </c>
      <c r="M1036" t="s">
        <v>328</v>
      </c>
      <c r="N1036" t="s">
        <v>329</v>
      </c>
      <c r="O1036" t="s">
        <v>330</v>
      </c>
      <c r="P1036" t="s">
        <v>331</v>
      </c>
      <c r="U1036">
        <v>0.47000000000000003</v>
      </c>
      <c r="V1036">
        <v>0.248</v>
      </c>
      <c r="W1036" t="s">
        <v>399</v>
      </c>
      <c r="Y1036" t="s">
        <v>337</v>
      </c>
      <c r="AB1036" s="36" t="s">
        <v>340</v>
      </c>
      <c r="AC1036" s="36" t="s">
        <v>334</v>
      </c>
      <c r="AD1036" s="35">
        <v>46.172600000000003</v>
      </c>
      <c r="AE1036" s="35">
        <v>-84.079769999999996</v>
      </c>
      <c r="AF1036" s="18">
        <v>41053.896527777775</v>
      </c>
      <c r="AG1036" s="19">
        <v>41038.763888888891</v>
      </c>
      <c r="AH1036" t="s">
        <v>161</v>
      </c>
      <c r="AL1036" t="s">
        <v>335</v>
      </c>
      <c r="AM1036" s="20">
        <v>41051</v>
      </c>
      <c r="AR1036" s="39" t="s">
        <v>400</v>
      </c>
      <c r="AS1036" s="39"/>
      <c r="AT1036" s="39">
        <v>200</v>
      </c>
      <c r="AZ1036" t="s">
        <v>108</v>
      </c>
      <c r="BC1036" t="s">
        <v>336</v>
      </c>
    </row>
    <row r="1037" spans="1:72" x14ac:dyDescent="0.25">
      <c r="A1037" t="str">
        <f t="shared" si="16"/>
        <v>A69-1601-5044</v>
      </c>
      <c r="B1037" t="s">
        <v>398</v>
      </c>
      <c r="C1037" t="s">
        <v>324</v>
      </c>
      <c r="D1037" t="s">
        <v>345</v>
      </c>
      <c r="F1037">
        <v>5044</v>
      </c>
      <c r="G1037" t="s">
        <v>346</v>
      </c>
      <c r="H1037" t="s">
        <v>327</v>
      </c>
      <c r="I1037" s="20">
        <v>41051</v>
      </c>
      <c r="J1037">
        <v>101</v>
      </c>
      <c r="L1037" t="s">
        <v>109</v>
      </c>
      <c r="M1037" t="s">
        <v>328</v>
      </c>
      <c r="N1037" t="s">
        <v>329</v>
      </c>
      <c r="O1037" t="s">
        <v>330</v>
      </c>
      <c r="P1037" t="s">
        <v>331</v>
      </c>
      <c r="U1037">
        <v>0.45</v>
      </c>
      <c r="V1037">
        <v>0.20800000000000002</v>
      </c>
      <c r="W1037" t="s">
        <v>399</v>
      </c>
      <c r="Y1037" t="s">
        <v>337</v>
      </c>
      <c r="AB1037" s="36" t="s">
        <v>340</v>
      </c>
      <c r="AC1037" s="36" t="s">
        <v>334</v>
      </c>
      <c r="AD1037" s="35">
        <v>46.172600000000003</v>
      </c>
      <c r="AE1037" s="35">
        <v>-84.079769999999996</v>
      </c>
      <c r="AF1037" s="18">
        <v>41053.896527777775</v>
      </c>
      <c r="AG1037" s="19">
        <v>41038.763888888891</v>
      </c>
      <c r="AH1037" t="s">
        <v>161</v>
      </c>
      <c r="AL1037" t="s">
        <v>335</v>
      </c>
      <c r="AM1037" s="20">
        <v>41051</v>
      </c>
      <c r="AR1037" s="39" t="s">
        <v>400</v>
      </c>
      <c r="AS1037" s="39"/>
      <c r="AT1037" s="39">
        <v>200</v>
      </c>
      <c r="AZ1037" t="s">
        <v>108</v>
      </c>
      <c r="BC1037" t="s">
        <v>336</v>
      </c>
    </row>
    <row r="1038" spans="1:72" x14ac:dyDescent="0.25">
      <c r="A1038" t="str">
        <f t="shared" si="16"/>
        <v>A69-1601-5045</v>
      </c>
      <c r="B1038" t="s">
        <v>398</v>
      </c>
      <c r="C1038" t="s">
        <v>324</v>
      </c>
      <c r="D1038" t="s">
        <v>345</v>
      </c>
      <c r="F1038">
        <v>5045</v>
      </c>
      <c r="G1038" t="s">
        <v>346</v>
      </c>
      <c r="H1038" t="s">
        <v>327</v>
      </c>
      <c r="I1038" s="20">
        <v>41051</v>
      </c>
      <c r="J1038">
        <v>101</v>
      </c>
      <c r="L1038" t="s">
        <v>109</v>
      </c>
      <c r="M1038" t="s">
        <v>328</v>
      </c>
      <c r="N1038" t="s">
        <v>329</v>
      </c>
      <c r="O1038" t="s">
        <v>330</v>
      </c>
      <c r="P1038" t="s">
        <v>331</v>
      </c>
      <c r="U1038">
        <v>0.44</v>
      </c>
      <c r="V1038">
        <v>0.15</v>
      </c>
      <c r="W1038" t="s">
        <v>399</v>
      </c>
      <c r="Y1038" t="s">
        <v>337</v>
      </c>
      <c r="AB1038" s="36" t="s">
        <v>340</v>
      </c>
      <c r="AC1038" s="36" t="s">
        <v>334</v>
      </c>
      <c r="AD1038" s="35">
        <v>46.172600000000003</v>
      </c>
      <c r="AE1038" s="35">
        <v>-84.079769999999996</v>
      </c>
      <c r="AF1038" s="18">
        <v>41053.896527777775</v>
      </c>
      <c r="AG1038" s="19">
        <v>41038.763888888891</v>
      </c>
      <c r="AH1038" t="s">
        <v>161</v>
      </c>
      <c r="AL1038" t="s">
        <v>335</v>
      </c>
      <c r="AM1038" s="20">
        <v>41051</v>
      </c>
      <c r="AR1038" s="39" t="s">
        <v>400</v>
      </c>
      <c r="AS1038" s="39"/>
      <c r="AT1038" s="39">
        <v>200</v>
      </c>
      <c r="AZ1038" t="s">
        <v>108</v>
      </c>
      <c r="BC1038" t="s">
        <v>336</v>
      </c>
    </row>
    <row r="1039" spans="1:72" x14ac:dyDescent="0.25">
      <c r="A1039" t="str">
        <f t="shared" si="16"/>
        <v>A69-1601-5046</v>
      </c>
      <c r="B1039" t="s">
        <v>398</v>
      </c>
      <c r="C1039" t="s">
        <v>324</v>
      </c>
      <c r="D1039" t="s">
        <v>345</v>
      </c>
      <c r="F1039">
        <v>5046</v>
      </c>
      <c r="G1039" t="s">
        <v>346</v>
      </c>
      <c r="H1039" t="s">
        <v>327</v>
      </c>
      <c r="I1039" s="20">
        <v>41051</v>
      </c>
      <c r="J1039">
        <v>101</v>
      </c>
      <c r="L1039" t="s">
        <v>109</v>
      </c>
      <c r="M1039" t="s">
        <v>328</v>
      </c>
      <c r="N1039" t="s">
        <v>329</v>
      </c>
      <c r="O1039" t="s">
        <v>330</v>
      </c>
      <c r="P1039" t="s">
        <v>331</v>
      </c>
      <c r="U1039">
        <v>0.48</v>
      </c>
      <c r="V1039">
        <v>0.248</v>
      </c>
      <c r="W1039" t="s">
        <v>399</v>
      </c>
      <c r="Y1039" t="s">
        <v>337</v>
      </c>
      <c r="AB1039" s="36" t="s">
        <v>340</v>
      </c>
      <c r="AC1039" s="36" t="s">
        <v>334</v>
      </c>
      <c r="AD1039" s="35">
        <v>46.172600000000003</v>
      </c>
      <c r="AE1039" s="35">
        <v>-84.079769999999996</v>
      </c>
      <c r="AF1039" s="18">
        <v>41053.896527777775</v>
      </c>
      <c r="AG1039" s="19">
        <v>41038.763888888891</v>
      </c>
      <c r="AH1039" t="s">
        <v>161</v>
      </c>
      <c r="AL1039" t="s">
        <v>335</v>
      </c>
      <c r="AM1039" s="20">
        <v>41051</v>
      </c>
      <c r="AR1039" s="39" t="s">
        <v>400</v>
      </c>
      <c r="AS1039" s="39"/>
      <c r="AT1039" s="39">
        <v>200</v>
      </c>
      <c r="AZ1039" t="s">
        <v>108</v>
      </c>
      <c r="BC1039" t="s">
        <v>336</v>
      </c>
    </row>
    <row r="1040" spans="1:72" x14ac:dyDescent="0.25">
      <c r="A1040" t="str">
        <f t="shared" si="16"/>
        <v>A69-1601-5047</v>
      </c>
      <c r="B1040" t="s">
        <v>398</v>
      </c>
      <c r="C1040" t="s">
        <v>324</v>
      </c>
      <c r="D1040" t="s">
        <v>345</v>
      </c>
      <c r="F1040">
        <v>5047</v>
      </c>
      <c r="G1040" t="s">
        <v>346</v>
      </c>
      <c r="H1040" t="s">
        <v>327</v>
      </c>
      <c r="I1040" s="20">
        <v>41051</v>
      </c>
      <c r="J1040">
        <v>101</v>
      </c>
      <c r="L1040" t="s">
        <v>109</v>
      </c>
      <c r="M1040" t="s">
        <v>328</v>
      </c>
      <c r="N1040" t="s">
        <v>329</v>
      </c>
      <c r="O1040" t="s">
        <v>330</v>
      </c>
      <c r="P1040" t="s">
        <v>331</v>
      </c>
      <c r="U1040">
        <v>0.48</v>
      </c>
      <c r="V1040">
        <v>0.23200000000000001</v>
      </c>
      <c r="W1040" t="s">
        <v>399</v>
      </c>
      <c r="Y1040" t="s">
        <v>337</v>
      </c>
      <c r="AB1040" s="36" t="s">
        <v>340</v>
      </c>
      <c r="AC1040" s="36" t="s">
        <v>334</v>
      </c>
      <c r="AD1040" s="35">
        <v>46.172600000000003</v>
      </c>
      <c r="AE1040" s="35">
        <v>-84.079769999999996</v>
      </c>
      <c r="AF1040" s="18">
        <v>41053.896527777775</v>
      </c>
      <c r="AG1040" s="19">
        <v>41038.763888888891</v>
      </c>
      <c r="AH1040" t="s">
        <v>161</v>
      </c>
      <c r="AL1040" t="s">
        <v>335</v>
      </c>
      <c r="AM1040" s="20">
        <v>41051</v>
      </c>
      <c r="AR1040" s="39" t="s">
        <v>400</v>
      </c>
      <c r="AS1040" s="39"/>
      <c r="AT1040" s="39">
        <v>200</v>
      </c>
      <c r="AZ1040" t="s">
        <v>108</v>
      </c>
      <c r="BC1040" t="s">
        <v>163</v>
      </c>
      <c r="BD1040" s="20">
        <v>41067</v>
      </c>
      <c r="BF1040" s="21" t="s">
        <v>406</v>
      </c>
      <c r="BG1040" s="38" t="s">
        <v>113</v>
      </c>
      <c r="BH1040" s="1" t="s">
        <v>408</v>
      </c>
      <c r="BI1040" s="1">
        <v>46.514783999999999</v>
      </c>
      <c r="BJ1040" s="1">
        <v>-84.346945000000005</v>
      </c>
      <c r="BK1040" s="1" t="s">
        <v>404</v>
      </c>
      <c r="BL1040" s="1" t="s">
        <v>336</v>
      </c>
      <c r="BQ1040" s="39" t="s">
        <v>337</v>
      </c>
      <c r="BR1040" s="39">
        <v>480</v>
      </c>
      <c r="BS1040" s="39">
        <v>211</v>
      </c>
      <c r="BT1040" s="36">
        <v>180844720</v>
      </c>
    </row>
    <row r="1041" spans="1:71" x14ac:dyDescent="0.25">
      <c r="A1041" t="str">
        <f t="shared" si="16"/>
        <v>A69-1601-5048</v>
      </c>
      <c r="B1041" t="s">
        <v>398</v>
      </c>
      <c r="C1041" t="s">
        <v>324</v>
      </c>
      <c r="D1041" t="s">
        <v>345</v>
      </c>
      <c r="F1041">
        <v>5048</v>
      </c>
      <c r="G1041" t="s">
        <v>346</v>
      </c>
      <c r="H1041" t="s">
        <v>327</v>
      </c>
      <c r="I1041" s="20">
        <v>41051</v>
      </c>
      <c r="J1041">
        <v>101</v>
      </c>
      <c r="L1041" t="s">
        <v>109</v>
      </c>
      <c r="M1041" t="s">
        <v>328</v>
      </c>
      <c r="N1041" t="s">
        <v>329</v>
      </c>
      <c r="O1041" t="s">
        <v>330</v>
      </c>
      <c r="P1041" t="s">
        <v>331</v>
      </c>
      <c r="U1041">
        <v>0.49</v>
      </c>
      <c r="V1041">
        <v>0.23100000000000001</v>
      </c>
      <c r="W1041" t="s">
        <v>399</v>
      </c>
      <c r="Y1041" t="s">
        <v>337</v>
      </c>
      <c r="AB1041" s="36" t="s">
        <v>340</v>
      </c>
      <c r="AC1041" s="36" t="s">
        <v>334</v>
      </c>
      <c r="AD1041" s="35">
        <v>46.172600000000003</v>
      </c>
      <c r="AE1041" s="35">
        <v>-84.079769999999996</v>
      </c>
      <c r="AF1041" s="18">
        <v>41053.896527777775</v>
      </c>
      <c r="AG1041" s="19">
        <v>41038.763888888891</v>
      </c>
      <c r="AH1041" t="s">
        <v>161</v>
      </c>
      <c r="AL1041" t="s">
        <v>335</v>
      </c>
      <c r="AM1041" s="20">
        <v>41051</v>
      </c>
      <c r="AR1041" s="39" t="s">
        <v>400</v>
      </c>
      <c r="AS1041" s="39"/>
      <c r="AT1041" s="39">
        <v>200</v>
      </c>
      <c r="AZ1041" t="s">
        <v>108</v>
      </c>
      <c r="BC1041" t="s">
        <v>336</v>
      </c>
    </row>
    <row r="1042" spans="1:71" x14ac:dyDescent="0.25">
      <c r="A1042" t="str">
        <f t="shared" si="16"/>
        <v>A69-1601-5049</v>
      </c>
      <c r="B1042" t="s">
        <v>398</v>
      </c>
      <c r="C1042" t="s">
        <v>324</v>
      </c>
      <c r="D1042" t="s">
        <v>345</v>
      </c>
      <c r="F1042">
        <v>5049</v>
      </c>
      <c r="G1042" t="s">
        <v>346</v>
      </c>
      <c r="H1042" t="s">
        <v>327</v>
      </c>
      <c r="I1042" s="20">
        <v>41051</v>
      </c>
      <c r="J1042">
        <v>101</v>
      </c>
      <c r="L1042" t="s">
        <v>109</v>
      </c>
      <c r="M1042" t="s">
        <v>328</v>
      </c>
      <c r="N1042" t="s">
        <v>329</v>
      </c>
      <c r="O1042" t="s">
        <v>330</v>
      </c>
      <c r="P1042" t="s">
        <v>331</v>
      </c>
      <c r="U1042">
        <v>0.53</v>
      </c>
      <c r="V1042">
        <v>0.31900000000000001</v>
      </c>
      <c r="W1042" t="s">
        <v>399</v>
      </c>
      <c r="Y1042" t="s">
        <v>337</v>
      </c>
      <c r="AB1042" s="36" t="s">
        <v>340</v>
      </c>
      <c r="AC1042" s="36" t="s">
        <v>334</v>
      </c>
      <c r="AD1042" s="35">
        <v>46.172600000000003</v>
      </c>
      <c r="AE1042" s="35">
        <v>-84.079769999999996</v>
      </c>
      <c r="AF1042" s="18">
        <v>41053.896527777775</v>
      </c>
      <c r="AG1042" s="19">
        <v>41038.763888888891</v>
      </c>
      <c r="AH1042" t="s">
        <v>161</v>
      </c>
      <c r="AL1042" t="s">
        <v>335</v>
      </c>
      <c r="AM1042" s="20">
        <v>41051</v>
      </c>
      <c r="AR1042" s="39" t="s">
        <v>400</v>
      </c>
      <c r="AS1042" s="39"/>
      <c r="AT1042" s="39">
        <v>200</v>
      </c>
      <c r="AZ1042" t="s">
        <v>108</v>
      </c>
      <c r="BC1042" t="s">
        <v>336</v>
      </c>
    </row>
    <row r="1043" spans="1:71" x14ac:dyDescent="0.25">
      <c r="A1043" t="str">
        <f t="shared" si="16"/>
        <v>A69-1601-5050</v>
      </c>
      <c r="B1043" t="s">
        <v>398</v>
      </c>
      <c r="C1043" t="s">
        <v>324</v>
      </c>
      <c r="D1043" t="s">
        <v>345</v>
      </c>
      <c r="F1043">
        <v>5050</v>
      </c>
      <c r="G1043" t="s">
        <v>346</v>
      </c>
      <c r="H1043" t="s">
        <v>327</v>
      </c>
      <c r="I1043" s="20">
        <v>41051</v>
      </c>
      <c r="J1043">
        <v>101</v>
      </c>
      <c r="L1043" t="s">
        <v>109</v>
      </c>
      <c r="M1043" t="s">
        <v>328</v>
      </c>
      <c r="N1043" t="s">
        <v>329</v>
      </c>
      <c r="O1043" t="s">
        <v>330</v>
      </c>
      <c r="P1043" t="s">
        <v>331</v>
      </c>
      <c r="U1043">
        <v>0.5</v>
      </c>
      <c r="V1043">
        <v>0.25600000000000001</v>
      </c>
      <c r="W1043" t="s">
        <v>399</v>
      </c>
      <c r="Y1043" t="s">
        <v>337</v>
      </c>
      <c r="AB1043" s="36" t="s">
        <v>340</v>
      </c>
      <c r="AC1043" s="36" t="s">
        <v>334</v>
      </c>
      <c r="AD1043" s="35">
        <v>46.172600000000003</v>
      </c>
      <c r="AE1043" s="35">
        <v>-84.079769999999996</v>
      </c>
      <c r="AF1043" s="18">
        <v>41053.896527777775</v>
      </c>
      <c r="AG1043" s="19">
        <v>41038.763888888891</v>
      </c>
      <c r="AH1043" t="s">
        <v>161</v>
      </c>
      <c r="AL1043" t="s">
        <v>335</v>
      </c>
      <c r="AM1043" s="20">
        <v>41051</v>
      </c>
      <c r="AR1043" s="39" t="s">
        <v>400</v>
      </c>
      <c r="AS1043" s="39"/>
      <c r="AT1043" s="39">
        <v>200</v>
      </c>
      <c r="AZ1043" t="s">
        <v>108</v>
      </c>
      <c r="BC1043" t="s">
        <v>336</v>
      </c>
    </row>
    <row r="1044" spans="1:71" x14ac:dyDescent="0.25">
      <c r="A1044" t="str">
        <f t="shared" si="16"/>
        <v>A69-1601-5051</v>
      </c>
      <c r="B1044" t="s">
        <v>398</v>
      </c>
      <c r="C1044" t="s">
        <v>324</v>
      </c>
      <c r="D1044" t="s">
        <v>345</v>
      </c>
      <c r="F1044">
        <v>5051</v>
      </c>
      <c r="G1044" t="s">
        <v>346</v>
      </c>
      <c r="H1044" t="s">
        <v>327</v>
      </c>
      <c r="I1044" s="20">
        <v>41051</v>
      </c>
      <c r="J1044">
        <v>101</v>
      </c>
      <c r="L1044" t="s">
        <v>109</v>
      </c>
      <c r="M1044" t="s">
        <v>328</v>
      </c>
      <c r="N1044" t="s">
        <v>329</v>
      </c>
      <c r="O1044" t="s">
        <v>330</v>
      </c>
      <c r="P1044" t="s">
        <v>331</v>
      </c>
      <c r="U1044">
        <v>0.52</v>
      </c>
      <c r="V1044">
        <v>0.28300000000000003</v>
      </c>
      <c r="W1044" t="s">
        <v>399</v>
      </c>
      <c r="Y1044" t="s">
        <v>337</v>
      </c>
      <c r="AB1044" s="36" t="s">
        <v>340</v>
      </c>
      <c r="AC1044" s="36" t="s">
        <v>334</v>
      </c>
      <c r="AD1044" s="35">
        <v>46.172600000000003</v>
      </c>
      <c r="AE1044" s="35">
        <v>-84.079769999999996</v>
      </c>
      <c r="AF1044" s="18">
        <v>41053.896527777775</v>
      </c>
      <c r="AG1044" s="19">
        <v>41038.763888888891</v>
      </c>
      <c r="AH1044" t="s">
        <v>161</v>
      </c>
      <c r="AL1044" t="s">
        <v>335</v>
      </c>
      <c r="AM1044" s="20">
        <v>41051</v>
      </c>
      <c r="AR1044" s="39" t="s">
        <v>400</v>
      </c>
      <c r="AS1044" s="39"/>
      <c r="AT1044" s="39">
        <v>200</v>
      </c>
      <c r="AZ1044" t="s">
        <v>108</v>
      </c>
      <c r="BC1044" t="s">
        <v>336</v>
      </c>
    </row>
    <row r="1045" spans="1:71" x14ac:dyDescent="0.25">
      <c r="A1045" t="str">
        <f t="shared" si="16"/>
        <v>A69-1601-5052</v>
      </c>
      <c r="B1045" t="s">
        <v>398</v>
      </c>
      <c r="C1045" t="s">
        <v>324</v>
      </c>
      <c r="D1045" t="s">
        <v>345</v>
      </c>
      <c r="F1045">
        <v>5052</v>
      </c>
      <c r="G1045" t="s">
        <v>346</v>
      </c>
      <c r="H1045" t="s">
        <v>327</v>
      </c>
      <c r="I1045" s="20">
        <v>41051</v>
      </c>
      <c r="J1045">
        <v>101</v>
      </c>
      <c r="L1045" t="s">
        <v>109</v>
      </c>
      <c r="M1045" t="s">
        <v>328</v>
      </c>
      <c r="N1045" t="s">
        <v>329</v>
      </c>
      <c r="O1045" t="s">
        <v>330</v>
      </c>
      <c r="P1045" t="s">
        <v>331</v>
      </c>
      <c r="U1045">
        <v>0.49</v>
      </c>
      <c r="V1045">
        <v>0.252</v>
      </c>
      <c r="W1045" t="s">
        <v>399</v>
      </c>
      <c r="Y1045" t="s">
        <v>337</v>
      </c>
      <c r="AB1045" s="36" t="s">
        <v>340</v>
      </c>
      <c r="AC1045" s="36" t="s">
        <v>334</v>
      </c>
      <c r="AD1045" s="35">
        <v>46.172600000000003</v>
      </c>
      <c r="AE1045" s="35">
        <v>-84.079769999999996</v>
      </c>
      <c r="AF1045" s="18">
        <v>41053.896527777775</v>
      </c>
      <c r="AG1045" s="19">
        <v>41038.763888888891</v>
      </c>
      <c r="AH1045" t="s">
        <v>161</v>
      </c>
      <c r="AL1045" t="s">
        <v>335</v>
      </c>
      <c r="AM1045" s="20">
        <v>41051</v>
      </c>
      <c r="AR1045" s="39" t="s">
        <v>400</v>
      </c>
      <c r="AS1045" s="39"/>
      <c r="AT1045" s="39">
        <v>200</v>
      </c>
      <c r="AZ1045" t="s">
        <v>108</v>
      </c>
      <c r="BC1045" t="s">
        <v>336</v>
      </c>
    </row>
    <row r="1046" spans="1:71" x14ac:dyDescent="0.25">
      <c r="A1046" t="str">
        <f t="shared" si="16"/>
        <v>A69-9002-7178</v>
      </c>
      <c r="B1046" t="s">
        <v>398</v>
      </c>
      <c r="C1046" t="s">
        <v>324</v>
      </c>
      <c r="D1046" t="s">
        <v>325</v>
      </c>
      <c r="F1046">
        <v>7178</v>
      </c>
      <c r="G1046" t="s">
        <v>326</v>
      </c>
      <c r="H1046" t="s">
        <v>327</v>
      </c>
      <c r="I1046" s="20">
        <v>41051</v>
      </c>
      <c r="J1046">
        <v>77</v>
      </c>
      <c r="L1046" t="s">
        <v>109</v>
      </c>
      <c r="M1046" t="s">
        <v>328</v>
      </c>
      <c r="N1046" t="s">
        <v>329</v>
      </c>
      <c r="O1046" t="s">
        <v>330</v>
      </c>
      <c r="P1046" t="s">
        <v>331</v>
      </c>
      <c r="U1046">
        <v>0.49</v>
      </c>
      <c r="V1046">
        <v>0.27100000000000002</v>
      </c>
      <c r="W1046" t="s">
        <v>399</v>
      </c>
      <c r="Y1046" t="s">
        <v>337</v>
      </c>
      <c r="AB1046" s="36" t="s">
        <v>340</v>
      </c>
      <c r="AC1046" s="36" t="s">
        <v>334</v>
      </c>
      <c r="AD1046" s="35">
        <v>46.172600000000003</v>
      </c>
      <c r="AE1046" s="35">
        <v>-84.079769999999996</v>
      </c>
      <c r="AF1046" s="18">
        <v>41053.896527777775</v>
      </c>
      <c r="AG1046" s="19">
        <v>41038.763888888891</v>
      </c>
      <c r="AH1046" t="s">
        <v>161</v>
      </c>
      <c r="AL1046" t="s">
        <v>335</v>
      </c>
      <c r="AM1046" s="20">
        <v>41051</v>
      </c>
      <c r="AR1046" s="39" t="s">
        <v>400</v>
      </c>
      <c r="AS1046" s="39"/>
      <c r="AT1046" s="39">
        <v>200</v>
      </c>
      <c r="AZ1046" t="s">
        <v>108</v>
      </c>
      <c r="BC1046" t="s">
        <v>336</v>
      </c>
    </row>
    <row r="1047" spans="1:71" x14ac:dyDescent="0.25">
      <c r="A1047" t="str">
        <f t="shared" si="16"/>
        <v>A69-9002-7183</v>
      </c>
      <c r="B1047" t="s">
        <v>398</v>
      </c>
      <c r="C1047" t="s">
        <v>324</v>
      </c>
      <c r="D1047" t="s">
        <v>325</v>
      </c>
      <c r="F1047">
        <v>7183</v>
      </c>
      <c r="G1047" t="s">
        <v>326</v>
      </c>
      <c r="H1047" t="s">
        <v>327</v>
      </c>
      <c r="I1047" s="20">
        <v>41051</v>
      </c>
      <c r="J1047">
        <v>77</v>
      </c>
      <c r="L1047" t="s">
        <v>109</v>
      </c>
      <c r="M1047" t="s">
        <v>328</v>
      </c>
      <c r="N1047" t="s">
        <v>329</v>
      </c>
      <c r="O1047" t="s">
        <v>330</v>
      </c>
      <c r="P1047" t="s">
        <v>331</v>
      </c>
      <c r="U1047">
        <v>0.47000000000000003</v>
      </c>
      <c r="V1047">
        <v>0.23800000000000002</v>
      </c>
      <c r="W1047" t="s">
        <v>399</v>
      </c>
      <c r="Y1047" t="s">
        <v>337</v>
      </c>
      <c r="AB1047" s="36" t="s">
        <v>340</v>
      </c>
      <c r="AC1047" s="36" t="s">
        <v>334</v>
      </c>
      <c r="AD1047" s="35">
        <v>46.172600000000003</v>
      </c>
      <c r="AE1047" s="35">
        <v>-84.079769999999996</v>
      </c>
      <c r="AF1047" s="18">
        <v>41053.896527777775</v>
      </c>
      <c r="AG1047" s="19">
        <v>41038.763888888891</v>
      </c>
      <c r="AH1047" t="s">
        <v>161</v>
      </c>
      <c r="AL1047" t="s">
        <v>335</v>
      </c>
      <c r="AM1047" s="20">
        <v>41051</v>
      </c>
      <c r="AR1047" s="39" t="s">
        <v>400</v>
      </c>
      <c r="AS1047" s="39"/>
      <c r="AT1047" s="39">
        <v>200</v>
      </c>
      <c r="AZ1047" t="s">
        <v>108</v>
      </c>
      <c r="BC1047" t="s">
        <v>336</v>
      </c>
    </row>
    <row r="1048" spans="1:71" x14ac:dyDescent="0.25">
      <c r="A1048" t="str">
        <f t="shared" si="16"/>
        <v>A69-9002-7186</v>
      </c>
      <c r="B1048" t="s">
        <v>398</v>
      </c>
      <c r="C1048" t="s">
        <v>324</v>
      </c>
      <c r="D1048" t="s">
        <v>325</v>
      </c>
      <c r="F1048">
        <v>7186</v>
      </c>
      <c r="G1048" t="s">
        <v>326</v>
      </c>
      <c r="H1048" t="s">
        <v>327</v>
      </c>
      <c r="I1048" s="20">
        <v>41051</v>
      </c>
      <c r="J1048">
        <v>77</v>
      </c>
      <c r="L1048" t="s">
        <v>109</v>
      </c>
      <c r="M1048" t="s">
        <v>328</v>
      </c>
      <c r="N1048" t="s">
        <v>329</v>
      </c>
      <c r="O1048" t="s">
        <v>330</v>
      </c>
      <c r="P1048" t="s">
        <v>331</v>
      </c>
      <c r="U1048">
        <v>0.53</v>
      </c>
      <c r="V1048">
        <v>0.28000000000000003</v>
      </c>
      <c r="W1048" t="s">
        <v>399</v>
      </c>
      <c r="Y1048" t="s">
        <v>337</v>
      </c>
      <c r="AB1048" s="36" t="s">
        <v>340</v>
      </c>
      <c r="AC1048" s="36" t="s">
        <v>334</v>
      </c>
      <c r="AD1048" s="35">
        <v>46.172600000000003</v>
      </c>
      <c r="AE1048" s="35">
        <v>-84.079769999999996</v>
      </c>
      <c r="AF1048" s="18">
        <v>41053.896527777775</v>
      </c>
      <c r="AG1048" s="19">
        <v>41038.763888888891</v>
      </c>
      <c r="AH1048" t="s">
        <v>161</v>
      </c>
      <c r="AL1048" t="s">
        <v>335</v>
      </c>
      <c r="AM1048" s="20">
        <v>41051</v>
      </c>
      <c r="AR1048" s="39" t="s">
        <v>400</v>
      </c>
      <c r="AS1048" s="39"/>
      <c r="AT1048" s="39">
        <v>200</v>
      </c>
      <c r="AZ1048" t="s">
        <v>108</v>
      </c>
      <c r="BC1048" t="s">
        <v>336</v>
      </c>
    </row>
    <row r="1049" spans="1:71" x14ac:dyDescent="0.25">
      <c r="A1049" t="str">
        <f t="shared" si="16"/>
        <v>A69-9002-7169</v>
      </c>
      <c r="B1049" t="s">
        <v>398</v>
      </c>
      <c r="C1049" t="s">
        <v>324</v>
      </c>
      <c r="D1049" t="s">
        <v>325</v>
      </c>
      <c r="F1049">
        <v>7169</v>
      </c>
      <c r="G1049" t="s">
        <v>326</v>
      </c>
      <c r="H1049" t="s">
        <v>327</v>
      </c>
      <c r="I1049" s="20">
        <v>41051</v>
      </c>
      <c r="J1049">
        <v>77</v>
      </c>
      <c r="L1049" t="s">
        <v>109</v>
      </c>
      <c r="M1049" t="s">
        <v>328</v>
      </c>
      <c r="N1049" t="s">
        <v>329</v>
      </c>
      <c r="O1049" t="s">
        <v>330</v>
      </c>
      <c r="P1049" t="s">
        <v>331</v>
      </c>
      <c r="U1049">
        <v>0.46</v>
      </c>
      <c r="V1049">
        <v>0.182</v>
      </c>
      <c r="W1049" t="s">
        <v>399</v>
      </c>
      <c r="Y1049" t="s">
        <v>337</v>
      </c>
      <c r="AB1049" s="36" t="s">
        <v>340</v>
      </c>
      <c r="AC1049" s="36" t="s">
        <v>334</v>
      </c>
      <c r="AD1049" s="35">
        <v>46.172600000000003</v>
      </c>
      <c r="AE1049" s="35">
        <v>-84.079769999999996</v>
      </c>
      <c r="AF1049" s="18">
        <v>41053.896527777775</v>
      </c>
      <c r="AG1049" s="19">
        <v>41038.763888888891</v>
      </c>
      <c r="AH1049" t="s">
        <v>161</v>
      </c>
      <c r="AL1049" t="s">
        <v>335</v>
      </c>
      <c r="AM1049" s="20">
        <v>41051</v>
      </c>
      <c r="AR1049" s="39" t="s">
        <v>400</v>
      </c>
      <c r="AS1049" s="39"/>
      <c r="AT1049" s="39">
        <v>200</v>
      </c>
      <c r="AZ1049" t="s">
        <v>108</v>
      </c>
      <c r="BC1049" t="s">
        <v>336</v>
      </c>
    </row>
    <row r="1050" spans="1:71" x14ac:dyDescent="0.25">
      <c r="A1050" t="str">
        <f t="shared" si="16"/>
        <v>A69-9002-7174</v>
      </c>
      <c r="B1050" t="s">
        <v>398</v>
      </c>
      <c r="C1050" t="s">
        <v>324</v>
      </c>
      <c r="D1050" t="s">
        <v>325</v>
      </c>
      <c r="F1050">
        <v>7174</v>
      </c>
      <c r="G1050" t="s">
        <v>326</v>
      </c>
      <c r="H1050" t="s">
        <v>327</v>
      </c>
      <c r="I1050" s="20">
        <v>41051</v>
      </c>
      <c r="J1050">
        <v>77</v>
      </c>
      <c r="L1050" t="s">
        <v>109</v>
      </c>
      <c r="M1050" t="s">
        <v>328</v>
      </c>
      <c r="N1050" t="s">
        <v>329</v>
      </c>
      <c r="O1050" t="s">
        <v>330</v>
      </c>
      <c r="P1050" t="s">
        <v>331</v>
      </c>
      <c r="U1050">
        <v>0.48</v>
      </c>
      <c r="V1050">
        <v>0.22600000000000001</v>
      </c>
      <c r="W1050" t="s">
        <v>399</v>
      </c>
      <c r="Y1050" t="s">
        <v>337</v>
      </c>
      <c r="AB1050" s="36" t="s">
        <v>340</v>
      </c>
      <c r="AC1050" s="36" t="s">
        <v>334</v>
      </c>
      <c r="AD1050" s="35">
        <v>46.172600000000003</v>
      </c>
      <c r="AE1050" s="35">
        <v>-84.079769999999996</v>
      </c>
      <c r="AF1050" s="18">
        <v>41053.896527777775</v>
      </c>
      <c r="AG1050" s="19">
        <v>41038.763888888891</v>
      </c>
      <c r="AH1050" t="s">
        <v>161</v>
      </c>
      <c r="AL1050" t="s">
        <v>335</v>
      </c>
      <c r="AM1050" s="20">
        <v>41051</v>
      </c>
      <c r="AR1050" s="39" t="s">
        <v>400</v>
      </c>
      <c r="AS1050" s="39"/>
      <c r="AT1050" s="39">
        <v>200</v>
      </c>
      <c r="AZ1050" t="s">
        <v>108</v>
      </c>
      <c r="BC1050" t="s">
        <v>336</v>
      </c>
    </row>
    <row r="1051" spans="1:71" x14ac:dyDescent="0.25">
      <c r="A1051" t="str">
        <f t="shared" si="16"/>
        <v>A69-9002-7184</v>
      </c>
      <c r="B1051" t="s">
        <v>398</v>
      </c>
      <c r="C1051" t="s">
        <v>324</v>
      </c>
      <c r="D1051" t="s">
        <v>325</v>
      </c>
      <c r="F1051">
        <v>7184</v>
      </c>
      <c r="G1051" t="s">
        <v>326</v>
      </c>
      <c r="H1051" t="s">
        <v>327</v>
      </c>
      <c r="I1051" s="20">
        <v>41051</v>
      </c>
      <c r="J1051">
        <v>77</v>
      </c>
      <c r="L1051" t="s">
        <v>109</v>
      </c>
      <c r="M1051" t="s">
        <v>328</v>
      </c>
      <c r="N1051" t="s">
        <v>329</v>
      </c>
      <c r="O1051" t="s">
        <v>330</v>
      </c>
      <c r="P1051" t="s">
        <v>331</v>
      </c>
      <c r="U1051">
        <v>0.53</v>
      </c>
      <c r="V1051">
        <v>0.309</v>
      </c>
      <c r="W1051" t="s">
        <v>399</v>
      </c>
      <c r="Y1051" t="s">
        <v>337</v>
      </c>
      <c r="AB1051" s="36" t="s">
        <v>340</v>
      </c>
      <c r="AC1051" s="36" t="s">
        <v>334</v>
      </c>
      <c r="AD1051" s="35">
        <v>46.172600000000003</v>
      </c>
      <c r="AE1051" s="35">
        <v>-84.079769999999996</v>
      </c>
      <c r="AF1051" s="18">
        <v>41053.896527777775</v>
      </c>
      <c r="AG1051" s="19">
        <v>41038.763888888891</v>
      </c>
      <c r="AH1051" t="s">
        <v>161</v>
      </c>
      <c r="AL1051" t="s">
        <v>335</v>
      </c>
      <c r="AM1051" s="20">
        <v>41051</v>
      </c>
      <c r="AR1051" s="39" t="s">
        <v>400</v>
      </c>
      <c r="AS1051" s="39"/>
      <c r="AT1051" s="39">
        <v>200</v>
      </c>
      <c r="AZ1051" t="s">
        <v>108</v>
      </c>
      <c r="BC1051" t="s">
        <v>163</v>
      </c>
      <c r="BD1051" s="20">
        <v>41082</v>
      </c>
      <c r="BF1051" s="21" t="s">
        <v>406</v>
      </c>
      <c r="BG1051" s="38" t="s">
        <v>113</v>
      </c>
      <c r="BH1051" s="1" t="s">
        <v>408</v>
      </c>
      <c r="BI1051" s="1">
        <v>46.514783999999999</v>
      </c>
      <c r="BJ1051" s="1">
        <v>-84.346945000000005</v>
      </c>
      <c r="BK1051" s="1" t="s">
        <v>404</v>
      </c>
      <c r="BL1051" s="1" t="s">
        <v>336</v>
      </c>
      <c r="BQ1051" s="39" t="s">
        <v>337</v>
      </c>
      <c r="BR1051" s="39">
        <v>495</v>
      </c>
      <c r="BS1051" s="39">
        <v>285</v>
      </c>
    </row>
    <row r="1052" spans="1:71" x14ac:dyDescent="0.25">
      <c r="A1052" t="str">
        <f t="shared" si="16"/>
        <v>A69-9002-7179</v>
      </c>
      <c r="B1052" t="s">
        <v>398</v>
      </c>
      <c r="C1052" t="s">
        <v>324</v>
      </c>
      <c r="D1052" t="s">
        <v>325</v>
      </c>
      <c r="F1052">
        <v>7179</v>
      </c>
      <c r="G1052" t="s">
        <v>326</v>
      </c>
      <c r="H1052" t="s">
        <v>327</v>
      </c>
      <c r="I1052" s="20">
        <v>41051</v>
      </c>
      <c r="J1052">
        <v>77</v>
      </c>
      <c r="L1052" t="s">
        <v>109</v>
      </c>
      <c r="M1052" t="s">
        <v>328</v>
      </c>
      <c r="N1052" t="s">
        <v>329</v>
      </c>
      <c r="O1052" t="s">
        <v>330</v>
      </c>
      <c r="P1052" t="s">
        <v>331</v>
      </c>
      <c r="U1052">
        <v>0.51</v>
      </c>
      <c r="V1052">
        <v>0.27300000000000002</v>
      </c>
      <c r="W1052" t="s">
        <v>399</v>
      </c>
      <c r="Y1052" t="s">
        <v>337</v>
      </c>
      <c r="AB1052" s="36" t="s">
        <v>340</v>
      </c>
      <c r="AC1052" s="36" t="s">
        <v>334</v>
      </c>
      <c r="AD1052" s="35">
        <v>46.172600000000003</v>
      </c>
      <c r="AE1052" s="35">
        <v>-84.079769999999996</v>
      </c>
      <c r="AF1052" s="18">
        <v>41053.896527777775</v>
      </c>
      <c r="AG1052" s="19">
        <v>41038.763888888891</v>
      </c>
      <c r="AH1052" t="s">
        <v>161</v>
      </c>
      <c r="AL1052" t="s">
        <v>335</v>
      </c>
      <c r="AM1052" s="20">
        <v>41051</v>
      </c>
      <c r="AR1052" s="39" t="s">
        <v>400</v>
      </c>
      <c r="AS1052" s="39"/>
      <c r="AT1052" s="39">
        <v>200</v>
      </c>
      <c r="AZ1052" t="s">
        <v>108</v>
      </c>
      <c r="BC1052" t="s">
        <v>336</v>
      </c>
    </row>
    <row r="1053" spans="1:71" x14ac:dyDescent="0.25">
      <c r="A1053" t="str">
        <f t="shared" si="16"/>
        <v>A69-9002-7185</v>
      </c>
      <c r="B1053" t="s">
        <v>398</v>
      </c>
      <c r="C1053" t="s">
        <v>324</v>
      </c>
      <c r="D1053" t="s">
        <v>325</v>
      </c>
      <c r="F1053">
        <v>7185</v>
      </c>
      <c r="G1053" t="s">
        <v>326</v>
      </c>
      <c r="H1053" t="s">
        <v>327</v>
      </c>
      <c r="I1053" s="20">
        <v>41051</v>
      </c>
      <c r="J1053">
        <v>77</v>
      </c>
      <c r="L1053" t="s">
        <v>109</v>
      </c>
      <c r="M1053" t="s">
        <v>328</v>
      </c>
      <c r="N1053" t="s">
        <v>329</v>
      </c>
      <c r="O1053" t="s">
        <v>330</v>
      </c>
      <c r="P1053" t="s">
        <v>331</v>
      </c>
      <c r="U1053">
        <v>0.49</v>
      </c>
      <c r="V1053">
        <v>0.27400000000000002</v>
      </c>
      <c r="W1053" t="s">
        <v>399</v>
      </c>
      <c r="Y1053" t="s">
        <v>337</v>
      </c>
      <c r="AB1053" s="36" t="s">
        <v>340</v>
      </c>
      <c r="AC1053" s="36" t="s">
        <v>334</v>
      </c>
      <c r="AD1053" s="35">
        <v>46.172600000000003</v>
      </c>
      <c r="AE1053" s="35">
        <v>-84.079769999999996</v>
      </c>
      <c r="AF1053" s="18">
        <v>41053.896527777775</v>
      </c>
      <c r="AG1053" s="19">
        <v>41038.763888888891</v>
      </c>
      <c r="AH1053" t="s">
        <v>161</v>
      </c>
      <c r="AL1053" t="s">
        <v>335</v>
      </c>
      <c r="AM1053" s="20">
        <v>41051</v>
      </c>
      <c r="AR1053" s="39" t="s">
        <v>400</v>
      </c>
      <c r="AS1053" s="39"/>
      <c r="AT1053" s="39">
        <v>200</v>
      </c>
      <c r="AZ1053" t="s">
        <v>108</v>
      </c>
      <c r="BC1053" t="s">
        <v>336</v>
      </c>
    </row>
    <row r="1054" spans="1:71" x14ac:dyDescent="0.25">
      <c r="A1054" t="str">
        <f t="shared" si="16"/>
        <v>A69-9002-7180</v>
      </c>
      <c r="B1054" t="s">
        <v>398</v>
      </c>
      <c r="C1054" t="s">
        <v>324</v>
      </c>
      <c r="D1054" t="s">
        <v>325</v>
      </c>
      <c r="F1054">
        <v>7180</v>
      </c>
      <c r="G1054" t="s">
        <v>326</v>
      </c>
      <c r="H1054" t="s">
        <v>327</v>
      </c>
      <c r="I1054" s="20">
        <v>41051</v>
      </c>
      <c r="J1054">
        <v>77</v>
      </c>
      <c r="L1054" t="s">
        <v>109</v>
      </c>
      <c r="M1054" t="s">
        <v>328</v>
      </c>
      <c r="N1054" t="s">
        <v>329</v>
      </c>
      <c r="O1054" t="s">
        <v>330</v>
      </c>
      <c r="P1054" t="s">
        <v>331</v>
      </c>
      <c r="U1054">
        <v>0.47000000000000003</v>
      </c>
      <c r="V1054">
        <v>0.20700000000000002</v>
      </c>
      <c r="W1054" t="s">
        <v>399</v>
      </c>
      <c r="Y1054" t="s">
        <v>332</v>
      </c>
      <c r="AB1054" s="36" t="s">
        <v>340</v>
      </c>
      <c r="AC1054" s="36" t="s">
        <v>334</v>
      </c>
      <c r="AD1054" s="35">
        <v>46.172600000000003</v>
      </c>
      <c r="AE1054" s="35">
        <v>-84.079769999999996</v>
      </c>
      <c r="AF1054" s="18">
        <v>41053.896527777775</v>
      </c>
      <c r="AG1054" s="19">
        <v>41038.763888888891</v>
      </c>
      <c r="AH1054" t="s">
        <v>161</v>
      </c>
      <c r="AL1054" t="s">
        <v>335</v>
      </c>
      <c r="AM1054" s="20">
        <v>41051</v>
      </c>
      <c r="AR1054" s="39" t="s">
        <v>400</v>
      </c>
      <c r="AS1054" s="39"/>
      <c r="AT1054" s="39">
        <v>200</v>
      </c>
      <c r="AZ1054" t="s">
        <v>108</v>
      </c>
      <c r="BC1054" t="s">
        <v>336</v>
      </c>
    </row>
    <row r="1055" spans="1:71" x14ac:dyDescent="0.25">
      <c r="A1055" t="str">
        <f t="shared" si="16"/>
        <v>A69-9002-7215</v>
      </c>
      <c r="B1055" t="s">
        <v>398</v>
      </c>
      <c r="C1055" t="s">
        <v>324</v>
      </c>
      <c r="D1055" t="s">
        <v>325</v>
      </c>
      <c r="F1055">
        <v>7215</v>
      </c>
      <c r="G1055" t="s">
        <v>326</v>
      </c>
      <c r="H1055" t="s">
        <v>327</v>
      </c>
      <c r="I1055" s="20">
        <v>41051</v>
      </c>
      <c r="J1055">
        <v>77</v>
      </c>
      <c r="L1055" t="s">
        <v>109</v>
      </c>
      <c r="M1055" t="s">
        <v>328</v>
      </c>
      <c r="N1055" t="s">
        <v>329</v>
      </c>
      <c r="O1055" t="s">
        <v>330</v>
      </c>
      <c r="P1055" t="s">
        <v>331</v>
      </c>
      <c r="U1055">
        <v>0.54</v>
      </c>
      <c r="V1055">
        <v>0.27400000000000002</v>
      </c>
      <c r="W1055" t="s">
        <v>399</v>
      </c>
      <c r="Y1055" t="s">
        <v>332</v>
      </c>
      <c r="AB1055" s="36" t="s">
        <v>340</v>
      </c>
      <c r="AC1055" s="36" t="s">
        <v>334</v>
      </c>
      <c r="AD1055" s="35">
        <v>46.172600000000003</v>
      </c>
      <c r="AE1055" s="35">
        <v>-84.079769999999996</v>
      </c>
      <c r="AF1055" s="18">
        <v>41053.896527777775</v>
      </c>
      <c r="AG1055" s="19">
        <v>41038.763888888891</v>
      </c>
      <c r="AH1055" t="s">
        <v>161</v>
      </c>
      <c r="AL1055" t="s">
        <v>335</v>
      </c>
      <c r="AM1055" s="20">
        <v>41051</v>
      </c>
      <c r="AR1055" s="39" t="s">
        <v>400</v>
      </c>
      <c r="AS1055" s="39"/>
      <c r="AT1055" s="39">
        <v>200</v>
      </c>
      <c r="AZ1055" t="s">
        <v>108</v>
      </c>
      <c r="BC1055" t="s">
        <v>336</v>
      </c>
    </row>
    <row r="1056" spans="1:71" x14ac:dyDescent="0.25">
      <c r="A1056" t="str">
        <f t="shared" si="16"/>
        <v>A69-9002-7259</v>
      </c>
      <c r="B1056" t="s">
        <v>398</v>
      </c>
      <c r="C1056" t="s">
        <v>324</v>
      </c>
      <c r="D1056" t="s">
        <v>325</v>
      </c>
      <c r="F1056">
        <v>7259</v>
      </c>
      <c r="G1056" t="s">
        <v>326</v>
      </c>
      <c r="H1056" t="s">
        <v>327</v>
      </c>
      <c r="I1056" s="20">
        <v>41051</v>
      </c>
      <c r="J1056">
        <v>77</v>
      </c>
      <c r="L1056" t="s">
        <v>109</v>
      </c>
      <c r="M1056" t="s">
        <v>328</v>
      </c>
      <c r="N1056" t="s">
        <v>329</v>
      </c>
      <c r="O1056" t="s">
        <v>330</v>
      </c>
      <c r="P1056" t="s">
        <v>331</v>
      </c>
      <c r="U1056">
        <v>0.54</v>
      </c>
      <c r="V1056">
        <v>0.35799999999999998</v>
      </c>
      <c r="W1056" t="s">
        <v>399</v>
      </c>
      <c r="Y1056" t="s">
        <v>332</v>
      </c>
      <c r="AB1056" s="36" t="s">
        <v>340</v>
      </c>
      <c r="AC1056" s="36" t="s">
        <v>334</v>
      </c>
      <c r="AD1056" s="35">
        <v>46.172600000000003</v>
      </c>
      <c r="AE1056" s="35">
        <v>-84.079769999999996</v>
      </c>
      <c r="AF1056" s="18">
        <v>41053.896527777775</v>
      </c>
      <c r="AG1056" s="19">
        <v>41038.763888888891</v>
      </c>
      <c r="AH1056" t="s">
        <v>161</v>
      </c>
      <c r="AL1056" t="s">
        <v>335</v>
      </c>
      <c r="AM1056" s="20">
        <v>41051</v>
      </c>
      <c r="AR1056" s="39" t="s">
        <v>400</v>
      </c>
      <c r="AS1056" s="39"/>
      <c r="AT1056" s="39">
        <v>200</v>
      </c>
      <c r="AZ1056" t="s">
        <v>108</v>
      </c>
      <c r="BC1056" t="s">
        <v>336</v>
      </c>
    </row>
    <row r="1057" spans="1:72" x14ac:dyDescent="0.25">
      <c r="A1057" t="str">
        <f t="shared" si="16"/>
        <v>A69-9002-7239</v>
      </c>
      <c r="B1057" t="s">
        <v>398</v>
      </c>
      <c r="C1057" t="s">
        <v>324</v>
      </c>
      <c r="D1057" t="s">
        <v>325</v>
      </c>
      <c r="F1057">
        <v>7239</v>
      </c>
      <c r="G1057" t="s">
        <v>326</v>
      </c>
      <c r="H1057" t="s">
        <v>327</v>
      </c>
      <c r="I1057" s="20">
        <v>41051</v>
      </c>
      <c r="J1057">
        <v>77</v>
      </c>
      <c r="L1057" t="s">
        <v>109</v>
      </c>
      <c r="M1057" t="s">
        <v>328</v>
      </c>
      <c r="N1057" t="s">
        <v>329</v>
      </c>
      <c r="O1057" t="s">
        <v>330</v>
      </c>
      <c r="P1057" t="s">
        <v>331</v>
      </c>
      <c r="U1057">
        <v>0.49</v>
      </c>
      <c r="V1057">
        <v>0.23300000000000001</v>
      </c>
      <c r="W1057" t="s">
        <v>399</v>
      </c>
      <c r="Y1057" t="s">
        <v>332</v>
      </c>
      <c r="AB1057" s="36" t="s">
        <v>340</v>
      </c>
      <c r="AC1057" s="36" t="s">
        <v>334</v>
      </c>
      <c r="AD1057" s="35">
        <v>46.172600000000003</v>
      </c>
      <c r="AE1057" s="35">
        <v>-84.079769999999996</v>
      </c>
      <c r="AF1057" s="18">
        <v>41053.896527777775</v>
      </c>
      <c r="AG1057" s="19">
        <v>41038.763888888891</v>
      </c>
      <c r="AH1057" t="s">
        <v>161</v>
      </c>
      <c r="AL1057" t="s">
        <v>335</v>
      </c>
      <c r="AM1057" s="20">
        <v>41051</v>
      </c>
      <c r="AR1057" s="39" t="s">
        <v>400</v>
      </c>
      <c r="AS1057" s="39"/>
      <c r="AT1057" s="39">
        <v>200</v>
      </c>
      <c r="AZ1057" t="s">
        <v>108</v>
      </c>
      <c r="BC1057" t="s">
        <v>336</v>
      </c>
    </row>
    <row r="1058" spans="1:72" x14ac:dyDescent="0.25">
      <c r="A1058" t="str">
        <f t="shared" si="16"/>
        <v>A69-9002-7241</v>
      </c>
      <c r="B1058" t="s">
        <v>398</v>
      </c>
      <c r="C1058" t="s">
        <v>324</v>
      </c>
      <c r="D1058" t="s">
        <v>325</v>
      </c>
      <c r="F1058">
        <v>7241</v>
      </c>
      <c r="G1058" t="s">
        <v>326</v>
      </c>
      <c r="H1058" t="s">
        <v>327</v>
      </c>
      <c r="I1058" s="20">
        <v>41051</v>
      </c>
      <c r="J1058">
        <v>77</v>
      </c>
      <c r="L1058" t="s">
        <v>109</v>
      </c>
      <c r="M1058" t="s">
        <v>328</v>
      </c>
      <c r="N1058" t="s">
        <v>329</v>
      </c>
      <c r="O1058" t="s">
        <v>330</v>
      </c>
      <c r="P1058" t="s">
        <v>331</v>
      </c>
      <c r="U1058">
        <v>0.48</v>
      </c>
      <c r="V1058">
        <v>0.254</v>
      </c>
      <c r="W1058" t="s">
        <v>399</v>
      </c>
      <c r="Y1058" t="s">
        <v>332</v>
      </c>
      <c r="AB1058" s="36" t="s">
        <v>340</v>
      </c>
      <c r="AC1058" s="36" t="s">
        <v>334</v>
      </c>
      <c r="AD1058" s="35">
        <v>46.172600000000003</v>
      </c>
      <c r="AE1058" s="35">
        <v>-84.079769999999996</v>
      </c>
      <c r="AF1058" s="18">
        <v>41053.896527777775</v>
      </c>
      <c r="AG1058" s="19">
        <v>41038.763888888891</v>
      </c>
      <c r="AH1058" t="s">
        <v>161</v>
      </c>
      <c r="AL1058" t="s">
        <v>335</v>
      </c>
      <c r="AM1058" s="20">
        <v>41051</v>
      </c>
      <c r="AR1058" s="39" t="s">
        <v>400</v>
      </c>
      <c r="AS1058" s="39"/>
      <c r="AT1058" s="39">
        <v>200</v>
      </c>
      <c r="AZ1058" t="s">
        <v>108</v>
      </c>
      <c r="BC1058" t="s">
        <v>336</v>
      </c>
    </row>
    <row r="1059" spans="1:72" x14ac:dyDescent="0.25">
      <c r="A1059" t="str">
        <f t="shared" si="16"/>
        <v>A69-9002-7249</v>
      </c>
      <c r="B1059" t="s">
        <v>398</v>
      </c>
      <c r="C1059" t="s">
        <v>324</v>
      </c>
      <c r="D1059" t="s">
        <v>325</v>
      </c>
      <c r="F1059">
        <v>7249</v>
      </c>
      <c r="G1059" t="s">
        <v>326</v>
      </c>
      <c r="H1059" t="s">
        <v>327</v>
      </c>
      <c r="I1059" s="20">
        <v>41051</v>
      </c>
      <c r="J1059">
        <v>77</v>
      </c>
      <c r="L1059" t="s">
        <v>109</v>
      </c>
      <c r="M1059" t="s">
        <v>328</v>
      </c>
      <c r="N1059" t="s">
        <v>329</v>
      </c>
      <c r="O1059" t="s">
        <v>330</v>
      </c>
      <c r="P1059" t="s">
        <v>331</v>
      </c>
      <c r="U1059">
        <v>0.49</v>
      </c>
      <c r="V1059">
        <v>0.22500000000000001</v>
      </c>
      <c r="W1059" t="s">
        <v>399</v>
      </c>
      <c r="Y1059" t="s">
        <v>332</v>
      </c>
      <c r="AB1059" s="36" t="s">
        <v>340</v>
      </c>
      <c r="AC1059" s="36" t="s">
        <v>334</v>
      </c>
      <c r="AD1059" s="35">
        <v>46.172600000000003</v>
      </c>
      <c r="AE1059" s="35">
        <v>-84.079769999999996</v>
      </c>
      <c r="AF1059" s="18">
        <v>41053.896527777775</v>
      </c>
      <c r="AG1059" s="19">
        <v>41038.763888888891</v>
      </c>
      <c r="AH1059" t="s">
        <v>161</v>
      </c>
      <c r="AL1059" t="s">
        <v>335</v>
      </c>
      <c r="AM1059" s="20">
        <v>41051</v>
      </c>
      <c r="AR1059" s="39" t="s">
        <v>400</v>
      </c>
      <c r="AS1059" s="39"/>
      <c r="AT1059" s="39">
        <v>200</v>
      </c>
      <c r="AZ1059" t="s">
        <v>108</v>
      </c>
      <c r="BC1059" t="s">
        <v>336</v>
      </c>
    </row>
    <row r="1060" spans="1:72" x14ac:dyDescent="0.25">
      <c r="A1060" t="str">
        <f t="shared" si="16"/>
        <v>A69-9002-7240</v>
      </c>
      <c r="B1060" t="s">
        <v>398</v>
      </c>
      <c r="C1060" t="s">
        <v>324</v>
      </c>
      <c r="D1060" t="s">
        <v>325</v>
      </c>
      <c r="F1060">
        <v>7240</v>
      </c>
      <c r="G1060" t="s">
        <v>326</v>
      </c>
      <c r="H1060" t="s">
        <v>327</v>
      </c>
      <c r="I1060" s="20">
        <v>41051</v>
      </c>
      <c r="J1060">
        <v>77</v>
      </c>
      <c r="L1060" t="s">
        <v>109</v>
      </c>
      <c r="M1060" t="s">
        <v>328</v>
      </c>
      <c r="N1060" t="s">
        <v>329</v>
      </c>
      <c r="O1060" t="s">
        <v>330</v>
      </c>
      <c r="P1060" t="s">
        <v>331</v>
      </c>
      <c r="U1060">
        <v>0.54</v>
      </c>
      <c r="V1060">
        <v>0.317</v>
      </c>
      <c r="W1060" t="s">
        <v>399</v>
      </c>
      <c r="Y1060" t="s">
        <v>332</v>
      </c>
      <c r="AB1060" s="36" t="s">
        <v>340</v>
      </c>
      <c r="AC1060" s="36" t="s">
        <v>334</v>
      </c>
      <c r="AD1060" s="35">
        <v>46.172600000000003</v>
      </c>
      <c r="AE1060" s="35">
        <v>-84.079769999999996</v>
      </c>
      <c r="AF1060" s="18">
        <v>41053.896527777775</v>
      </c>
      <c r="AG1060" s="19">
        <v>41038.763888888891</v>
      </c>
      <c r="AH1060" t="s">
        <v>161</v>
      </c>
      <c r="AL1060" t="s">
        <v>335</v>
      </c>
      <c r="AM1060" s="20">
        <v>41051</v>
      </c>
      <c r="AR1060" s="39" t="s">
        <v>400</v>
      </c>
      <c r="AS1060" s="39"/>
      <c r="AT1060" s="39">
        <v>200</v>
      </c>
      <c r="AZ1060" t="s">
        <v>108</v>
      </c>
      <c r="BC1060" t="s">
        <v>336</v>
      </c>
    </row>
    <row r="1061" spans="1:72" x14ac:dyDescent="0.25">
      <c r="A1061" t="str">
        <f t="shared" si="16"/>
        <v>A69-9002-7245</v>
      </c>
      <c r="B1061" t="s">
        <v>398</v>
      </c>
      <c r="C1061" t="s">
        <v>324</v>
      </c>
      <c r="D1061" t="s">
        <v>325</v>
      </c>
      <c r="F1061">
        <v>7245</v>
      </c>
      <c r="G1061" t="s">
        <v>326</v>
      </c>
      <c r="H1061" t="s">
        <v>327</v>
      </c>
      <c r="I1061" s="20">
        <v>41051</v>
      </c>
      <c r="J1061">
        <v>77</v>
      </c>
      <c r="L1061" t="s">
        <v>109</v>
      </c>
      <c r="M1061" t="s">
        <v>328</v>
      </c>
      <c r="N1061" t="s">
        <v>329</v>
      </c>
      <c r="O1061" t="s">
        <v>330</v>
      </c>
      <c r="P1061" t="s">
        <v>331</v>
      </c>
      <c r="U1061">
        <v>0.5</v>
      </c>
      <c r="V1061">
        <v>0.25700000000000001</v>
      </c>
      <c r="W1061" t="s">
        <v>399</v>
      </c>
      <c r="Y1061" t="s">
        <v>332</v>
      </c>
      <c r="AB1061" s="36" t="s">
        <v>340</v>
      </c>
      <c r="AC1061" s="36" t="s">
        <v>334</v>
      </c>
      <c r="AD1061" s="35">
        <v>46.172600000000003</v>
      </c>
      <c r="AE1061" s="35">
        <v>-84.079769999999996</v>
      </c>
      <c r="AF1061" s="18">
        <v>41053.896527777775</v>
      </c>
      <c r="AG1061" s="19">
        <v>41038.763888888891</v>
      </c>
      <c r="AH1061" t="s">
        <v>161</v>
      </c>
      <c r="AL1061" t="s">
        <v>335</v>
      </c>
      <c r="AM1061" s="20">
        <v>41051</v>
      </c>
      <c r="AR1061" s="39" t="s">
        <v>400</v>
      </c>
      <c r="AS1061" s="39"/>
      <c r="AT1061" s="39">
        <v>200</v>
      </c>
      <c r="AZ1061" t="s">
        <v>108</v>
      </c>
      <c r="BC1061" t="s">
        <v>336</v>
      </c>
    </row>
    <row r="1062" spans="1:72" x14ac:dyDescent="0.25">
      <c r="A1062" t="str">
        <f t="shared" si="16"/>
        <v>A69-1601-5053</v>
      </c>
      <c r="B1062" t="s">
        <v>398</v>
      </c>
      <c r="C1062" t="s">
        <v>324</v>
      </c>
      <c r="D1062" t="s">
        <v>345</v>
      </c>
      <c r="F1062">
        <v>5053</v>
      </c>
      <c r="G1062" t="s">
        <v>346</v>
      </c>
      <c r="H1062" t="s">
        <v>327</v>
      </c>
      <c r="I1062" s="20">
        <v>41051</v>
      </c>
      <c r="J1062">
        <v>101</v>
      </c>
      <c r="L1062" t="s">
        <v>109</v>
      </c>
      <c r="M1062" t="s">
        <v>328</v>
      </c>
      <c r="N1062" t="s">
        <v>329</v>
      </c>
      <c r="O1062" t="s">
        <v>330</v>
      </c>
      <c r="P1062" t="s">
        <v>331</v>
      </c>
      <c r="U1062">
        <v>0.48</v>
      </c>
      <c r="V1062">
        <v>0.25900000000000001</v>
      </c>
      <c r="W1062" t="s">
        <v>399</v>
      </c>
      <c r="Y1062" t="s">
        <v>332</v>
      </c>
      <c r="AB1062" s="36" t="s">
        <v>340</v>
      </c>
      <c r="AC1062" s="36" t="s">
        <v>334</v>
      </c>
      <c r="AD1062" s="35">
        <v>46.172600000000003</v>
      </c>
      <c r="AE1062" s="35">
        <v>-84.079769999999996</v>
      </c>
      <c r="AF1062" s="18">
        <v>41053.896527777775</v>
      </c>
      <c r="AG1062" s="19">
        <v>41038.763888888891</v>
      </c>
      <c r="AH1062" t="s">
        <v>161</v>
      </c>
      <c r="AL1062" t="s">
        <v>335</v>
      </c>
      <c r="AM1062" s="20">
        <v>41051</v>
      </c>
      <c r="AR1062" s="39" t="s">
        <v>400</v>
      </c>
      <c r="AS1062" s="39"/>
      <c r="AT1062" s="39">
        <v>200</v>
      </c>
      <c r="AZ1062" t="s">
        <v>108</v>
      </c>
      <c r="BC1062" t="s">
        <v>336</v>
      </c>
    </row>
    <row r="1063" spans="1:72" x14ac:dyDescent="0.25">
      <c r="A1063" t="str">
        <f t="shared" si="16"/>
        <v>A69-1601-5054</v>
      </c>
      <c r="B1063" t="s">
        <v>398</v>
      </c>
      <c r="C1063" t="s">
        <v>324</v>
      </c>
      <c r="D1063" t="s">
        <v>345</v>
      </c>
      <c r="F1063">
        <v>5054</v>
      </c>
      <c r="G1063" t="s">
        <v>346</v>
      </c>
      <c r="H1063" t="s">
        <v>327</v>
      </c>
      <c r="I1063" s="20">
        <v>41051</v>
      </c>
      <c r="J1063">
        <v>101</v>
      </c>
      <c r="L1063" t="s">
        <v>109</v>
      </c>
      <c r="M1063" t="s">
        <v>328</v>
      </c>
      <c r="N1063" t="s">
        <v>329</v>
      </c>
      <c r="O1063" t="s">
        <v>330</v>
      </c>
      <c r="P1063" t="s">
        <v>331</v>
      </c>
      <c r="U1063">
        <v>0.47000000000000003</v>
      </c>
      <c r="V1063">
        <v>0.253</v>
      </c>
      <c r="W1063" t="s">
        <v>399</v>
      </c>
      <c r="Y1063" t="s">
        <v>332</v>
      </c>
      <c r="AB1063" s="36" t="s">
        <v>340</v>
      </c>
      <c r="AC1063" s="36" t="s">
        <v>334</v>
      </c>
      <c r="AD1063" s="35">
        <v>46.172600000000003</v>
      </c>
      <c r="AE1063" s="35">
        <v>-84.079769999999996</v>
      </c>
      <c r="AF1063" s="18">
        <v>41053.896527777775</v>
      </c>
      <c r="AG1063" s="19">
        <v>41038.763888888891</v>
      </c>
      <c r="AH1063" t="s">
        <v>161</v>
      </c>
      <c r="AL1063" t="s">
        <v>335</v>
      </c>
      <c r="AM1063" s="20">
        <v>41051</v>
      </c>
      <c r="AR1063" s="39" t="s">
        <v>400</v>
      </c>
      <c r="AS1063" s="39"/>
      <c r="AT1063" s="39">
        <v>200</v>
      </c>
      <c r="AZ1063" t="s">
        <v>108</v>
      </c>
      <c r="BC1063" t="s">
        <v>336</v>
      </c>
    </row>
    <row r="1064" spans="1:72" x14ac:dyDescent="0.25">
      <c r="A1064" t="str">
        <f t="shared" si="16"/>
        <v>A69-1601-5055</v>
      </c>
      <c r="B1064" t="s">
        <v>398</v>
      </c>
      <c r="C1064" t="s">
        <v>324</v>
      </c>
      <c r="D1064" t="s">
        <v>345</v>
      </c>
      <c r="F1064">
        <v>5055</v>
      </c>
      <c r="G1064" t="s">
        <v>346</v>
      </c>
      <c r="H1064" t="s">
        <v>327</v>
      </c>
      <c r="I1064" s="20">
        <v>41051</v>
      </c>
      <c r="J1064">
        <v>101</v>
      </c>
      <c r="L1064" t="s">
        <v>109</v>
      </c>
      <c r="M1064" t="s">
        <v>328</v>
      </c>
      <c r="N1064" t="s">
        <v>329</v>
      </c>
      <c r="O1064" t="s">
        <v>330</v>
      </c>
      <c r="P1064" t="s">
        <v>331</v>
      </c>
      <c r="U1064">
        <v>0.5</v>
      </c>
      <c r="V1064">
        <v>0.27600000000000002</v>
      </c>
      <c r="W1064" t="s">
        <v>399</v>
      </c>
      <c r="Y1064" t="s">
        <v>332</v>
      </c>
      <c r="AB1064" s="36" t="s">
        <v>340</v>
      </c>
      <c r="AC1064" s="36" t="s">
        <v>334</v>
      </c>
      <c r="AD1064" s="35">
        <v>46.172600000000003</v>
      </c>
      <c r="AE1064" s="35">
        <v>-84.079769999999996</v>
      </c>
      <c r="AF1064" s="18">
        <v>41053.896527777775</v>
      </c>
      <c r="AG1064" s="19">
        <v>41038.763888888891</v>
      </c>
      <c r="AH1064" t="s">
        <v>161</v>
      </c>
      <c r="AL1064" t="s">
        <v>335</v>
      </c>
      <c r="AM1064" s="20">
        <v>41051</v>
      </c>
      <c r="AR1064" s="39" t="s">
        <v>400</v>
      </c>
      <c r="AS1064" s="39"/>
      <c r="AT1064" s="39">
        <v>200</v>
      </c>
      <c r="AZ1064" t="s">
        <v>108</v>
      </c>
      <c r="BC1064" t="s">
        <v>336</v>
      </c>
    </row>
    <row r="1065" spans="1:72" x14ac:dyDescent="0.25">
      <c r="A1065" t="str">
        <f t="shared" si="16"/>
        <v>A69-1601-5056</v>
      </c>
      <c r="B1065" t="s">
        <v>398</v>
      </c>
      <c r="C1065" t="s">
        <v>324</v>
      </c>
      <c r="D1065" t="s">
        <v>345</v>
      </c>
      <c r="F1065">
        <v>5056</v>
      </c>
      <c r="G1065" t="s">
        <v>346</v>
      </c>
      <c r="H1065" t="s">
        <v>327</v>
      </c>
      <c r="I1065" s="20">
        <v>41051</v>
      </c>
      <c r="J1065">
        <v>101</v>
      </c>
      <c r="L1065" t="s">
        <v>109</v>
      </c>
      <c r="M1065" t="s">
        <v>328</v>
      </c>
      <c r="N1065" t="s">
        <v>329</v>
      </c>
      <c r="O1065" t="s">
        <v>330</v>
      </c>
      <c r="P1065" t="s">
        <v>331</v>
      </c>
      <c r="U1065">
        <v>0.54</v>
      </c>
      <c r="V1065">
        <v>0.29899999999999999</v>
      </c>
      <c r="W1065" t="s">
        <v>399</v>
      </c>
      <c r="Y1065" t="s">
        <v>332</v>
      </c>
      <c r="AB1065" s="36" t="s">
        <v>340</v>
      </c>
      <c r="AC1065" s="36" t="s">
        <v>334</v>
      </c>
      <c r="AD1065" s="35">
        <v>46.172600000000003</v>
      </c>
      <c r="AE1065" s="35">
        <v>-84.079769999999996</v>
      </c>
      <c r="AF1065" s="18">
        <v>41053.896527777775</v>
      </c>
      <c r="AG1065" s="19">
        <v>41038.763888888891</v>
      </c>
      <c r="AH1065" t="s">
        <v>161</v>
      </c>
      <c r="AL1065" t="s">
        <v>335</v>
      </c>
      <c r="AM1065" s="20">
        <v>41051</v>
      </c>
      <c r="AR1065" s="39" t="s">
        <v>400</v>
      </c>
      <c r="AS1065" s="39"/>
      <c r="AT1065" s="39">
        <v>200</v>
      </c>
      <c r="AZ1065" t="s">
        <v>108</v>
      </c>
      <c r="BC1065" t="s">
        <v>336</v>
      </c>
    </row>
    <row r="1066" spans="1:72" x14ac:dyDescent="0.25">
      <c r="A1066" t="str">
        <f t="shared" si="16"/>
        <v>A69-1601-5057</v>
      </c>
      <c r="B1066" t="s">
        <v>398</v>
      </c>
      <c r="C1066" t="s">
        <v>324</v>
      </c>
      <c r="D1066" t="s">
        <v>345</v>
      </c>
      <c r="F1066">
        <v>5057</v>
      </c>
      <c r="G1066" t="s">
        <v>346</v>
      </c>
      <c r="H1066" t="s">
        <v>327</v>
      </c>
      <c r="I1066" s="20">
        <v>41051</v>
      </c>
      <c r="J1066">
        <v>101</v>
      </c>
      <c r="L1066" t="s">
        <v>109</v>
      </c>
      <c r="M1066" t="s">
        <v>328</v>
      </c>
      <c r="N1066" t="s">
        <v>329</v>
      </c>
      <c r="O1066" t="s">
        <v>330</v>
      </c>
      <c r="P1066" t="s">
        <v>331</v>
      </c>
      <c r="U1066">
        <v>0.5</v>
      </c>
      <c r="V1066">
        <v>0.24</v>
      </c>
      <c r="W1066" t="s">
        <v>399</v>
      </c>
      <c r="Y1066" t="s">
        <v>332</v>
      </c>
      <c r="AB1066" s="36" t="s">
        <v>340</v>
      </c>
      <c r="AC1066" s="36" t="s">
        <v>334</v>
      </c>
      <c r="AD1066" s="35">
        <v>46.172600000000003</v>
      </c>
      <c r="AE1066" s="35">
        <v>-84.079769999999996</v>
      </c>
      <c r="AF1066" s="18">
        <v>41053.896527777775</v>
      </c>
      <c r="AG1066" s="19">
        <v>41038.763888888891</v>
      </c>
      <c r="AH1066" t="s">
        <v>161</v>
      </c>
      <c r="AL1066" t="s">
        <v>335</v>
      </c>
      <c r="AM1066" s="20">
        <v>41051</v>
      </c>
      <c r="AR1066" s="39" t="s">
        <v>400</v>
      </c>
      <c r="AS1066" s="39"/>
      <c r="AT1066" s="39">
        <v>200</v>
      </c>
      <c r="AZ1066" t="s">
        <v>108</v>
      </c>
      <c r="BC1066" t="s">
        <v>336</v>
      </c>
    </row>
    <row r="1067" spans="1:72" x14ac:dyDescent="0.25">
      <c r="A1067" t="str">
        <f t="shared" si="16"/>
        <v>A69-1601-5058</v>
      </c>
      <c r="B1067" t="s">
        <v>398</v>
      </c>
      <c r="C1067" t="s">
        <v>324</v>
      </c>
      <c r="D1067" t="s">
        <v>345</v>
      </c>
      <c r="F1067">
        <v>5058</v>
      </c>
      <c r="G1067" t="s">
        <v>346</v>
      </c>
      <c r="H1067" t="s">
        <v>327</v>
      </c>
      <c r="I1067" s="20">
        <v>41051</v>
      </c>
      <c r="J1067">
        <v>101</v>
      </c>
      <c r="L1067" t="s">
        <v>109</v>
      </c>
      <c r="M1067" t="s">
        <v>328</v>
      </c>
      <c r="N1067" t="s">
        <v>329</v>
      </c>
      <c r="O1067" t="s">
        <v>330</v>
      </c>
      <c r="P1067" t="s">
        <v>331</v>
      </c>
      <c r="U1067">
        <v>0.46</v>
      </c>
      <c r="V1067">
        <v>0.22800000000000001</v>
      </c>
      <c r="W1067" t="s">
        <v>399</v>
      </c>
      <c r="Y1067" t="s">
        <v>332</v>
      </c>
      <c r="AB1067" s="36" t="s">
        <v>340</v>
      </c>
      <c r="AC1067" s="36" t="s">
        <v>334</v>
      </c>
      <c r="AD1067" s="35">
        <v>46.172600000000003</v>
      </c>
      <c r="AE1067" s="35">
        <v>-84.079769999999996</v>
      </c>
      <c r="AF1067" s="18">
        <v>41053.896527777775</v>
      </c>
      <c r="AG1067" s="19">
        <v>41038.763888888891</v>
      </c>
      <c r="AH1067" t="s">
        <v>161</v>
      </c>
      <c r="AL1067" t="s">
        <v>335</v>
      </c>
      <c r="AM1067" s="20">
        <v>41051</v>
      </c>
      <c r="AR1067" s="39" t="s">
        <v>400</v>
      </c>
      <c r="AS1067" s="39"/>
      <c r="AT1067" s="39">
        <v>200</v>
      </c>
      <c r="AZ1067" t="s">
        <v>108</v>
      </c>
      <c r="BC1067" t="s">
        <v>336</v>
      </c>
    </row>
    <row r="1068" spans="1:72" x14ac:dyDescent="0.25">
      <c r="A1068" t="str">
        <f t="shared" si="16"/>
        <v>A69-1601-5059</v>
      </c>
      <c r="B1068" t="s">
        <v>398</v>
      </c>
      <c r="C1068" t="s">
        <v>324</v>
      </c>
      <c r="D1068" t="s">
        <v>345</v>
      </c>
      <c r="F1068">
        <v>5059</v>
      </c>
      <c r="G1068" t="s">
        <v>346</v>
      </c>
      <c r="H1068" t="s">
        <v>327</v>
      </c>
      <c r="I1068" s="20">
        <v>41051</v>
      </c>
      <c r="J1068">
        <v>101</v>
      </c>
      <c r="L1068" t="s">
        <v>109</v>
      </c>
      <c r="M1068" t="s">
        <v>328</v>
      </c>
      <c r="N1068" t="s">
        <v>329</v>
      </c>
      <c r="O1068" t="s">
        <v>330</v>
      </c>
      <c r="P1068" t="s">
        <v>331</v>
      </c>
      <c r="U1068">
        <v>0.45</v>
      </c>
      <c r="V1068">
        <v>0.184</v>
      </c>
      <c r="W1068" t="s">
        <v>399</v>
      </c>
      <c r="Y1068" t="s">
        <v>332</v>
      </c>
      <c r="AB1068" s="36" t="s">
        <v>340</v>
      </c>
      <c r="AC1068" s="36" t="s">
        <v>334</v>
      </c>
      <c r="AD1068" s="35">
        <v>46.172600000000003</v>
      </c>
      <c r="AE1068" s="35">
        <v>-84.079769999999996</v>
      </c>
      <c r="AF1068" s="18">
        <v>41053.896527777775</v>
      </c>
      <c r="AG1068" s="19">
        <v>41038.763888888891</v>
      </c>
      <c r="AH1068" t="s">
        <v>161</v>
      </c>
      <c r="AL1068" t="s">
        <v>335</v>
      </c>
      <c r="AM1068" s="20">
        <v>41051</v>
      </c>
      <c r="AR1068" s="39" t="s">
        <v>400</v>
      </c>
      <c r="AS1068" s="39"/>
      <c r="AT1068" s="39">
        <v>200</v>
      </c>
      <c r="AZ1068" t="s">
        <v>108</v>
      </c>
      <c r="BC1068" t="s">
        <v>336</v>
      </c>
    </row>
    <row r="1069" spans="1:72" x14ac:dyDescent="0.25">
      <c r="A1069" t="str">
        <f t="shared" si="16"/>
        <v>A69-1601-5060</v>
      </c>
      <c r="B1069" t="s">
        <v>398</v>
      </c>
      <c r="C1069" t="s">
        <v>324</v>
      </c>
      <c r="D1069" t="s">
        <v>345</v>
      </c>
      <c r="F1069">
        <v>5060</v>
      </c>
      <c r="G1069" t="s">
        <v>346</v>
      </c>
      <c r="H1069" t="s">
        <v>327</v>
      </c>
      <c r="I1069" s="20">
        <v>41051</v>
      </c>
      <c r="J1069">
        <v>101</v>
      </c>
      <c r="L1069" t="s">
        <v>109</v>
      </c>
      <c r="M1069" t="s">
        <v>328</v>
      </c>
      <c r="N1069" t="s">
        <v>329</v>
      </c>
      <c r="O1069" t="s">
        <v>330</v>
      </c>
      <c r="P1069" t="s">
        <v>331</v>
      </c>
      <c r="U1069">
        <v>0.48</v>
      </c>
      <c r="V1069">
        <v>0.248</v>
      </c>
      <c r="W1069" t="s">
        <v>399</v>
      </c>
      <c r="Y1069" t="s">
        <v>332</v>
      </c>
      <c r="AB1069" s="36" t="s">
        <v>340</v>
      </c>
      <c r="AC1069" s="36" t="s">
        <v>334</v>
      </c>
      <c r="AD1069" s="35">
        <v>46.172600000000003</v>
      </c>
      <c r="AE1069" s="35">
        <v>-84.079769999999996</v>
      </c>
      <c r="AF1069" s="18">
        <v>41053.896527777775</v>
      </c>
      <c r="AG1069" s="19">
        <v>41038.763888888891</v>
      </c>
      <c r="AH1069" t="s">
        <v>161</v>
      </c>
      <c r="AL1069" t="s">
        <v>335</v>
      </c>
      <c r="AM1069" s="20">
        <v>41051</v>
      </c>
      <c r="AR1069" s="39" t="s">
        <v>400</v>
      </c>
      <c r="AS1069" s="39"/>
      <c r="AT1069" s="39">
        <v>200</v>
      </c>
      <c r="AZ1069" t="s">
        <v>108</v>
      </c>
      <c r="BC1069" t="s">
        <v>336</v>
      </c>
    </row>
    <row r="1070" spans="1:72" x14ac:dyDescent="0.25">
      <c r="A1070" t="str">
        <f t="shared" si="16"/>
        <v>A69-1601-1389</v>
      </c>
      <c r="B1070" t="s">
        <v>398</v>
      </c>
      <c r="C1070" t="s">
        <v>324</v>
      </c>
      <c r="D1070" t="s">
        <v>345</v>
      </c>
      <c r="F1070">
        <v>1389</v>
      </c>
      <c r="G1070" t="s">
        <v>346</v>
      </c>
      <c r="H1070" t="s">
        <v>327</v>
      </c>
      <c r="I1070" s="20">
        <v>41051</v>
      </c>
      <c r="J1070">
        <v>101</v>
      </c>
      <c r="L1070" t="s">
        <v>109</v>
      </c>
      <c r="M1070" t="s">
        <v>328</v>
      </c>
      <c r="N1070" t="s">
        <v>329</v>
      </c>
      <c r="O1070" t="s">
        <v>330</v>
      </c>
      <c r="P1070" t="s">
        <v>331</v>
      </c>
      <c r="U1070">
        <v>0.53</v>
      </c>
      <c r="V1070">
        <v>0.28000000000000003</v>
      </c>
      <c r="W1070" t="s">
        <v>399</v>
      </c>
      <c r="Y1070" t="s">
        <v>332</v>
      </c>
      <c r="AB1070" s="36" t="s">
        <v>340</v>
      </c>
      <c r="AC1070" s="36" t="s">
        <v>334</v>
      </c>
      <c r="AD1070" s="35">
        <v>46.172600000000003</v>
      </c>
      <c r="AE1070" s="35">
        <v>-84.079769999999996</v>
      </c>
      <c r="AF1070" s="18">
        <v>41053.896527777775</v>
      </c>
      <c r="AG1070" s="19">
        <v>41038.763888888891</v>
      </c>
      <c r="AH1070" t="s">
        <v>161</v>
      </c>
      <c r="AL1070" t="s">
        <v>335</v>
      </c>
      <c r="AM1070" s="20">
        <v>41051</v>
      </c>
      <c r="AR1070" s="39" t="s">
        <v>400</v>
      </c>
      <c r="AS1070" s="39"/>
      <c r="AT1070" s="39">
        <v>200</v>
      </c>
      <c r="AZ1070" t="s">
        <v>108</v>
      </c>
      <c r="BC1070" t="s">
        <v>336</v>
      </c>
    </row>
    <row r="1071" spans="1:72" x14ac:dyDescent="0.25">
      <c r="A1071" t="str">
        <f t="shared" si="16"/>
        <v>A69-1601-1173</v>
      </c>
      <c r="B1071" t="s">
        <v>398</v>
      </c>
      <c r="C1071" t="s">
        <v>324</v>
      </c>
      <c r="D1071" t="s">
        <v>345</v>
      </c>
      <c r="F1071">
        <v>1173</v>
      </c>
      <c r="G1071" t="s">
        <v>346</v>
      </c>
      <c r="H1071" t="s">
        <v>327</v>
      </c>
      <c r="I1071" s="20">
        <v>41051</v>
      </c>
      <c r="J1071">
        <v>101</v>
      </c>
      <c r="L1071" t="s">
        <v>109</v>
      </c>
      <c r="M1071" t="s">
        <v>328</v>
      </c>
      <c r="N1071" t="s">
        <v>329</v>
      </c>
      <c r="O1071" t="s">
        <v>330</v>
      </c>
      <c r="P1071" t="s">
        <v>331</v>
      </c>
      <c r="U1071">
        <v>0.54</v>
      </c>
      <c r="V1071">
        <v>0.33700000000000002</v>
      </c>
      <c r="W1071" t="s">
        <v>399</v>
      </c>
      <c r="Y1071" t="s">
        <v>332</v>
      </c>
      <c r="AB1071" s="36" t="s">
        <v>340</v>
      </c>
      <c r="AC1071" s="36" t="s">
        <v>334</v>
      </c>
      <c r="AD1071" s="35">
        <v>46.172600000000003</v>
      </c>
      <c r="AE1071" s="35">
        <v>-84.079769999999996</v>
      </c>
      <c r="AF1071" s="18">
        <v>41053.896527777775</v>
      </c>
      <c r="AG1071" s="19">
        <v>41038.763888888891</v>
      </c>
      <c r="AH1071" t="s">
        <v>161</v>
      </c>
      <c r="AL1071" t="s">
        <v>335</v>
      </c>
      <c r="AM1071" s="20">
        <v>41051</v>
      </c>
      <c r="AR1071" s="39" t="s">
        <v>400</v>
      </c>
      <c r="AS1071" s="39"/>
      <c r="AT1071" s="39">
        <v>200</v>
      </c>
      <c r="AZ1071" t="s">
        <v>108</v>
      </c>
      <c r="BC1071" t="s">
        <v>163</v>
      </c>
      <c r="BD1071" s="20">
        <v>41068</v>
      </c>
      <c r="BF1071" s="21" t="s">
        <v>406</v>
      </c>
      <c r="BG1071" s="38" t="s">
        <v>113</v>
      </c>
      <c r="BH1071" s="1" t="s">
        <v>408</v>
      </c>
      <c r="BI1071" s="1">
        <v>46.514783999999999</v>
      </c>
      <c r="BJ1071" s="1">
        <v>-84.346945000000005</v>
      </c>
      <c r="BK1071" s="1" t="s">
        <v>404</v>
      </c>
      <c r="BL1071" s="1" t="s">
        <v>336</v>
      </c>
      <c r="BQ1071" s="39" t="s">
        <v>332</v>
      </c>
      <c r="BR1071" s="39">
        <v>530</v>
      </c>
      <c r="BS1071" s="39">
        <v>322</v>
      </c>
      <c r="BT1071" s="36">
        <v>180844735</v>
      </c>
    </row>
    <row r="1072" spans="1:72" x14ac:dyDescent="0.25">
      <c r="A1072" t="str">
        <f t="shared" si="16"/>
        <v>A69-1601-1384</v>
      </c>
      <c r="B1072" t="s">
        <v>398</v>
      </c>
      <c r="C1072" t="s">
        <v>324</v>
      </c>
      <c r="D1072" t="s">
        <v>345</v>
      </c>
      <c r="F1072">
        <v>1384</v>
      </c>
      <c r="G1072" t="s">
        <v>346</v>
      </c>
      <c r="H1072" t="s">
        <v>327</v>
      </c>
      <c r="I1072" s="20">
        <v>41051</v>
      </c>
      <c r="J1072">
        <v>101</v>
      </c>
      <c r="L1072" t="s">
        <v>109</v>
      </c>
      <c r="M1072" t="s">
        <v>328</v>
      </c>
      <c r="N1072" t="s">
        <v>329</v>
      </c>
      <c r="O1072" t="s">
        <v>330</v>
      </c>
      <c r="P1072" t="s">
        <v>331</v>
      </c>
      <c r="U1072">
        <v>0.51</v>
      </c>
      <c r="V1072">
        <v>0.29699999999999999</v>
      </c>
      <c r="W1072" t="s">
        <v>399</v>
      </c>
      <c r="Y1072" t="s">
        <v>332</v>
      </c>
      <c r="AB1072" s="36" t="s">
        <v>340</v>
      </c>
      <c r="AC1072" s="36" t="s">
        <v>334</v>
      </c>
      <c r="AD1072" s="35">
        <v>46.172600000000003</v>
      </c>
      <c r="AE1072" s="35">
        <v>-84.079769999999996</v>
      </c>
      <c r="AF1072" s="18">
        <v>41053.896527777775</v>
      </c>
      <c r="AG1072" s="19">
        <v>41038.763888888891</v>
      </c>
      <c r="AH1072" t="s">
        <v>161</v>
      </c>
      <c r="AL1072" t="s">
        <v>335</v>
      </c>
      <c r="AM1072" s="20">
        <v>41051</v>
      </c>
      <c r="AR1072" s="39" t="s">
        <v>400</v>
      </c>
      <c r="AS1072" s="39"/>
      <c r="AT1072" s="39">
        <v>200</v>
      </c>
      <c r="AZ1072" t="s">
        <v>108</v>
      </c>
      <c r="BC1072" t="s">
        <v>336</v>
      </c>
    </row>
    <row r="1073" spans="1:72" x14ac:dyDescent="0.25">
      <c r="A1073" t="str">
        <f t="shared" si="16"/>
        <v>A69-1601-971</v>
      </c>
      <c r="B1073" t="s">
        <v>398</v>
      </c>
      <c r="C1073" t="s">
        <v>324</v>
      </c>
      <c r="D1073" t="s">
        <v>345</v>
      </c>
      <c r="E1073">
        <v>1117210</v>
      </c>
      <c r="F1073">
        <v>971</v>
      </c>
      <c r="G1073" t="s">
        <v>346</v>
      </c>
      <c r="H1073" t="s">
        <v>327</v>
      </c>
      <c r="I1073" s="20">
        <v>41051</v>
      </c>
      <c r="J1073">
        <v>101</v>
      </c>
      <c r="L1073" t="s">
        <v>109</v>
      </c>
      <c r="M1073" t="s">
        <v>328</v>
      </c>
      <c r="N1073" t="s">
        <v>329</v>
      </c>
      <c r="O1073" t="s">
        <v>330</v>
      </c>
      <c r="P1073" t="s">
        <v>331</v>
      </c>
      <c r="U1073">
        <v>0.51</v>
      </c>
      <c r="V1073">
        <v>0.27800000000000002</v>
      </c>
      <c r="W1073" t="s">
        <v>399</v>
      </c>
      <c r="Y1073" t="s">
        <v>332</v>
      </c>
      <c r="AB1073" s="36" t="s">
        <v>340</v>
      </c>
      <c r="AC1073" s="36" t="s">
        <v>334</v>
      </c>
      <c r="AD1073" s="35">
        <v>46.172600000000003</v>
      </c>
      <c r="AE1073" s="35">
        <v>-84.079769999999996</v>
      </c>
      <c r="AF1073" s="18">
        <v>41053.896527777775</v>
      </c>
      <c r="AG1073" s="19">
        <v>41038.763888888891</v>
      </c>
      <c r="AH1073" t="s">
        <v>161</v>
      </c>
      <c r="AL1073" t="s">
        <v>335</v>
      </c>
      <c r="AM1073" s="20">
        <v>41051</v>
      </c>
      <c r="AR1073" s="39" t="s">
        <v>400</v>
      </c>
      <c r="AS1073" s="39"/>
      <c r="AT1073" s="39">
        <v>200</v>
      </c>
      <c r="AZ1073" t="s">
        <v>108</v>
      </c>
      <c r="BC1073" t="s">
        <v>336</v>
      </c>
    </row>
    <row r="1074" spans="1:72" x14ac:dyDescent="0.25">
      <c r="A1074" t="str">
        <f t="shared" si="16"/>
        <v>A69-1601-1373</v>
      </c>
      <c r="B1074" t="s">
        <v>398</v>
      </c>
      <c r="C1074" t="s">
        <v>324</v>
      </c>
      <c r="D1074" t="s">
        <v>345</v>
      </c>
      <c r="F1074">
        <v>1373</v>
      </c>
      <c r="G1074" t="s">
        <v>346</v>
      </c>
      <c r="H1074" t="s">
        <v>327</v>
      </c>
      <c r="I1074" s="20">
        <v>41051</v>
      </c>
      <c r="J1074">
        <v>101</v>
      </c>
      <c r="L1074" t="s">
        <v>109</v>
      </c>
      <c r="M1074" t="s">
        <v>328</v>
      </c>
      <c r="N1074" t="s">
        <v>329</v>
      </c>
      <c r="O1074" t="s">
        <v>330</v>
      </c>
      <c r="P1074" t="s">
        <v>331</v>
      </c>
      <c r="U1074">
        <v>0.55000000000000004</v>
      </c>
      <c r="V1074">
        <v>0.33700000000000002</v>
      </c>
      <c r="W1074" t="s">
        <v>399</v>
      </c>
      <c r="Y1074" t="s">
        <v>332</v>
      </c>
      <c r="AB1074" s="36" t="s">
        <v>340</v>
      </c>
      <c r="AC1074" s="36" t="s">
        <v>334</v>
      </c>
      <c r="AD1074" s="35">
        <v>46.172600000000003</v>
      </c>
      <c r="AE1074" s="35">
        <v>-84.079769999999996</v>
      </c>
      <c r="AF1074" s="18">
        <v>41053.896527777775</v>
      </c>
      <c r="AG1074" s="19">
        <v>41038.763888888891</v>
      </c>
      <c r="AH1074" t="s">
        <v>161</v>
      </c>
      <c r="AL1074" t="s">
        <v>335</v>
      </c>
      <c r="AM1074" s="20">
        <v>41051</v>
      </c>
      <c r="AR1074" s="39" t="s">
        <v>400</v>
      </c>
      <c r="AS1074" s="39"/>
      <c r="AT1074" s="39">
        <v>200</v>
      </c>
      <c r="AZ1074" t="s">
        <v>108</v>
      </c>
      <c r="BC1074" t="s">
        <v>336</v>
      </c>
    </row>
    <row r="1075" spans="1:72" x14ac:dyDescent="0.25">
      <c r="A1075" t="str">
        <f t="shared" si="16"/>
        <v>A69-1601-1377</v>
      </c>
      <c r="B1075" t="s">
        <v>398</v>
      </c>
      <c r="C1075" t="s">
        <v>324</v>
      </c>
      <c r="D1075" t="s">
        <v>345</v>
      </c>
      <c r="F1075">
        <v>1377</v>
      </c>
      <c r="G1075" t="s">
        <v>346</v>
      </c>
      <c r="H1075" t="s">
        <v>327</v>
      </c>
      <c r="I1075" s="20">
        <v>41051</v>
      </c>
      <c r="J1075">
        <v>101</v>
      </c>
      <c r="L1075" t="s">
        <v>109</v>
      </c>
      <c r="M1075" t="s">
        <v>328</v>
      </c>
      <c r="N1075" t="s">
        <v>329</v>
      </c>
      <c r="O1075" t="s">
        <v>330</v>
      </c>
      <c r="P1075" t="s">
        <v>331</v>
      </c>
      <c r="U1075">
        <v>0.45</v>
      </c>
      <c r="V1075">
        <v>0.22900000000000001</v>
      </c>
      <c r="W1075" t="s">
        <v>399</v>
      </c>
      <c r="Y1075" t="s">
        <v>332</v>
      </c>
      <c r="AB1075" s="36" t="s">
        <v>340</v>
      </c>
      <c r="AC1075" s="36" t="s">
        <v>334</v>
      </c>
      <c r="AD1075" s="35">
        <v>46.172600000000003</v>
      </c>
      <c r="AE1075" s="35">
        <v>-84.079769999999996</v>
      </c>
      <c r="AF1075" s="18">
        <v>41053.896527777775</v>
      </c>
      <c r="AG1075" s="19">
        <v>41038.763888888891</v>
      </c>
      <c r="AH1075" t="s">
        <v>161</v>
      </c>
      <c r="AL1075" t="s">
        <v>335</v>
      </c>
      <c r="AM1075" s="20">
        <v>41051</v>
      </c>
      <c r="AR1075" s="39" t="s">
        <v>400</v>
      </c>
      <c r="AS1075" s="39"/>
      <c r="AT1075" s="39">
        <v>200</v>
      </c>
      <c r="AZ1075" t="s">
        <v>108</v>
      </c>
      <c r="BC1075" t="s">
        <v>336</v>
      </c>
    </row>
    <row r="1076" spans="1:72" x14ac:dyDescent="0.25">
      <c r="A1076" t="str">
        <f t="shared" si="16"/>
        <v>A69-1601-1376</v>
      </c>
      <c r="B1076" t="s">
        <v>398</v>
      </c>
      <c r="C1076" t="s">
        <v>324</v>
      </c>
      <c r="D1076" t="s">
        <v>345</v>
      </c>
      <c r="F1076">
        <v>1376</v>
      </c>
      <c r="G1076" t="s">
        <v>346</v>
      </c>
      <c r="H1076" t="s">
        <v>327</v>
      </c>
      <c r="I1076" s="20">
        <v>41051</v>
      </c>
      <c r="J1076">
        <v>101</v>
      </c>
      <c r="L1076" t="s">
        <v>109</v>
      </c>
      <c r="M1076" t="s">
        <v>328</v>
      </c>
      <c r="N1076" t="s">
        <v>329</v>
      </c>
      <c r="O1076" t="s">
        <v>330</v>
      </c>
      <c r="P1076" t="s">
        <v>331</v>
      </c>
      <c r="U1076">
        <v>0.46</v>
      </c>
      <c r="V1076">
        <v>0.19600000000000001</v>
      </c>
      <c r="W1076" t="s">
        <v>399</v>
      </c>
      <c r="Y1076" t="s">
        <v>332</v>
      </c>
      <c r="AB1076" s="36" t="s">
        <v>340</v>
      </c>
      <c r="AC1076" s="36" t="s">
        <v>334</v>
      </c>
      <c r="AD1076" s="35">
        <v>46.172600000000003</v>
      </c>
      <c r="AE1076" s="35">
        <v>-84.079769999999996</v>
      </c>
      <c r="AF1076" s="18">
        <v>41053.896527777775</v>
      </c>
      <c r="AG1076" s="19">
        <v>41038.763888888891</v>
      </c>
      <c r="AH1076" t="s">
        <v>161</v>
      </c>
      <c r="AL1076" t="s">
        <v>335</v>
      </c>
      <c r="AM1076" s="20">
        <v>41051</v>
      </c>
      <c r="AR1076" s="39" t="s">
        <v>400</v>
      </c>
      <c r="AS1076" s="39"/>
      <c r="AT1076" s="39">
        <v>200</v>
      </c>
      <c r="AZ1076" t="s">
        <v>108</v>
      </c>
      <c r="BC1076" t="s">
        <v>336</v>
      </c>
    </row>
    <row r="1077" spans="1:72" x14ac:dyDescent="0.25">
      <c r="A1077" t="str">
        <f t="shared" si="16"/>
        <v>A69-1601-1370</v>
      </c>
      <c r="B1077" t="s">
        <v>398</v>
      </c>
      <c r="C1077" t="s">
        <v>324</v>
      </c>
      <c r="D1077" t="s">
        <v>345</v>
      </c>
      <c r="F1077">
        <v>1370</v>
      </c>
      <c r="G1077" t="s">
        <v>346</v>
      </c>
      <c r="H1077" t="s">
        <v>327</v>
      </c>
      <c r="I1077" s="20">
        <v>41051</v>
      </c>
      <c r="J1077">
        <v>101</v>
      </c>
      <c r="L1077" t="s">
        <v>109</v>
      </c>
      <c r="M1077" t="s">
        <v>328</v>
      </c>
      <c r="N1077" t="s">
        <v>329</v>
      </c>
      <c r="O1077" t="s">
        <v>330</v>
      </c>
      <c r="P1077" t="s">
        <v>331</v>
      </c>
      <c r="U1077">
        <v>0.51</v>
      </c>
      <c r="V1077">
        <v>0.28100000000000003</v>
      </c>
      <c r="W1077" t="s">
        <v>399</v>
      </c>
      <c r="Y1077" t="s">
        <v>332</v>
      </c>
      <c r="AB1077" s="36" t="s">
        <v>340</v>
      </c>
      <c r="AC1077" s="36" t="s">
        <v>334</v>
      </c>
      <c r="AD1077" s="35">
        <v>46.172600000000003</v>
      </c>
      <c r="AE1077" s="35">
        <v>-84.079769999999996</v>
      </c>
      <c r="AF1077" s="18">
        <v>41053.896527777775</v>
      </c>
      <c r="AG1077" s="19">
        <v>41038.763888888891</v>
      </c>
      <c r="AH1077" t="s">
        <v>161</v>
      </c>
      <c r="AL1077" t="s">
        <v>335</v>
      </c>
      <c r="AM1077" s="20">
        <v>41051</v>
      </c>
      <c r="AR1077" s="39" t="s">
        <v>400</v>
      </c>
      <c r="AS1077" s="39"/>
      <c r="AT1077" s="39">
        <v>200</v>
      </c>
      <c r="AZ1077" t="s">
        <v>108</v>
      </c>
      <c r="BC1077" t="s">
        <v>163</v>
      </c>
      <c r="BD1077" s="20">
        <v>41067</v>
      </c>
      <c r="BF1077" s="21" t="s">
        <v>406</v>
      </c>
      <c r="BG1077" s="38" t="s">
        <v>113</v>
      </c>
      <c r="BH1077" s="1" t="s">
        <v>425</v>
      </c>
      <c r="BI1077" s="39">
        <v>46.504829000000001</v>
      </c>
      <c r="BJ1077" s="39">
        <v>-84.354651000000004</v>
      </c>
      <c r="BK1077" s="1" t="s">
        <v>405</v>
      </c>
      <c r="BL1077" s="1" t="s">
        <v>336</v>
      </c>
      <c r="BQ1077" s="39" t="s">
        <v>332</v>
      </c>
      <c r="BR1077" s="39">
        <v>510</v>
      </c>
      <c r="BS1077" s="39">
        <v>268</v>
      </c>
      <c r="BT1077" s="36">
        <v>180844741</v>
      </c>
    </row>
    <row r="1078" spans="1:72" x14ac:dyDescent="0.25">
      <c r="A1078" t="str">
        <f t="shared" si="16"/>
        <v>A69-1601-1369</v>
      </c>
      <c r="B1078" t="s">
        <v>398</v>
      </c>
      <c r="C1078" t="s">
        <v>324</v>
      </c>
      <c r="D1078" t="s">
        <v>345</v>
      </c>
      <c r="F1078">
        <v>1369</v>
      </c>
      <c r="G1078" t="s">
        <v>346</v>
      </c>
      <c r="H1078" t="s">
        <v>327</v>
      </c>
      <c r="I1078" s="20">
        <v>41051</v>
      </c>
      <c r="J1078">
        <v>101</v>
      </c>
      <c r="L1078" t="s">
        <v>109</v>
      </c>
      <c r="M1078" t="s">
        <v>328</v>
      </c>
      <c r="N1078" t="s">
        <v>329</v>
      </c>
      <c r="O1078" t="s">
        <v>330</v>
      </c>
      <c r="P1078" t="s">
        <v>331</v>
      </c>
      <c r="U1078">
        <v>0.55000000000000004</v>
      </c>
      <c r="V1078">
        <v>0.35000000000000003</v>
      </c>
      <c r="W1078" t="s">
        <v>399</v>
      </c>
      <c r="Y1078" t="s">
        <v>332</v>
      </c>
      <c r="AB1078" s="36" t="s">
        <v>340</v>
      </c>
      <c r="AC1078" s="36" t="s">
        <v>334</v>
      </c>
      <c r="AD1078" s="35">
        <v>46.172600000000003</v>
      </c>
      <c r="AE1078" s="35">
        <v>-84.079769999999996</v>
      </c>
      <c r="AF1078" s="18">
        <v>41053.896527777775</v>
      </c>
      <c r="AG1078" s="19">
        <v>41038.763888888891</v>
      </c>
      <c r="AH1078" t="s">
        <v>161</v>
      </c>
      <c r="AL1078" t="s">
        <v>335</v>
      </c>
      <c r="AM1078" s="20">
        <v>41051</v>
      </c>
      <c r="AR1078" s="39" t="s">
        <v>400</v>
      </c>
      <c r="AS1078" s="39"/>
      <c r="AT1078" s="39">
        <v>200</v>
      </c>
      <c r="AZ1078" t="s">
        <v>108</v>
      </c>
      <c r="BC1078" t="s">
        <v>336</v>
      </c>
    </row>
    <row r="1079" spans="1:72" x14ac:dyDescent="0.25">
      <c r="A1079" t="str">
        <f t="shared" si="16"/>
        <v>A69-1601-1368</v>
      </c>
      <c r="B1079" t="s">
        <v>398</v>
      </c>
      <c r="C1079" t="s">
        <v>324</v>
      </c>
      <c r="D1079" t="s">
        <v>345</v>
      </c>
      <c r="F1079">
        <v>1368</v>
      </c>
      <c r="G1079" t="s">
        <v>346</v>
      </c>
      <c r="H1079" t="s">
        <v>327</v>
      </c>
      <c r="I1079" s="20">
        <v>41051</v>
      </c>
      <c r="J1079">
        <v>101</v>
      </c>
      <c r="L1079" t="s">
        <v>109</v>
      </c>
      <c r="M1079" t="s">
        <v>328</v>
      </c>
      <c r="N1079" t="s">
        <v>329</v>
      </c>
      <c r="O1079" t="s">
        <v>330</v>
      </c>
      <c r="P1079" t="s">
        <v>331</v>
      </c>
      <c r="U1079">
        <v>0.46</v>
      </c>
      <c r="V1079">
        <v>0.20500000000000002</v>
      </c>
      <c r="W1079" t="s">
        <v>399</v>
      </c>
      <c r="Y1079" t="s">
        <v>332</v>
      </c>
      <c r="AB1079" s="36" t="s">
        <v>340</v>
      </c>
      <c r="AC1079" s="36" t="s">
        <v>334</v>
      </c>
      <c r="AD1079" s="35">
        <v>46.172600000000003</v>
      </c>
      <c r="AE1079" s="35">
        <v>-84.079769999999996</v>
      </c>
      <c r="AF1079" s="18">
        <v>41053.896527777775</v>
      </c>
      <c r="AG1079" s="19">
        <v>41038.763888888891</v>
      </c>
      <c r="AH1079" t="s">
        <v>161</v>
      </c>
      <c r="AL1079" t="s">
        <v>335</v>
      </c>
      <c r="AM1079" s="20">
        <v>41051</v>
      </c>
      <c r="AR1079" s="39" t="s">
        <v>400</v>
      </c>
      <c r="AS1079" s="39"/>
      <c r="AT1079" s="39">
        <v>200</v>
      </c>
      <c r="AZ1079" t="s">
        <v>108</v>
      </c>
      <c r="BC1079" t="s">
        <v>336</v>
      </c>
    </row>
    <row r="1080" spans="1:72" x14ac:dyDescent="0.25">
      <c r="A1080" t="str">
        <f t="shared" si="16"/>
        <v>A69-1601-1375</v>
      </c>
      <c r="B1080" t="s">
        <v>398</v>
      </c>
      <c r="C1080" t="s">
        <v>324</v>
      </c>
      <c r="D1080" t="s">
        <v>345</v>
      </c>
      <c r="F1080">
        <v>1375</v>
      </c>
      <c r="G1080" t="s">
        <v>346</v>
      </c>
      <c r="H1080" t="s">
        <v>327</v>
      </c>
      <c r="I1080" s="20">
        <v>41051</v>
      </c>
      <c r="J1080">
        <v>101</v>
      </c>
      <c r="L1080" t="s">
        <v>109</v>
      </c>
      <c r="M1080" t="s">
        <v>328</v>
      </c>
      <c r="N1080" t="s">
        <v>329</v>
      </c>
      <c r="O1080" t="s">
        <v>330</v>
      </c>
      <c r="P1080" t="s">
        <v>331</v>
      </c>
      <c r="U1080">
        <v>0.57999999999999996</v>
      </c>
      <c r="V1080">
        <v>0.39500000000000002</v>
      </c>
      <c r="W1080" t="s">
        <v>399</v>
      </c>
      <c r="Y1080" t="s">
        <v>332</v>
      </c>
      <c r="AB1080" s="36" t="s">
        <v>340</v>
      </c>
      <c r="AC1080" s="36" t="s">
        <v>334</v>
      </c>
      <c r="AD1080" s="35">
        <v>46.172600000000003</v>
      </c>
      <c r="AE1080" s="35">
        <v>-84.079769999999996</v>
      </c>
      <c r="AF1080" s="18">
        <v>41053.896527777775</v>
      </c>
      <c r="AG1080" s="19">
        <v>41038.763888888891</v>
      </c>
      <c r="AH1080" t="s">
        <v>161</v>
      </c>
      <c r="AL1080" t="s">
        <v>335</v>
      </c>
      <c r="AM1080" s="20">
        <v>41051</v>
      </c>
      <c r="AR1080" s="39" t="s">
        <v>400</v>
      </c>
      <c r="AS1080" s="39"/>
      <c r="AT1080" s="39">
        <v>200</v>
      </c>
      <c r="AZ1080" t="s">
        <v>108</v>
      </c>
      <c r="BC1080" t="s">
        <v>336</v>
      </c>
    </row>
    <row r="1081" spans="1:72" x14ac:dyDescent="0.25">
      <c r="A1081" t="str">
        <f t="shared" si="16"/>
        <v>A69-1601-1372</v>
      </c>
      <c r="B1081" t="s">
        <v>398</v>
      </c>
      <c r="C1081" t="s">
        <v>324</v>
      </c>
      <c r="D1081" t="s">
        <v>345</v>
      </c>
      <c r="F1081">
        <v>1372</v>
      </c>
      <c r="G1081" t="s">
        <v>346</v>
      </c>
      <c r="H1081" t="s">
        <v>327</v>
      </c>
      <c r="I1081" s="20">
        <v>41051</v>
      </c>
      <c r="J1081">
        <v>101</v>
      </c>
      <c r="L1081" t="s">
        <v>109</v>
      </c>
      <c r="M1081" t="s">
        <v>328</v>
      </c>
      <c r="N1081" t="s">
        <v>329</v>
      </c>
      <c r="O1081" t="s">
        <v>330</v>
      </c>
      <c r="P1081" t="s">
        <v>331</v>
      </c>
      <c r="U1081">
        <v>0.51</v>
      </c>
      <c r="V1081">
        <v>0.29099999999999998</v>
      </c>
      <c r="W1081" t="s">
        <v>399</v>
      </c>
      <c r="Y1081" t="s">
        <v>332</v>
      </c>
      <c r="AB1081" s="36" t="s">
        <v>340</v>
      </c>
      <c r="AC1081" s="36" t="s">
        <v>334</v>
      </c>
      <c r="AD1081" s="35">
        <v>46.172600000000003</v>
      </c>
      <c r="AE1081" s="35">
        <v>-84.079769999999996</v>
      </c>
      <c r="AF1081" s="18">
        <v>41053.896527777775</v>
      </c>
      <c r="AG1081" s="19">
        <v>41038.763888888891</v>
      </c>
      <c r="AH1081" t="s">
        <v>161</v>
      </c>
      <c r="AL1081" t="s">
        <v>335</v>
      </c>
      <c r="AM1081" s="20">
        <v>41051</v>
      </c>
      <c r="AR1081" s="39" t="s">
        <v>400</v>
      </c>
      <c r="AS1081" s="39"/>
      <c r="AT1081" s="39">
        <v>200</v>
      </c>
      <c r="AZ1081" t="s">
        <v>108</v>
      </c>
      <c r="BC1081" t="s">
        <v>336</v>
      </c>
    </row>
    <row r="1082" spans="1:72" x14ac:dyDescent="0.25">
      <c r="A1082" t="str">
        <f t="shared" si="16"/>
        <v>A69-1601-1366</v>
      </c>
      <c r="B1082" t="s">
        <v>398</v>
      </c>
      <c r="C1082" t="s">
        <v>324</v>
      </c>
      <c r="D1082" t="s">
        <v>345</v>
      </c>
      <c r="F1082">
        <v>1366</v>
      </c>
      <c r="G1082" t="s">
        <v>346</v>
      </c>
      <c r="H1082" t="s">
        <v>327</v>
      </c>
      <c r="I1082" s="20">
        <v>41051</v>
      </c>
      <c r="J1082">
        <v>101</v>
      </c>
      <c r="L1082" t="s">
        <v>109</v>
      </c>
      <c r="M1082" t="s">
        <v>328</v>
      </c>
      <c r="N1082" t="s">
        <v>329</v>
      </c>
      <c r="O1082" t="s">
        <v>330</v>
      </c>
      <c r="P1082" t="s">
        <v>331</v>
      </c>
      <c r="U1082">
        <v>0.49</v>
      </c>
      <c r="V1082">
        <v>0.22500000000000001</v>
      </c>
      <c r="W1082" t="s">
        <v>399</v>
      </c>
      <c r="Y1082" t="s">
        <v>332</v>
      </c>
      <c r="AB1082" s="36" t="s">
        <v>340</v>
      </c>
      <c r="AC1082" s="36" t="s">
        <v>334</v>
      </c>
      <c r="AD1082" s="35">
        <v>46.172600000000003</v>
      </c>
      <c r="AE1082" s="35">
        <v>-84.079769999999996</v>
      </c>
      <c r="AF1082" s="18">
        <v>41053.896527777775</v>
      </c>
      <c r="AG1082" s="19">
        <v>41038.763888888891</v>
      </c>
      <c r="AH1082" t="s">
        <v>161</v>
      </c>
      <c r="AL1082" t="s">
        <v>335</v>
      </c>
      <c r="AM1082" s="20">
        <v>41051</v>
      </c>
      <c r="AR1082" s="39" t="s">
        <v>400</v>
      </c>
      <c r="AS1082" s="39"/>
      <c r="AT1082" s="39">
        <v>200</v>
      </c>
      <c r="AZ1082" t="s">
        <v>108</v>
      </c>
      <c r="BC1082" t="s">
        <v>336</v>
      </c>
    </row>
    <row r="1083" spans="1:72" x14ac:dyDescent="0.25">
      <c r="A1083" t="str">
        <f t="shared" si="16"/>
        <v>A69-1601-1365</v>
      </c>
      <c r="B1083" t="s">
        <v>398</v>
      </c>
      <c r="C1083" t="s">
        <v>324</v>
      </c>
      <c r="D1083" t="s">
        <v>345</v>
      </c>
      <c r="F1083">
        <v>1365</v>
      </c>
      <c r="G1083" t="s">
        <v>346</v>
      </c>
      <c r="H1083" t="s">
        <v>327</v>
      </c>
      <c r="I1083" s="20">
        <v>41051</v>
      </c>
      <c r="J1083">
        <v>101</v>
      </c>
      <c r="L1083" t="s">
        <v>109</v>
      </c>
      <c r="M1083" t="s">
        <v>328</v>
      </c>
      <c r="N1083" t="s">
        <v>329</v>
      </c>
      <c r="O1083" t="s">
        <v>330</v>
      </c>
      <c r="P1083" t="s">
        <v>331</v>
      </c>
      <c r="U1083">
        <v>0.47000000000000003</v>
      </c>
      <c r="V1083">
        <v>0.23500000000000001</v>
      </c>
      <c r="W1083" t="s">
        <v>399</v>
      </c>
      <c r="Y1083" t="s">
        <v>332</v>
      </c>
      <c r="AB1083" s="36" t="s">
        <v>340</v>
      </c>
      <c r="AC1083" s="36" t="s">
        <v>334</v>
      </c>
      <c r="AD1083" s="35">
        <v>46.172600000000003</v>
      </c>
      <c r="AE1083" s="35">
        <v>-84.079769999999996</v>
      </c>
      <c r="AF1083" s="18">
        <v>41053.896527777775</v>
      </c>
      <c r="AG1083" s="19">
        <v>41038.763888888891</v>
      </c>
      <c r="AH1083" t="s">
        <v>161</v>
      </c>
      <c r="AL1083" t="s">
        <v>335</v>
      </c>
      <c r="AM1083" s="20">
        <v>41051</v>
      </c>
      <c r="AR1083" s="39" t="s">
        <v>400</v>
      </c>
      <c r="AS1083" s="39"/>
      <c r="AT1083" s="39">
        <v>200</v>
      </c>
      <c r="AZ1083" t="s">
        <v>108</v>
      </c>
      <c r="BC1083" t="s">
        <v>336</v>
      </c>
    </row>
    <row r="1084" spans="1:72" x14ac:dyDescent="0.25">
      <c r="A1084" t="str">
        <f t="shared" si="16"/>
        <v>A69-1601-1361</v>
      </c>
      <c r="B1084" t="s">
        <v>398</v>
      </c>
      <c r="C1084" t="s">
        <v>324</v>
      </c>
      <c r="D1084" t="s">
        <v>345</v>
      </c>
      <c r="F1084">
        <v>1361</v>
      </c>
      <c r="G1084" t="s">
        <v>346</v>
      </c>
      <c r="H1084" t="s">
        <v>327</v>
      </c>
      <c r="I1084" s="20">
        <v>41051</v>
      </c>
      <c r="J1084">
        <v>101</v>
      </c>
      <c r="L1084" t="s">
        <v>109</v>
      </c>
      <c r="M1084" t="s">
        <v>328</v>
      </c>
      <c r="N1084" t="s">
        <v>329</v>
      </c>
      <c r="O1084" t="s">
        <v>330</v>
      </c>
      <c r="P1084" t="s">
        <v>331</v>
      </c>
      <c r="U1084">
        <v>0.51</v>
      </c>
      <c r="V1084">
        <v>0.27300000000000002</v>
      </c>
      <c r="W1084" t="s">
        <v>399</v>
      </c>
      <c r="Y1084" t="s">
        <v>332</v>
      </c>
      <c r="AB1084" s="36" t="s">
        <v>340</v>
      </c>
      <c r="AC1084" s="36" t="s">
        <v>334</v>
      </c>
      <c r="AD1084" s="35">
        <v>46.172600000000003</v>
      </c>
      <c r="AE1084" s="35">
        <v>-84.079769999999996</v>
      </c>
      <c r="AF1084" s="18">
        <v>41053.896527777775</v>
      </c>
      <c r="AG1084" s="19">
        <v>41038.763888888891</v>
      </c>
      <c r="AH1084" t="s">
        <v>161</v>
      </c>
      <c r="AL1084" t="s">
        <v>335</v>
      </c>
      <c r="AM1084" s="20">
        <v>41051</v>
      </c>
      <c r="AR1084" s="39" t="s">
        <v>400</v>
      </c>
      <c r="AS1084" s="39"/>
      <c r="AT1084" s="39">
        <v>200</v>
      </c>
      <c r="AZ1084" t="s">
        <v>108</v>
      </c>
      <c r="BC1084" t="s">
        <v>336</v>
      </c>
    </row>
    <row r="1085" spans="1:72" x14ac:dyDescent="0.25">
      <c r="A1085" t="str">
        <f t="shared" si="16"/>
        <v>A69-1601-1359</v>
      </c>
      <c r="B1085" t="s">
        <v>398</v>
      </c>
      <c r="C1085" t="s">
        <v>324</v>
      </c>
      <c r="D1085" t="s">
        <v>345</v>
      </c>
      <c r="F1085">
        <v>1359</v>
      </c>
      <c r="G1085" t="s">
        <v>346</v>
      </c>
      <c r="H1085" t="s">
        <v>327</v>
      </c>
      <c r="I1085" s="20">
        <v>41051</v>
      </c>
      <c r="J1085">
        <v>101</v>
      </c>
      <c r="L1085" t="s">
        <v>109</v>
      </c>
      <c r="M1085" t="s">
        <v>328</v>
      </c>
      <c r="N1085" t="s">
        <v>329</v>
      </c>
      <c r="O1085" t="s">
        <v>330</v>
      </c>
      <c r="P1085" t="s">
        <v>331</v>
      </c>
      <c r="U1085">
        <v>0.46</v>
      </c>
      <c r="V1085">
        <v>0.2</v>
      </c>
      <c r="W1085" t="s">
        <v>399</v>
      </c>
      <c r="Y1085" t="s">
        <v>332</v>
      </c>
      <c r="AB1085" s="36" t="s">
        <v>340</v>
      </c>
      <c r="AC1085" s="36" t="s">
        <v>334</v>
      </c>
      <c r="AD1085" s="35">
        <v>46.172600000000003</v>
      </c>
      <c r="AE1085" s="35">
        <v>-84.079769999999996</v>
      </c>
      <c r="AF1085" s="18">
        <v>41053.896527777775</v>
      </c>
      <c r="AG1085" s="19">
        <v>41038.763888888891</v>
      </c>
      <c r="AH1085" t="s">
        <v>161</v>
      </c>
      <c r="AL1085" t="s">
        <v>335</v>
      </c>
      <c r="AM1085" s="20">
        <v>41051</v>
      </c>
      <c r="AR1085" s="39" t="s">
        <v>400</v>
      </c>
      <c r="AS1085" s="39"/>
      <c r="AT1085" s="39">
        <v>200</v>
      </c>
      <c r="AZ1085" t="s">
        <v>108</v>
      </c>
      <c r="BC1085" t="s">
        <v>336</v>
      </c>
    </row>
    <row r="1086" spans="1:72" x14ac:dyDescent="0.25">
      <c r="A1086" t="str">
        <f t="shared" si="16"/>
        <v>A69-1601-1358</v>
      </c>
      <c r="B1086" t="s">
        <v>398</v>
      </c>
      <c r="C1086" t="s">
        <v>324</v>
      </c>
      <c r="D1086" t="s">
        <v>345</v>
      </c>
      <c r="F1086">
        <v>1358</v>
      </c>
      <c r="G1086" t="s">
        <v>346</v>
      </c>
      <c r="H1086" t="s">
        <v>327</v>
      </c>
      <c r="I1086" s="20">
        <v>41051</v>
      </c>
      <c r="J1086">
        <v>101</v>
      </c>
      <c r="L1086" t="s">
        <v>109</v>
      </c>
      <c r="M1086" t="s">
        <v>328</v>
      </c>
      <c r="N1086" t="s">
        <v>329</v>
      </c>
      <c r="O1086" t="s">
        <v>330</v>
      </c>
      <c r="P1086" t="s">
        <v>331</v>
      </c>
      <c r="U1086">
        <v>0.5</v>
      </c>
      <c r="V1086">
        <v>0.25600000000000001</v>
      </c>
      <c r="W1086" t="s">
        <v>399</v>
      </c>
      <c r="Y1086" t="s">
        <v>332</v>
      </c>
      <c r="AB1086" s="36" t="s">
        <v>340</v>
      </c>
      <c r="AC1086" s="36" t="s">
        <v>334</v>
      </c>
      <c r="AD1086" s="35">
        <v>46.172600000000003</v>
      </c>
      <c r="AE1086" s="35">
        <v>-84.079769999999996</v>
      </c>
      <c r="AF1086" s="18">
        <v>41053.896527777775</v>
      </c>
      <c r="AG1086" s="19">
        <v>41038.763888888891</v>
      </c>
      <c r="AH1086" t="s">
        <v>161</v>
      </c>
      <c r="AL1086" t="s">
        <v>335</v>
      </c>
      <c r="AM1086" s="20">
        <v>41051</v>
      </c>
      <c r="AR1086" s="39" t="s">
        <v>400</v>
      </c>
      <c r="AS1086" s="39"/>
      <c r="AT1086" s="39">
        <v>200</v>
      </c>
      <c r="AZ1086" t="s">
        <v>108</v>
      </c>
      <c r="BC1086" t="s">
        <v>336</v>
      </c>
    </row>
    <row r="1087" spans="1:72" x14ac:dyDescent="0.25">
      <c r="A1087" t="str">
        <f t="shared" si="16"/>
        <v>A69-9002-7250</v>
      </c>
      <c r="B1087" t="s">
        <v>398</v>
      </c>
      <c r="C1087" t="s">
        <v>324</v>
      </c>
      <c r="D1087" t="s">
        <v>325</v>
      </c>
      <c r="F1087">
        <v>7250</v>
      </c>
      <c r="G1087" t="s">
        <v>326</v>
      </c>
      <c r="H1087" t="s">
        <v>327</v>
      </c>
      <c r="I1087" s="20">
        <v>41051</v>
      </c>
      <c r="J1087">
        <v>77</v>
      </c>
      <c r="L1087" t="s">
        <v>109</v>
      </c>
      <c r="M1087" t="s">
        <v>328</v>
      </c>
      <c r="N1087" t="s">
        <v>329</v>
      </c>
      <c r="O1087" t="s">
        <v>330</v>
      </c>
      <c r="P1087" t="s">
        <v>331</v>
      </c>
      <c r="U1087">
        <v>0.52</v>
      </c>
      <c r="V1087">
        <v>0.26800000000000002</v>
      </c>
      <c r="W1087" t="s">
        <v>399</v>
      </c>
      <c r="Y1087" t="s">
        <v>332</v>
      </c>
      <c r="AB1087" t="s">
        <v>344</v>
      </c>
      <c r="AC1087" t="s">
        <v>342</v>
      </c>
      <c r="AD1087" s="36">
        <v>46.306280000000001</v>
      </c>
      <c r="AE1087" s="36">
        <v>-84.061220000000006</v>
      </c>
      <c r="AF1087" s="18">
        <v>41053.930555555555</v>
      </c>
      <c r="AG1087" s="19">
        <v>41038.763888888891</v>
      </c>
      <c r="AH1087" t="s">
        <v>161</v>
      </c>
      <c r="AL1087" t="s">
        <v>335</v>
      </c>
      <c r="AM1087" s="20">
        <v>41051</v>
      </c>
      <c r="AR1087" s="39" t="s">
        <v>400</v>
      </c>
      <c r="AS1087" s="39"/>
      <c r="AT1087" s="39">
        <v>200</v>
      </c>
      <c r="AZ1087" t="s">
        <v>108</v>
      </c>
      <c r="BC1087" t="s">
        <v>336</v>
      </c>
    </row>
    <row r="1088" spans="1:72" x14ac:dyDescent="0.25">
      <c r="A1088" t="str">
        <f t="shared" si="16"/>
        <v>A69-9002-7255</v>
      </c>
      <c r="B1088" t="s">
        <v>398</v>
      </c>
      <c r="C1088" t="s">
        <v>324</v>
      </c>
      <c r="D1088" t="s">
        <v>325</v>
      </c>
      <c r="F1088">
        <v>7255</v>
      </c>
      <c r="G1088" t="s">
        <v>326</v>
      </c>
      <c r="H1088" t="s">
        <v>327</v>
      </c>
      <c r="I1088" s="20">
        <v>41051</v>
      </c>
      <c r="J1088">
        <v>77</v>
      </c>
      <c r="L1088" t="s">
        <v>109</v>
      </c>
      <c r="M1088" t="s">
        <v>328</v>
      </c>
      <c r="N1088" t="s">
        <v>329</v>
      </c>
      <c r="O1088" t="s">
        <v>330</v>
      </c>
      <c r="P1088" t="s">
        <v>331</v>
      </c>
      <c r="U1088">
        <v>0.46</v>
      </c>
      <c r="V1088">
        <v>0.19700000000000001</v>
      </c>
      <c r="W1088" t="s">
        <v>399</v>
      </c>
      <c r="Y1088" t="s">
        <v>332</v>
      </c>
      <c r="AB1088" t="s">
        <v>344</v>
      </c>
      <c r="AC1088" t="s">
        <v>342</v>
      </c>
      <c r="AD1088" s="36">
        <v>46.306280000000001</v>
      </c>
      <c r="AE1088" s="36">
        <v>-84.061220000000006</v>
      </c>
      <c r="AF1088" s="18">
        <v>41053.930555555555</v>
      </c>
      <c r="AG1088" s="19">
        <v>41038.763888888891</v>
      </c>
      <c r="AH1088" t="s">
        <v>161</v>
      </c>
      <c r="AL1088" t="s">
        <v>335</v>
      </c>
      <c r="AM1088" s="20">
        <v>41051</v>
      </c>
      <c r="AR1088" s="39" t="s">
        <v>400</v>
      </c>
      <c r="AS1088" s="39"/>
      <c r="AT1088" s="39">
        <v>200</v>
      </c>
      <c r="AZ1088" t="s">
        <v>108</v>
      </c>
      <c r="BC1088" t="s">
        <v>336</v>
      </c>
    </row>
    <row r="1089" spans="1:55" x14ac:dyDescent="0.25">
      <c r="A1089" t="str">
        <f t="shared" si="16"/>
        <v>A69-9002-7244</v>
      </c>
      <c r="B1089" t="s">
        <v>398</v>
      </c>
      <c r="C1089" t="s">
        <v>324</v>
      </c>
      <c r="D1089" t="s">
        <v>325</v>
      </c>
      <c r="F1089">
        <v>7244</v>
      </c>
      <c r="G1089" t="s">
        <v>326</v>
      </c>
      <c r="H1089" t="s">
        <v>327</v>
      </c>
      <c r="I1089" s="20">
        <v>41051</v>
      </c>
      <c r="J1089">
        <v>77</v>
      </c>
      <c r="L1089" t="s">
        <v>109</v>
      </c>
      <c r="M1089" t="s">
        <v>328</v>
      </c>
      <c r="N1089" t="s">
        <v>329</v>
      </c>
      <c r="O1089" t="s">
        <v>330</v>
      </c>
      <c r="P1089" t="s">
        <v>331</v>
      </c>
      <c r="U1089">
        <v>0.5</v>
      </c>
      <c r="V1089">
        <v>0.25700000000000001</v>
      </c>
      <c r="W1089" t="s">
        <v>399</v>
      </c>
      <c r="Y1089" t="s">
        <v>332</v>
      </c>
      <c r="AB1089" t="s">
        <v>344</v>
      </c>
      <c r="AC1089" t="s">
        <v>342</v>
      </c>
      <c r="AD1089" s="36">
        <v>46.306280000000001</v>
      </c>
      <c r="AE1089" s="36">
        <v>-84.061220000000006</v>
      </c>
      <c r="AF1089" s="18">
        <v>41053.930555555555</v>
      </c>
      <c r="AG1089" s="19">
        <v>41038.763888888891</v>
      </c>
      <c r="AH1089" t="s">
        <v>161</v>
      </c>
      <c r="AL1089" t="s">
        <v>335</v>
      </c>
      <c r="AM1089" s="20">
        <v>41051</v>
      </c>
      <c r="AR1089" s="39" t="s">
        <v>400</v>
      </c>
      <c r="AS1089" s="39"/>
      <c r="AT1089" s="39">
        <v>200</v>
      </c>
      <c r="AZ1089" t="s">
        <v>108</v>
      </c>
      <c r="BC1089" t="s">
        <v>336</v>
      </c>
    </row>
    <row r="1090" spans="1:55" x14ac:dyDescent="0.25">
      <c r="A1090" t="str">
        <f t="shared" si="16"/>
        <v>A69-9002-7237</v>
      </c>
      <c r="B1090" t="s">
        <v>398</v>
      </c>
      <c r="C1090" t="s">
        <v>324</v>
      </c>
      <c r="D1090" t="s">
        <v>325</v>
      </c>
      <c r="F1090">
        <v>7237</v>
      </c>
      <c r="G1090" t="s">
        <v>326</v>
      </c>
      <c r="H1090" t="s">
        <v>327</v>
      </c>
      <c r="I1090" s="20">
        <v>41051</v>
      </c>
      <c r="J1090">
        <v>77</v>
      </c>
      <c r="L1090" t="s">
        <v>109</v>
      </c>
      <c r="M1090" t="s">
        <v>328</v>
      </c>
      <c r="N1090" t="s">
        <v>329</v>
      </c>
      <c r="O1090" t="s">
        <v>330</v>
      </c>
      <c r="P1090" t="s">
        <v>331</v>
      </c>
      <c r="U1090">
        <v>0.51</v>
      </c>
      <c r="V1090">
        <v>0.27700000000000002</v>
      </c>
      <c r="W1090" t="s">
        <v>399</v>
      </c>
      <c r="Y1090" t="s">
        <v>332</v>
      </c>
      <c r="AB1090" t="s">
        <v>344</v>
      </c>
      <c r="AC1090" t="s">
        <v>342</v>
      </c>
      <c r="AD1090" s="36">
        <v>46.306280000000001</v>
      </c>
      <c r="AE1090" s="36">
        <v>-84.061220000000006</v>
      </c>
      <c r="AF1090" s="18">
        <v>41053.930555555555</v>
      </c>
      <c r="AG1090" s="19">
        <v>41038.763888888891</v>
      </c>
      <c r="AH1090" t="s">
        <v>161</v>
      </c>
      <c r="AL1090" t="s">
        <v>335</v>
      </c>
      <c r="AM1090" s="20">
        <v>41051</v>
      </c>
      <c r="AR1090" s="39" t="s">
        <v>400</v>
      </c>
      <c r="AS1090" s="39"/>
      <c r="AT1090" s="39">
        <v>200</v>
      </c>
      <c r="AZ1090" t="s">
        <v>108</v>
      </c>
      <c r="BC1090" t="s">
        <v>336</v>
      </c>
    </row>
    <row r="1091" spans="1:55" x14ac:dyDescent="0.25">
      <c r="A1091" t="str">
        <f t="shared" si="16"/>
        <v>A69-9002-7246</v>
      </c>
      <c r="B1091" t="s">
        <v>398</v>
      </c>
      <c r="C1091" t="s">
        <v>324</v>
      </c>
      <c r="D1091" t="s">
        <v>325</v>
      </c>
      <c r="F1091">
        <v>7246</v>
      </c>
      <c r="G1091" t="s">
        <v>326</v>
      </c>
      <c r="H1091" t="s">
        <v>327</v>
      </c>
      <c r="I1091" s="20">
        <v>41051</v>
      </c>
      <c r="J1091">
        <v>77</v>
      </c>
      <c r="L1091" t="s">
        <v>109</v>
      </c>
      <c r="M1091" t="s">
        <v>328</v>
      </c>
      <c r="N1091" t="s">
        <v>329</v>
      </c>
      <c r="O1091" t="s">
        <v>330</v>
      </c>
      <c r="P1091" t="s">
        <v>331</v>
      </c>
      <c r="U1091">
        <v>0.49</v>
      </c>
      <c r="V1091">
        <v>0.23300000000000001</v>
      </c>
      <c r="W1091" t="s">
        <v>399</v>
      </c>
      <c r="Y1091" t="s">
        <v>332</v>
      </c>
      <c r="AB1091" t="s">
        <v>344</v>
      </c>
      <c r="AC1091" t="s">
        <v>342</v>
      </c>
      <c r="AD1091" s="36">
        <v>46.306280000000001</v>
      </c>
      <c r="AE1091" s="36">
        <v>-84.061220000000006</v>
      </c>
      <c r="AF1091" s="18">
        <v>41053.930555555555</v>
      </c>
      <c r="AG1091" s="19">
        <v>41038.763888888891</v>
      </c>
      <c r="AH1091" t="s">
        <v>161</v>
      </c>
      <c r="AL1091" t="s">
        <v>335</v>
      </c>
      <c r="AM1091" s="20">
        <v>41051</v>
      </c>
      <c r="AR1091" s="39" t="s">
        <v>400</v>
      </c>
      <c r="AS1091" s="39"/>
      <c r="AT1091" s="39">
        <v>200</v>
      </c>
      <c r="AZ1091" t="s">
        <v>108</v>
      </c>
      <c r="BC1091" t="s">
        <v>336</v>
      </c>
    </row>
    <row r="1092" spans="1:55" x14ac:dyDescent="0.25">
      <c r="A1092" t="str">
        <f>CONCATENATE(G1092,"-",F1092)</f>
        <v>A69-9002-7251</v>
      </c>
      <c r="B1092" t="s">
        <v>398</v>
      </c>
      <c r="C1092" t="s">
        <v>324</v>
      </c>
      <c r="D1092" t="s">
        <v>325</v>
      </c>
      <c r="F1092">
        <v>7251</v>
      </c>
      <c r="G1092" t="s">
        <v>326</v>
      </c>
      <c r="H1092" t="s">
        <v>327</v>
      </c>
      <c r="I1092" s="20">
        <v>41051</v>
      </c>
      <c r="J1092">
        <v>77</v>
      </c>
      <c r="L1092" t="s">
        <v>109</v>
      </c>
      <c r="M1092" t="s">
        <v>328</v>
      </c>
      <c r="N1092" t="s">
        <v>329</v>
      </c>
      <c r="O1092" t="s">
        <v>330</v>
      </c>
      <c r="P1092" t="s">
        <v>331</v>
      </c>
      <c r="U1092">
        <v>0.53</v>
      </c>
      <c r="V1092">
        <v>0.318</v>
      </c>
      <c r="W1092" t="s">
        <v>399</v>
      </c>
      <c r="Y1092" t="s">
        <v>332</v>
      </c>
      <c r="AB1092" t="s">
        <v>344</v>
      </c>
      <c r="AC1092" t="s">
        <v>342</v>
      </c>
      <c r="AD1092" s="36">
        <v>46.306280000000001</v>
      </c>
      <c r="AE1092" s="36">
        <v>-84.061220000000006</v>
      </c>
      <c r="AF1092" s="18">
        <v>41053.930555555555</v>
      </c>
      <c r="AG1092" s="19">
        <v>41038.763888888891</v>
      </c>
      <c r="AH1092" t="s">
        <v>161</v>
      </c>
      <c r="AL1092" t="s">
        <v>335</v>
      </c>
      <c r="AM1092" s="20">
        <v>41051</v>
      </c>
      <c r="AR1092" s="39" t="s">
        <v>400</v>
      </c>
      <c r="AS1092" s="39"/>
      <c r="AT1092" s="39">
        <v>200</v>
      </c>
      <c r="AZ1092" t="s">
        <v>108</v>
      </c>
      <c r="BC1092" t="s">
        <v>336</v>
      </c>
    </row>
    <row r="1093" spans="1:55" x14ac:dyDescent="0.25">
      <c r="A1093" t="str">
        <f>CONCATENATE(G1093,"-",F1093)</f>
        <v>A69-9002-7261</v>
      </c>
      <c r="B1093" t="s">
        <v>398</v>
      </c>
      <c r="C1093" t="s">
        <v>324</v>
      </c>
      <c r="D1093" t="s">
        <v>325</v>
      </c>
      <c r="F1093">
        <v>7261</v>
      </c>
      <c r="G1093" t="s">
        <v>326</v>
      </c>
      <c r="H1093" t="s">
        <v>327</v>
      </c>
      <c r="I1093" s="20">
        <v>41051</v>
      </c>
      <c r="J1093">
        <v>77</v>
      </c>
      <c r="L1093" t="s">
        <v>109</v>
      </c>
      <c r="M1093" t="s">
        <v>328</v>
      </c>
      <c r="N1093" t="s">
        <v>329</v>
      </c>
      <c r="O1093" t="s">
        <v>330</v>
      </c>
      <c r="P1093" t="s">
        <v>331</v>
      </c>
      <c r="U1093">
        <v>0.54</v>
      </c>
      <c r="V1093">
        <v>0.254</v>
      </c>
      <c r="W1093" t="s">
        <v>399</v>
      </c>
      <c r="Y1093" t="s">
        <v>332</v>
      </c>
      <c r="AB1093" t="s">
        <v>344</v>
      </c>
      <c r="AC1093" t="s">
        <v>342</v>
      </c>
      <c r="AD1093" s="36">
        <v>46.306280000000001</v>
      </c>
      <c r="AE1093" s="36">
        <v>-84.061220000000006</v>
      </c>
      <c r="AF1093" s="18">
        <v>41053.930555555555</v>
      </c>
      <c r="AG1093" s="19">
        <v>41038.763888888891</v>
      </c>
      <c r="AH1093" t="s">
        <v>161</v>
      </c>
      <c r="AL1093" t="s">
        <v>335</v>
      </c>
      <c r="AM1093" s="20">
        <v>41051</v>
      </c>
      <c r="AR1093" s="39" t="s">
        <v>400</v>
      </c>
      <c r="AS1093" s="39"/>
      <c r="AT1093" s="39">
        <v>200</v>
      </c>
      <c r="AZ1093" t="s">
        <v>108</v>
      </c>
      <c r="BC1093" t="s">
        <v>336</v>
      </c>
    </row>
    <row r="1094" spans="1:55" x14ac:dyDescent="0.25">
      <c r="A1094" t="str">
        <f>CONCATENATE(G1094,"-",F1094)</f>
        <v>A69-9002-7256</v>
      </c>
      <c r="B1094" t="s">
        <v>398</v>
      </c>
      <c r="C1094" t="s">
        <v>324</v>
      </c>
      <c r="D1094" t="s">
        <v>325</v>
      </c>
      <c r="F1094">
        <v>7256</v>
      </c>
      <c r="G1094" t="s">
        <v>326</v>
      </c>
      <c r="H1094" t="s">
        <v>327</v>
      </c>
      <c r="I1094" s="20">
        <v>41051</v>
      </c>
      <c r="J1094">
        <v>77</v>
      </c>
      <c r="L1094" t="s">
        <v>109</v>
      </c>
      <c r="M1094" t="s">
        <v>328</v>
      </c>
      <c r="N1094" t="s">
        <v>329</v>
      </c>
      <c r="O1094" t="s">
        <v>330</v>
      </c>
      <c r="P1094" t="s">
        <v>331</v>
      </c>
      <c r="U1094">
        <v>0.55000000000000004</v>
      </c>
      <c r="V1094">
        <v>0.32100000000000001</v>
      </c>
      <c r="W1094" t="s">
        <v>399</v>
      </c>
      <c r="Y1094" t="s">
        <v>332</v>
      </c>
      <c r="AB1094" t="s">
        <v>344</v>
      </c>
      <c r="AC1094" t="s">
        <v>342</v>
      </c>
      <c r="AD1094" s="36">
        <v>46.306280000000001</v>
      </c>
      <c r="AE1094" s="36">
        <v>-84.061220000000006</v>
      </c>
      <c r="AF1094" s="18">
        <v>41053.930555555555</v>
      </c>
      <c r="AG1094" s="19">
        <v>41038.763888888891</v>
      </c>
      <c r="AH1094" t="s">
        <v>161</v>
      </c>
      <c r="AL1094" t="s">
        <v>335</v>
      </c>
      <c r="AM1094" s="20">
        <v>41051</v>
      </c>
      <c r="AR1094" s="39" t="s">
        <v>400</v>
      </c>
      <c r="AS1094" s="39"/>
      <c r="AT1094" s="39">
        <v>200</v>
      </c>
      <c r="AZ1094" t="s">
        <v>108</v>
      </c>
      <c r="BC1094" t="s">
        <v>336</v>
      </c>
    </row>
  </sheetData>
  <customSheetViews>
    <customSheetView guid="{E035D73C-6DE8-4728-BCA6-2ACE00DC88C2}">
      <selection activeCell="D23" sqref="D23"/>
      <pageMargins left="0.7" right="0.7" top="0.75" bottom="0.75" header="0.3" footer="0.3"/>
    </customSheetView>
    <customSheetView guid="{0B94B745-F070-4122-A4FD-5713832B364A}">
      <selection activeCell="D23" sqref="D23"/>
      <pageMargins left="0.7" right="0.7" top="0.75" bottom="0.75" header="0.3" footer="0.3"/>
    </customSheetView>
    <customSheetView guid="{EFF2F100-1E68-4EDA-87D3-99AEFF2EEB3E}">
      <pageMargins left="0.7" right="0.7" top="0.75" bottom="0.75" header="0.3" footer="0.3"/>
    </customSheetView>
    <customSheetView guid="{775315B8-81A0-46D0-A21B-5042A6D17E8A}">
      <pane ySplit="2" topLeftCell="A3" activePane="bottomLeft" state="frozenSplit"/>
      <selection pane="bottomLeft" activeCell="A3" sqref="A3"/>
      <pageMargins left="0.7" right="0.7" top="0.75" bottom="0.75" header="0.3" footer="0.3"/>
    </customSheetView>
    <customSheetView guid="{30D09489-9F7F-4F99-80CC-972D52CE044F}">
      <pane ySplit="2" topLeftCell="A3" activePane="bottomLeft" state="frozenSplit"/>
      <selection pane="bottomLeft" activeCell="A3" sqref="A3"/>
      <pageMargins left="0.7" right="0.7" top="0.75" bottom="0.75" header="0.3" footer="0.3"/>
    </customSheetView>
    <customSheetView guid="{732025B7-2BD2-4974-B1FD-67C3CE0944B1}">
      <selection activeCell="A3" sqref="A3"/>
      <pageMargins left="0.7" right="0.7" top="0.75" bottom="0.75" header="0.3" footer="0.3"/>
    </customSheetView>
    <customSheetView guid="{4A0EEECC-BF7F-4C3E-AC2A-DEB5263DBBAE}" hiddenColumns="1" topLeftCell="F1">
      <pane ySplit="2" topLeftCell="A3" activePane="bottomLeft" state="frozenSplit"/>
      <selection pane="bottomLeft" activeCell="BC12" sqref="BC12"/>
      <pageMargins left="0.7" right="0.7" top="0.75" bottom="0.75" header="0.3" footer="0.3"/>
    </customSheetView>
    <customSheetView guid="{BECCC96E-1854-41BE-8C23-F96A36206D6D}">
      <selection activeCell="D23" sqref="D23"/>
      <pageMargins left="0.7" right="0.7" top="0.75" bottom="0.75" header="0.3" footer="0.3"/>
    </customSheetView>
    <customSheetView guid="{BFE66E2E-FE12-4330-B1B7-C7EB0B371589}">
      <selection activeCell="D23" sqref="D23"/>
      <pageMargins left="0.7" right="0.7" top="0.75" bottom="0.75" header="0.3" footer="0.3"/>
    </customSheetView>
  </customSheetViews>
  <mergeCells count="1">
    <mergeCell ref="A1:B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heckBox1">
          <controlPr autoLine="0" r:id="rId4">
            <anchor moveWithCells="1">
              <from>
                <xdr:col>0</xdr:col>
                <xdr:colOff>0</xdr:colOff>
                <xdr:row>0</xdr:row>
                <xdr:rowOff>304800</xdr:rowOff>
              </from>
              <to>
                <xdr:col>2</xdr:col>
                <xdr:colOff>323850</xdr:colOff>
                <xdr:row>0</xdr:row>
                <xdr:rowOff>571500</xdr:rowOff>
              </to>
            </anchor>
          </controlPr>
        </control>
      </mc:Choice>
      <mc:Fallback>
        <control shapeId="5122" r:id="rId3" name="CheckBox1"/>
      </mc:Fallback>
    </mc:AlternateContent>
    <mc:AlternateContent xmlns:mc="http://schemas.openxmlformats.org/markup-compatibility/2006">
      <mc:Choice Requires="x14">
        <control shapeId="5123" r:id="rId5" name="Label1">
          <controlPr autoLine="0" r:id="rId6">
            <anchor moveWithCells="1">
              <from>
                <xdr:col>0</xdr:col>
                <xdr:colOff>28575</xdr:colOff>
                <xdr:row>0</xdr:row>
                <xdr:rowOff>76200</xdr:rowOff>
              </from>
              <to>
                <xdr:col>2</xdr:col>
                <xdr:colOff>466725</xdr:colOff>
                <xdr:row>0</xdr:row>
                <xdr:rowOff>247650</xdr:rowOff>
              </to>
            </anchor>
          </controlPr>
        </control>
      </mc:Choice>
      <mc:Fallback>
        <control shapeId="5123" r:id="rId5" name="Label1"/>
      </mc:Fallback>
    </mc:AlternateContent>
    <mc:AlternateContent xmlns:mc="http://schemas.openxmlformats.org/markup-compatibility/2006">
      <mc:Choice Requires="x14">
        <control shapeId="5124" r:id="rId7" name="Label2">
          <controlPr autoLine="0" r:id="rId8">
            <anchor moveWithCells="1">
              <from>
                <xdr:col>57</xdr:col>
                <xdr:colOff>47625</xdr:colOff>
                <xdr:row>0</xdr:row>
                <xdr:rowOff>85725</xdr:rowOff>
              </from>
              <to>
                <xdr:col>59</xdr:col>
                <xdr:colOff>266700</xdr:colOff>
                <xdr:row>0</xdr:row>
                <xdr:rowOff>295275</xdr:rowOff>
              </to>
            </anchor>
          </controlPr>
        </control>
      </mc:Choice>
      <mc:Fallback>
        <control shapeId="5124" r:id="rId7" name="Label2"/>
      </mc:Fallback>
    </mc:AlternateContent>
    <mc:AlternateContent xmlns:mc="http://schemas.openxmlformats.org/markup-compatibility/2006">
      <mc:Choice Requires="x14">
        <control shapeId="5182" r:id="rId9" name="Button 62">
          <controlPr defaultSize="0" print="0" autoFill="0" autoPict="0" macro="[0]!Sheet5.fill_UTC_RELEASE_DATE_TIME">
            <anchor moveWithCells="1" sizeWithCells="1">
              <from>
                <xdr:col>31</xdr:col>
                <xdr:colOff>28575</xdr:colOff>
                <xdr:row>0</xdr:row>
                <xdr:rowOff>228600</xdr:rowOff>
              </from>
              <to>
                <xdr:col>31</xdr:col>
                <xdr:colOff>1552575</xdr:colOff>
                <xdr:row>0</xdr:row>
                <xdr:rowOff>647700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</vt:lpstr>
      <vt:lpstr>Locations</vt:lpstr>
      <vt:lpstr>Proposed</vt:lpstr>
      <vt:lpstr>Deployment</vt:lpstr>
      <vt:lpstr>Recovery</vt:lpstr>
      <vt:lpstr>Tagging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cholbrook</dc:creator>
  <cp:lastModifiedBy>Holbrook, Christopher M.</cp:lastModifiedBy>
  <cp:revision>1</cp:revision>
  <dcterms:created xsi:type="dcterms:W3CDTF">2011-12-29T19:20:15Z</dcterms:created>
  <dcterms:modified xsi:type="dcterms:W3CDTF">2014-08-28T14:34:26Z</dcterms:modified>
</cp:coreProperties>
</file>